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mc:AlternateContent xmlns:mc="http://schemas.openxmlformats.org/markup-compatibility/2006">
    <mc:Choice Requires="x15">
      <x15ac:absPath xmlns:x15ac="http://schemas.microsoft.com/office/spreadsheetml/2010/11/ac" url="/Users/federicogalli/Desktop/Projects/"/>
    </mc:Choice>
  </mc:AlternateContent>
  <xr:revisionPtr revIDLastSave="0" documentId="8_{8BB92EC5-906E-D242-9CC1-3863718023D1}" xr6:coauthVersionLast="47" xr6:coauthVersionMax="47" xr10:uidLastSave="{00000000-0000-0000-0000-000000000000}"/>
  <bookViews>
    <workbookView xWindow="0" yWindow="780" windowWidth="23260" windowHeight="12460" activeTab="1" xr2:uid="{00000000-000D-0000-FFFF-FFFF00000000}"/>
  </bookViews>
  <sheets>
    <sheet name="Cover &gt;&gt;&gt;" sheetId="11" r:id="rId1"/>
    <sheet name="Inputs &gt;&gt;&gt;" sheetId="12" r:id="rId2"/>
    <sheet name="AFS" sheetId="2" r:id="rId3"/>
    <sheet name="AFS2" sheetId="16" r:id="rId4"/>
    <sheet name="AFS3" sheetId="17" r:id="rId5"/>
    <sheet name="Restatements" sheetId="14" r:id="rId6"/>
    <sheet name="Assumptions" sheetId="20" r:id="rId7"/>
    <sheet name="Calculations &gt;&gt;&gt;" sheetId="25" r:id="rId8"/>
    <sheet name="SalesOPEX" sheetId="21" r:id="rId9"/>
    <sheet name="Investments" sheetId="22" r:id="rId10"/>
    <sheet name="Financing" sheetId="23" r:id="rId11"/>
    <sheet name="Others" sheetId="24" r:id="rId12"/>
    <sheet name="Output &gt;&gt;&gt;" sheetId="26" r:id="rId13"/>
    <sheet name="Output (2)" sheetId="27" r:id="rId14"/>
    <sheet name="Sheet1" sheetId="33" r:id="rId15"/>
    <sheet name="Analysis" sheetId="28" r:id="rId16"/>
    <sheet name="Valuation &gt;&gt;&gt;" sheetId="29" r:id="rId17"/>
    <sheet name="TV" sheetId="31" r:id="rId18"/>
    <sheet name="DCF" sheetId="32" r:id="rId19"/>
  </sheets>
  <externalReferences>
    <externalReference r:id="rId20"/>
  </externalReferences>
  <definedNames>
    <definedName name="__123Graph_C" hidden="1">#REF!</definedName>
    <definedName name="__123Graph_D" hidden="1">#REF!</definedName>
    <definedName name="__123Graph_E" hidden="1">#REF!</definedName>
    <definedName name="__123Graph_F" hidden="1">#REF!</definedName>
    <definedName name="__FDS_HYPERLINK_TOGGLE_STATE__" hidden="1">"ON"</definedName>
    <definedName name="__FDS_USED_FOR_REUSING_RANGE_IDS_RECYCLE" localSheetId="5" hidden="1">{189}</definedName>
    <definedName name="__FDS_USED_FOR_REUSING_RANGE_IDS_RECYCLE" hidden="1">{189}</definedName>
    <definedName name="_1__FDSAUDITLINK__" localSheetId="5" hidden="1">{"fdsup://directions/FAT Viewer?action=UPDATE&amp;creator=factSet&amp;DYN_ARGS=true&amp;DOC_NAME=FAT:RGA_ENTRPR_VAL_MV_SOURCE_WINDOW.FAT&amp;VAR:ID1=BBBY&amp;VAR:SDATE=20081210&amp;VAR:FDATE=20080229&amp;VAR:FREQ=DAILY&amp;VAR:RELITEM=&amp;VAR:CURRENCY=&amp;VAR:DB_TYPE=&amp;VAR:UNITS=M&amp;VAR:SHS_OUT_TY","PE=&amp;window=popup&amp;width=535&amp;height=425&amp;START_MAXIMIZED=FALSE&amp;Y=120"}</definedName>
    <definedName name="_1__FDSAUDITLINK__" hidden="1">{"fdsup://directions/FAT Viewer?action=UPDATE&amp;creator=factSet&amp;DYN_ARGS=true&amp;DOC_NAME=FAT:RGA_ENTRPR_VAL_MV_SOURCE_WINDOW.FAT&amp;VAR:ID1=BBBY&amp;VAR:SDATE=20081210&amp;VAR:FDATE=20080229&amp;VAR:FREQ=DAILY&amp;VAR:RELITEM=&amp;VAR:CURRENCY=&amp;VAR:DB_TYPE=&amp;VAR:UNITS=M&amp;VAR:SHS_OUT_TY","PE=&amp;window=popup&amp;width=535&amp;height=425&amp;START_MAXIMIZED=FALSE&amp;Y=120"}</definedName>
    <definedName name="_10__FDSAUDITLINK__" localSheetId="5" hidden="1">{"fdsup://directions/FAT Viewer?action=UPDATE&amp;creator=factSet&amp;DYN_ARGS=true&amp;DOC_NAME=FAT:RGA_ENTRPR_VAL_MV_SOURCE_WINDOW.FAT&amp;VAR:ID1=BBBY&amp;VAR:SDATE=19990129&amp;VAR:FDATE=19980227&amp;VAR:FREQ=DAILY&amp;VAR:RELITEM=&amp;VAR:CURRENCY=&amp;VAR:DB_TYPE=&amp;VAR:UNITS=M&amp;VAR:SHS_OUT_TY","PE=&amp;window=popup&amp;width=535&amp;height=425&amp;START_MAXIMIZED=FALSE&amp;Y=120"}</definedName>
    <definedName name="_10__FDSAUDITLINK__" hidden="1">{"fdsup://directions/FAT Viewer?action=UPDATE&amp;creator=factSet&amp;DYN_ARGS=true&amp;DOC_NAME=FAT:RGA_ENTRPR_VAL_MV_SOURCE_WINDOW.FAT&amp;VAR:ID1=BBBY&amp;VAR:SDATE=19990129&amp;VAR:FDATE=19980227&amp;VAR:FREQ=DAILY&amp;VAR:RELITEM=&amp;VAR:CURRENCY=&amp;VAR:DB_TYPE=&amp;VAR:UNITS=M&amp;VAR:SHS_OUT_TY","PE=&amp;window=popup&amp;width=535&amp;height=425&amp;START_MAXIMIZED=FALSE&amp;Y=120"}</definedName>
    <definedName name="_100__FDSAUDITLINK__" localSheetId="5" hidden="1">{"fdsup://directions/FAT Viewer?action=UPDATE&amp;creator=factSet&amp;DYN_ARGS=true&amp;DOC_NAME=FAT:RGA_ENTRPR_VAL_MV_SOURCE_WINDOW.FAT&amp;VAR:ID1=BBBY&amp;VAR:SDATE=20001020&amp;VAR:FDATE=20000229&amp;VAR:FREQ=DAILY&amp;VAR:RELITEM=&amp;VAR:CURRENCY=&amp;VAR:DB_TYPE=&amp;VAR:UNITS=M&amp;VAR:SHS_OUT_TY","PE=&amp;window=popup&amp;width=535&amp;height=425&amp;START_MAXIMIZED=FALSE&amp;Y=120"}</definedName>
    <definedName name="_100__FDSAUDITLINK__" hidden="1">{"fdsup://directions/FAT Viewer?action=UPDATE&amp;creator=factSet&amp;DYN_ARGS=true&amp;DOC_NAME=FAT:RGA_ENTRPR_VAL_MV_SOURCE_WINDOW.FAT&amp;VAR:ID1=BBBY&amp;VAR:SDATE=20001020&amp;VAR:FDATE=20000229&amp;VAR:FREQ=DAILY&amp;VAR:RELITEM=&amp;VAR:CURRENCY=&amp;VAR:DB_TYPE=&amp;VAR:UNITS=M&amp;VAR:SHS_OUT_TY","PE=&amp;window=popup&amp;width=535&amp;height=425&amp;START_MAXIMIZED=FALSE&amp;Y=120"}</definedName>
    <definedName name="_101__FDSAUDITLINK__" localSheetId="5" hidden="1">{"fdsup://directions/FAT Viewer?action=UPDATE&amp;creator=factSet&amp;DYN_ARGS=true&amp;DOC_NAME=FAT:RGA_ENTRPR_VAL_MV_SOURCE_WINDOW.FAT&amp;VAR:ID1=BBBY&amp;VAR:SDATE=20001027&amp;VAR:FDATE=20000229&amp;VAR:FREQ=DAILY&amp;VAR:RELITEM=&amp;VAR:CURRENCY=&amp;VAR:DB_TYPE=&amp;VAR:UNITS=M&amp;VAR:SHS_OUT_TY","PE=&amp;window=popup&amp;width=535&amp;height=425&amp;START_MAXIMIZED=FALSE&amp;Y=120"}</definedName>
    <definedName name="_101__FDSAUDITLINK__" hidden="1">{"fdsup://directions/FAT Viewer?action=UPDATE&amp;creator=factSet&amp;DYN_ARGS=true&amp;DOC_NAME=FAT:RGA_ENTRPR_VAL_MV_SOURCE_WINDOW.FAT&amp;VAR:ID1=BBBY&amp;VAR:SDATE=20001027&amp;VAR:FDATE=20000229&amp;VAR:FREQ=DAILY&amp;VAR:RELITEM=&amp;VAR:CURRENCY=&amp;VAR:DB_TYPE=&amp;VAR:UNITS=M&amp;VAR:SHS_OUT_TY","PE=&amp;window=popup&amp;width=535&amp;height=425&amp;START_MAXIMIZED=FALSE&amp;Y=120"}</definedName>
    <definedName name="_102__FDSAUDITLINK__" localSheetId="5" hidden="1">{"fdsup://directions/FAT Viewer?action=UPDATE&amp;creator=factSet&amp;DYN_ARGS=true&amp;DOC_NAME=FAT:RGA_ENTRPR_VAL_MV_SOURCE_WINDOW.FAT&amp;VAR:ID1=BBBY&amp;VAR:SDATE=20001103&amp;VAR:FDATE=20000229&amp;VAR:FREQ=DAILY&amp;VAR:RELITEM=&amp;VAR:CURRENCY=&amp;VAR:DB_TYPE=&amp;VAR:UNITS=M&amp;VAR:SHS_OUT_TY","PE=&amp;window=popup&amp;width=535&amp;height=425&amp;START_MAXIMIZED=FALSE&amp;Y=120"}</definedName>
    <definedName name="_102__FDSAUDITLINK__" hidden="1">{"fdsup://directions/FAT Viewer?action=UPDATE&amp;creator=factSet&amp;DYN_ARGS=true&amp;DOC_NAME=FAT:RGA_ENTRPR_VAL_MV_SOURCE_WINDOW.FAT&amp;VAR:ID1=BBBY&amp;VAR:SDATE=20001103&amp;VAR:FDATE=20000229&amp;VAR:FREQ=DAILY&amp;VAR:RELITEM=&amp;VAR:CURRENCY=&amp;VAR:DB_TYPE=&amp;VAR:UNITS=M&amp;VAR:SHS_OUT_TY","PE=&amp;window=popup&amp;width=535&amp;height=425&amp;START_MAXIMIZED=FALSE&amp;Y=120"}</definedName>
    <definedName name="_103__FDSAUDITLINK__" localSheetId="5" hidden="1">{"fdsup://directions/FAT Viewer?action=UPDATE&amp;creator=factSet&amp;DYN_ARGS=true&amp;DOC_NAME=FAT:RGA_ENTRPR_VAL_MV_SOURCE_WINDOW.FAT&amp;VAR:ID1=BBBY&amp;VAR:SDATE=20001110&amp;VAR:FDATE=20000229&amp;VAR:FREQ=DAILY&amp;VAR:RELITEM=&amp;VAR:CURRENCY=&amp;VAR:DB_TYPE=&amp;VAR:UNITS=M&amp;VAR:SHS_OUT_TY","PE=&amp;window=popup&amp;width=535&amp;height=425&amp;START_MAXIMIZED=FALSE&amp;Y=120"}</definedName>
    <definedName name="_103__FDSAUDITLINK__" hidden="1">{"fdsup://directions/FAT Viewer?action=UPDATE&amp;creator=factSet&amp;DYN_ARGS=true&amp;DOC_NAME=FAT:RGA_ENTRPR_VAL_MV_SOURCE_WINDOW.FAT&amp;VAR:ID1=BBBY&amp;VAR:SDATE=20001110&amp;VAR:FDATE=20000229&amp;VAR:FREQ=DAILY&amp;VAR:RELITEM=&amp;VAR:CURRENCY=&amp;VAR:DB_TYPE=&amp;VAR:UNITS=M&amp;VAR:SHS_OUT_TY","PE=&amp;window=popup&amp;width=535&amp;height=425&amp;START_MAXIMIZED=FALSE&amp;Y=120"}</definedName>
    <definedName name="_104__FDSAUDITLINK__" localSheetId="5" hidden="1">{"fdsup://directions/FAT Viewer?action=UPDATE&amp;creator=factSet&amp;DYN_ARGS=true&amp;DOC_NAME=FAT:RGA_ENTRPR_VAL_MV_SOURCE_WINDOW.FAT&amp;VAR:ID1=BBBY&amp;VAR:SDATE=20001117&amp;VAR:FDATE=20000229&amp;VAR:FREQ=DAILY&amp;VAR:RELITEM=&amp;VAR:CURRENCY=&amp;VAR:DB_TYPE=&amp;VAR:UNITS=M&amp;VAR:SHS_OUT_TY","PE=&amp;window=popup&amp;width=535&amp;height=425&amp;START_MAXIMIZED=FALSE&amp;Y=120"}</definedName>
    <definedName name="_104__FDSAUDITLINK__" hidden="1">{"fdsup://directions/FAT Viewer?action=UPDATE&amp;creator=factSet&amp;DYN_ARGS=true&amp;DOC_NAME=FAT:RGA_ENTRPR_VAL_MV_SOURCE_WINDOW.FAT&amp;VAR:ID1=BBBY&amp;VAR:SDATE=20001117&amp;VAR:FDATE=20000229&amp;VAR:FREQ=DAILY&amp;VAR:RELITEM=&amp;VAR:CURRENCY=&amp;VAR:DB_TYPE=&amp;VAR:UNITS=M&amp;VAR:SHS_OUT_TY","PE=&amp;window=popup&amp;width=535&amp;height=425&amp;START_MAXIMIZED=FALSE&amp;Y=120"}</definedName>
    <definedName name="_105__FDSAUDITLINK__" localSheetId="5" hidden="1">{"fdsup://directions/FAT Viewer?action=UPDATE&amp;creator=factSet&amp;DYN_ARGS=true&amp;DOC_NAME=FAT:RGA_ENTRPR_VAL_MV_SOURCE_WINDOW.FAT&amp;VAR:ID1=BBBY&amp;VAR:SDATE=20001124&amp;VAR:FDATE=20000229&amp;VAR:FREQ=DAILY&amp;VAR:RELITEM=&amp;VAR:CURRENCY=&amp;VAR:DB_TYPE=&amp;VAR:UNITS=M&amp;VAR:SHS_OUT_TY","PE=&amp;window=popup&amp;width=535&amp;height=425&amp;START_MAXIMIZED=FALSE&amp;Y=120"}</definedName>
    <definedName name="_105__FDSAUDITLINK__" hidden="1">{"fdsup://directions/FAT Viewer?action=UPDATE&amp;creator=factSet&amp;DYN_ARGS=true&amp;DOC_NAME=FAT:RGA_ENTRPR_VAL_MV_SOURCE_WINDOW.FAT&amp;VAR:ID1=BBBY&amp;VAR:SDATE=20001124&amp;VAR:FDATE=20000229&amp;VAR:FREQ=DAILY&amp;VAR:RELITEM=&amp;VAR:CURRENCY=&amp;VAR:DB_TYPE=&amp;VAR:UNITS=M&amp;VAR:SHS_OUT_TY","PE=&amp;window=popup&amp;width=535&amp;height=425&amp;START_MAXIMIZED=FALSE&amp;Y=120"}</definedName>
    <definedName name="_106__FDSAUDITLINK__" localSheetId="5" hidden="1">{"fdsup://directions/FAT Viewer?action=UPDATE&amp;creator=factSet&amp;DYN_ARGS=true&amp;DOC_NAME=FAT:RGA_ENTRPR_VAL_MV_SOURCE_WINDOW.FAT&amp;VAR:ID1=BBBY&amp;VAR:SDATE=20001201&amp;VAR:FDATE=20000229&amp;VAR:FREQ=DAILY&amp;VAR:RELITEM=&amp;VAR:CURRENCY=&amp;VAR:DB_TYPE=&amp;VAR:UNITS=M&amp;VAR:SHS_OUT_TY","PE=&amp;window=popup&amp;width=535&amp;height=425&amp;START_MAXIMIZED=FALSE&amp;Y=120"}</definedName>
    <definedName name="_106__FDSAUDITLINK__" hidden="1">{"fdsup://directions/FAT Viewer?action=UPDATE&amp;creator=factSet&amp;DYN_ARGS=true&amp;DOC_NAME=FAT:RGA_ENTRPR_VAL_MV_SOURCE_WINDOW.FAT&amp;VAR:ID1=BBBY&amp;VAR:SDATE=20001201&amp;VAR:FDATE=20000229&amp;VAR:FREQ=DAILY&amp;VAR:RELITEM=&amp;VAR:CURRENCY=&amp;VAR:DB_TYPE=&amp;VAR:UNITS=M&amp;VAR:SHS_OUT_TY","PE=&amp;window=popup&amp;width=535&amp;height=425&amp;START_MAXIMIZED=FALSE&amp;Y=120"}</definedName>
    <definedName name="_107__FDSAUDITLINK__" localSheetId="5" hidden="1">{"fdsup://directions/FAT Viewer?action=UPDATE&amp;creator=factSet&amp;DYN_ARGS=true&amp;DOC_NAME=FAT:RGA_ENTRPR_VAL_MV_SOURCE_WINDOW.FAT&amp;VAR:ID1=BBBY&amp;VAR:SDATE=20001208&amp;VAR:FDATE=20000229&amp;VAR:FREQ=DAILY&amp;VAR:RELITEM=&amp;VAR:CURRENCY=&amp;VAR:DB_TYPE=&amp;VAR:UNITS=M&amp;VAR:SHS_OUT_TY","PE=&amp;window=popup&amp;width=535&amp;height=425&amp;START_MAXIMIZED=FALSE&amp;Y=120"}</definedName>
    <definedName name="_107__FDSAUDITLINK__" hidden="1">{"fdsup://directions/FAT Viewer?action=UPDATE&amp;creator=factSet&amp;DYN_ARGS=true&amp;DOC_NAME=FAT:RGA_ENTRPR_VAL_MV_SOURCE_WINDOW.FAT&amp;VAR:ID1=BBBY&amp;VAR:SDATE=20001208&amp;VAR:FDATE=20000229&amp;VAR:FREQ=DAILY&amp;VAR:RELITEM=&amp;VAR:CURRENCY=&amp;VAR:DB_TYPE=&amp;VAR:UNITS=M&amp;VAR:SHS_OUT_TY","PE=&amp;window=popup&amp;width=535&amp;height=425&amp;START_MAXIMIZED=FALSE&amp;Y=120"}</definedName>
    <definedName name="_108__FDSAUDITLINK__" localSheetId="5" hidden="1">{"fdsup://directions/FAT Viewer?action=UPDATE&amp;creator=factSet&amp;DYN_ARGS=true&amp;DOC_NAME=FAT:RGA_ENTRPR_VAL_MV_SOURCE_WINDOW.FAT&amp;VAR:ID1=BBBY&amp;VAR:SDATE=20001215&amp;VAR:FDATE=20000229&amp;VAR:FREQ=DAILY&amp;VAR:RELITEM=&amp;VAR:CURRENCY=&amp;VAR:DB_TYPE=&amp;VAR:UNITS=M&amp;VAR:SHS_OUT_TY","PE=&amp;window=popup&amp;width=535&amp;height=425&amp;START_MAXIMIZED=FALSE&amp;Y=120"}</definedName>
    <definedName name="_108__FDSAUDITLINK__" hidden="1">{"fdsup://directions/FAT Viewer?action=UPDATE&amp;creator=factSet&amp;DYN_ARGS=true&amp;DOC_NAME=FAT:RGA_ENTRPR_VAL_MV_SOURCE_WINDOW.FAT&amp;VAR:ID1=BBBY&amp;VAR:SDATE=20001215&amp;VAR:FDATE=20000229&amp;VAR:FREQ=DAILY&amp;VAR:RELITEM=&amp;VAR:CURRENCY=&amp;VAR:DB_TYPE=&amp;VAR:UNITS=M&amp;VAR:SHS_OUT_TY","PE=&amp;window=popup&amp;width=535&amp;height=425&amp;START_MAXIMIZED=FALSE&amp;Y=120"}</definedName>
    <definedName name="_109__FDSAUDITLINK__" localSheetId="5" hidden="1">{"fdsup://directions/FAT Viewer?action=UPDATE&amp;creator=factSet&amp;DYN_ARGS=true&amp;DOC_NAME=FAT:RGA_ENTRPR_VAL_MV_SOURCE_WINDOW.FAT&amp;VAR:ID1=BBBY&amp;VAR:SDATE=20001222&amp;VAR:FDATE=20000229&amp;VAR:FREQ=DAILY&amp;VAR:RELITEM=&amp;VAR:CURRENCY=&amp;VAR:DB_TYPE=&amp;VAR:UNITS=M&amp;VAR:SHS_OUT_TY","PE=&amp;window=popup&amp;width=535&amp;height=425&amp;START_MAXIMIZED=FALSE&amp;Y=120"}</definedName>
    <definedName name="_109__FDSAUDITLINK__" hidden="1">{"fdsup://directions/FAT Viewer?action=UPDATE&amp;creator=factSet&amp;DYN_ARGS=true&amp;DOC_NAME=FAT:RGA_ENTRPR_VAL_MV_SOURCE_WINDOW.FAT&amp;VAR:ID1=BBBY&amp;VAR:SDATE=20001222&amp;VAR:FDATE=20000229&amp;VAR:FREQ=DAILY&amp;VAR:RELITEM=&amp;VAR:CURRENCY=&amp;VAR:DB_TYPE=&amp;VAR:UNITS=M&amp;VAR:SHS_OUT_TY","PE=&amp;window=popup&amp;width=535&amp;height=425&amp;START_MAXIMIZED=FALSE&amp;Y=120"}</definedName>
    <definedName name="_11__FDSAUDITLINK__" localSheetId="5" hidden="1">{"fdsup://directions/FAT Viewer?action=UPDATE&amp;creator=factSet&amp;DYN_ARGS=true&amp;DOC_NAME=FAT:RGA_ENTRPR_VAL_MV_SOURCE_WINDOW.FAT&amp;VAR:ID1=BBBY&amp;VAR:SDATE=19990205&amp;VAR:FDATE=19980227&amp;VAR:FREQ=DAILY&amp;VAR:RELITEM=&amp;VAR:CURRENCY=&amp;VAR:DB_TYPE=&amp;VAR:UNITS=M&amp;VAR:SHS_OUT_TY","PE=&amp;window=popup&amp;width=535&amp;height=425&amp;START_MAXIMIZED=FALSE&amp;Y=120"}</definedName>
    <definedName name="_11__FDSAUDITLINK__" hidden="1">{"fdsup://directions/FAT Viewer?action=UPDATE&amp;creator=factSet&amp;DYN_ARGS=true&amp;DOC_NAME=FAT:RGA_ENTRPR_VAL_MV_SOURCE_WINDOW.FAT&amp;VAR:ID1=BBBY&amp;VAR:SDATE=19990205&amp;VAR:FDATE=19980227&amp;VAR:FREQ=DAILY&amp;VAR:RELITEM=&amp;VAR:CURRENCY=&amp;VAR:DB_TYPE=&amp;VAR:UNITS=M&amp;VAR:SHS_OUT_TY","PE=&amp;window=popup&amp;width=535&amp;height=425&amp;START_MAXIMIZED=FALSE&amp;Y=120"}</definedName>
    <definedName name="_110__FDSAUDITLINK__" localSheetId="5" hidden="1">{"fdsup://directions/FAT Viewer?action=UPDATE&amp;creator=factSet&amp;DYN_ARGS=true&amp;DOC_NAME=FAT:RGA_ENTRPR_VAL_MV_SOURCE_WINDOW.FAT&amp;VAR:ID1=BBBY&amp;VAR:SDATE=20001229&amp;VAR:FDATE=20000229&amp;VAR:FREQ=DAILY&amp;VAR:RELITEM=&amp;VAR:CURRENCY=&amp;VAR:DB_TYPE=&amp;VAR:UNITS=M&amp;VAR:SHS_OUT_TY","PE=&amp;window=popup&amp;width=535&amp;height=425&amp;START_MAXIMIZED=FALSE&amp;Y=120"}</definedName>
    <definedName name="_110__FDSAUDITLINK__" hidden="1">{"fdsup://directions/FAT Viewer?action=UPDATE&amp;creator=factSet&amp;DYN_ARGS=true&amp;DOC_NAME=FAT:RGA_ENTRPR_VAL_MV_SOURCE_WINDOW.FAT&amp;VAR:ID1=BBBY&amp;VAR:SDATE=20001229&amp;VAR:FDATE=20000229&amp;VAR:FREQ=DAILY&amp;VAR:RELITEM=&amp;VAR:CURRENCY=&amp;VAR:DB_TYPE=&amp;VAR:UNITS=M&amp;VAR:SHS_OUT_TY","PE=&amp;window=popup&amp;width=535&amp;height=425&amp;START_MAXIMIZED=FALSE&amp;Y=120"}</definedName>
    <definedName name="_111__FDSAUDITLINK__" localSheetId="5" hidden="1">{"fdsup://directions/FAT Viewer?action=UPDATE&amp;creator=factSet&amp;DYN_ARGS=true&amp;DOC_NAME=FAT:RGA_ENTRPR_VAL_MV_SOURCE_WINDOW.FAT&amp;VAR:ID1=BBBY&amp;VAR:SDATE=20010105&amp;VAR:FDATE=20000229&amp;VAR:FREQ=DAILY&amp;VAR:RELITEM=&amp;VAR:CURRENCY=&amp;VAR:DB_TYPE=&amp;VAR:UNITS=M&amp;VAR:SHS_OUT_TY","PE=&amp;window=popup&amp;width=535&amp;height=425&amp;START_MAXIMIZED=FALSE&amp;Y=120"}</definedName>
    <definedName name="_111__FDSAUDITLINK__" hidden="1">{"fdsup://directions/FAT Viewer?action=UPDATE&amp;creator=factSet&amp;DYN_ARGS=true&amp;DOC_NAME=FAT:RGA_ENTRPR_VAL_MV_SOURCE_WINDOW.FAT&amp;VAR:ID1=BBBY&amp;VAR:SDATE=20010105&amp;VAR:FDATE=20000229&amp;VAR:FREQ=DAILY&amp;VAR:RELITEM=&amp;VAR:CURRENCY=&amp;VAR:DB_TYPE=&amp;VAR:UNITS=M&amp;VAR:SHS_OUT_TY","PE=&amp;window=popup&amp;width=535&amp;height=425&amp;START_MAXIMIZED=FALSE&amp;Y=120"}</definedName>
    <definedName name="_112__FDSAUDITLINK__" localSheetId="5" hidden="1">{"fdsup://directions/FAT Viewer?action=UPDATE&amp;creator=factSet&amp;DYN_ARGS=true&amp;DOC_NAME=FAT:RGA_ENTRPR_VAL_MV_SOURCE_WINDOW.FAT&amp;VAR:ID1=BBBY&amp;VAR:SDATE=20010112&amp;VAR:FDATE=20000229&amp;VAR:FREQ=DAILY&amp;VAR:RELITEM=&amp;VAR:CURRENCY=&amp;VAR:DB_TYPE=&amp;VAR:UNITS=M&amp;VAR:SHS_OUT_TY","PE=&amp;window=popup&amp;width=535&amp;height=425&amp;START_MAXIMIZED=FALSE&amp;Y=120"}</definedName>
    <definedName name="_112__FDSAUDITLINK__" hidden="1">{"fdsup://directions/FAT Viewer?action=UPDATE&amp;creator=factSet&amp;DYN_ARGS=true&amp;DOC_NAME=FAT:RGA_ENTRPR_VAL_MV_SOURCE_WINDOW.FAT&amp;VAR:ID1=BBBY&amp;VAR:SDATE=20010112&amp;VAR:FDATE=20000229&amp;VAR:FREQ=DAILY&amp;VAR:RELITEM=&amp;VAR:CURRENCY=&amp;VAR:DB_TYPE=&amp;VAR:UNITS=M&amp;VAR:SHS_OUT_TY","PE=&amp;window=popup&amp;width=535&amp;height=425&amp;START_MAXIMIZED=FALSE&amp;Y=120"}</definedName>
    <definedName name="_113__FDSAUDITLINK__" localSheetId="5" hidden="1">{"fdsup://directions/FAT Viewer?action=UPDATE&amp;creator=factSet&amp;DYN_ARGS=true&amp;DOC_NAME=FAT:RGA_ENTRPR_VAL_MV_SOURCE_WINDOW.FAT&amp;VAR:ID1=BBBY&amp;VAR:SDATE=20010119&amp;VAR:FDATE=20000229&amp;VAR:FREQ=DAILY&amp;VAR:RELITEM=&amp;VAR:CURRENCY=&amp;VAR:DB_TYPE=&amp;VAR:UNITS=M&amp;VAR:SHS_OUT_TY","PE=&amp;window=popup&amp;width=535&amp;height=425&amp;START_MAXIMIZED=FALSE&amp;Y=120"}</definedName>
    <definedName name="_113__FDSAUDITLINK__" hidden="1">{"fdsup://directions/FAT Viewer?action=UPDATE&amp;creator=factSet&amp;DYN_ARGS=true&amp;DOC_NAME=FAT:RGA_ENTRPR_VAL_MV_SOURCE_WINDOW.FAT&amp;VAR:ID1=BBBY&amp;VAR:SDATE=20010119&amp;VAR:FDATE=20000229&amp;VAR:FREQ=DAILY&amp;VAR:RELITEM=&amp;VAR:CURRENCY=&amp;VAR:DB_TYPE=&amp;VAR:UNITS=M&amp;VAR:SHS_OUT_TY","PE=&amp;window=popup&amp;width=535&amp;height=425&amp;START_MAXIMIZED=FALSE&amp;Y=120"}</definedName>
    <definedName name="_114__FDSAUDITLINK__" localSheetId="5" hidden="1">{"fdsup://directions/FAT Viewer?action=UPDATE&amp;creator=factSet&amp;DYN_ARGS=true&amp;DOC_NAME=FAT:RGA_ENTRPR_VAL_MV_SOURCE_WINDOW.FAT&amp;VAR:ID1=BBBY&amp;VAR:SDATE=20010126&amp;VAR:FDATE=20000229&amp;VAR:FREQ=DAILY&amp;VAR:RELITEM=&amp;VAR:CURRENCY=&amp;VAR:DB_TYPE=&amp;VAR:UNITS=M&amp;VAR:SHS_OUT_TY","PE=&amp;window=popup&amp;width=535&amp;height=425&amp;START_MAXIMIZED=FALSE&amp;Y=120"}</definedName>
    <definedName name="_114__FDSAUDITLINK__" hidden="1">{"fdsup://directions/FAT Viewer?action=UPDATE&amp;creator=factSet&amp;DYN_ARGS=true&amp;DOC_NAME=FAT:RGA_ENTRPR_VAL_MV_SOURCE_WINDOW.FAT&amp;VAR:ID1=BBBY&amp;VAR:SDATE=20010126&amp;VAR:FDATE=20000229&amp;VAR:FREQ=DAILY&amp;VAR:RELITEM=&amp;VAR:CURRENCY=&amp;VAR:DB_TYPE=&amp;VAR:UNITS=M&amp;VAR:SHS_OUT_TY","PE=&amp;window=popup&amp;width=535&amp;height=425&amp;START_MAXIMIZED=FALSE&amp;Y=120"}</definedName>
    <definedName name="_115__FDSAUDITLINK__" localSheetId="5" hidden="1">{"fdsup://directions/FAT Viewer?action=UPDATE&amp;creator=factSet&amp;DYN_ARGS=true&amp;DOC_NAME=FAT:RGA_ENTRPR_VAL_MV_SOURCE_WINDOW.FAT&amp;VAR:ID1=BBBY&amp;VAR:SDATE=20010202&amp;VAR:FDATE=20000229&amp;VAR:FREQ=DAILY&amp;VAR:RELITEM=&amp;VAR:CURRENCY=&amp;VAR:DB_TYPE=&amp;VAR:UNITS=M&amp;VAR:SHS_OUT_TY","PE=&amp;window=popup&amp;width=535&amp;height=425&amp;START_MAXIMIZED=FALSE&amp;Y=120"}</definedName>
    <definedName name="_115__FDSAUDITLINK__" hidden="1">{"fdsup://directions/FAT Viewer?action=UPDATE&amp;creator=factSet&amp;DYN_ARGS=true&amp;DOC_NAME=FAT:RGA_ENTRPR_VAL_MV_SOURCE_WINDOW.FAT&amp;VAR:ID1=BBBY&amp;VAR:SDATE=20010202&amp;VAR:FDATE=20000229&amp;VAR:FREQ=DAILY&amp;VAR:RELITEM=&amp;VAR:CURRENCY=&amp;VAR:DB_TYPE=&amp;VAR:UNITS=M&amp;VAR:SHS_OUT_TY","PE=&amp;window=popup&amp;width=535&amp;height=425&amp;START_MAXIMIZED=FALSE&amp;Y=120"}</definedName>
    <definedName name="_116__FDSAUDITLINK__" localSheetId="5" hidden="1">{"fdsup://directions/FAT Viewer?action=UPDATE&amp;creator=factSet&amp;DYN_ARGS=true&amp;DOC_NAME=FAT:RGA_ENTRPR_VAL_MV_SOURCE_WINDOW.FAT&amp;VAR:ID1=BBBY&amp;VAR:SDATE=20010209&amp;VAR:FDATE=20000229&amp;VAR:FREQ=DAILY&amp;VAR:RELITEM=&amp;VAR:CURRENCY=&amp;VAR:DB_TYPE=&amp;VAR:UNITS=M&amp;VAR:SHS_OUT_TY","PE=&amp;window=popup&amp;width=535&amp;height=425&amp;START_MAXIMIZED=FALSE&amp;Y=120"}</definedName>
    <definedName name="_116__FDSAUDITLINK__" hidden="1">{"fdsup://directions/FAT Viewer?action=UPDATE&amp;creator=factSet&amp;DYN_ARGS=true&amp;DOC_NAME=FAT:RGA_ENTRPR_VAL_MV_SOURCE_WINDOW.FAT&amp;VAR:ID1=BBBY&amp;VAR:SDATE=20010209&amp;VAR:FDATE=20000229&amp;VAR:FREQ=DAILY&amp;VAR:RELITEM=&amp;VAR:CURRENCY=&amp;VAR:DB_TYPE=&amp;VAR:UNITS=M&amp;VAR:SHS_OUT_TY","PE=&amp;window=popup&amp;width=535&amp;height=425&amp;START_MAXIMIZED=FALSE&amp;Y=120"}</definedName>
    <definedName name="_117__FDSAUDITLINK__" localSheetId="5" hidden="1">{"fdsup://directions/FAT Viewer?action=UPDATE&amp;creator=factSet&amp;DYN_ARGS=true&amp;DOC_NAME=FAT:RGA_ENTRPR_VAL_MV_SOURCE_WINDOW.FAT&amp;VAR:ID1=BBBY&amp;VAR:SDATE=20010216&amp;VAR:FDATE=20000229&amp;VAR:FREQ=DAILY&amp;VAR:RELITEM=&amp;VAR:CURRENCY=&amp;VAR:DB_TYPE=&amp;VAR:UNITS=M&amp;VAR:SHS_OUT_TY","PE=&amp;window=popup&amp;width=535&amp;height=425&amp;START_MAXIMIZED=FALSE&amp;Y=120"}</definedName>
    <definedName name="_117__FDSAUDITLINK__" hidden="1">{"fdsup://directions/FAT Viewer?action=UPDATE&amp;creator=factSet&amp;DYN_ARGS=true&amp;DOC_NAME=FAT:RGA_ENTRPR_VAL_MV_SOURCE_WINDOW.FAT&amp;VAR:ID1=BBBY&amp;VAR:SDATE=20010216&amp;VAR:FDATE=20000229&amp;VAR:FREQ=DAILY&amp;VAR:RELITEM=&amp;VAR:CURRENCY=&amp;VAR:DB_TYPE=&amp;VAR:UNITS=M&amp;VAR:SHS_OUT_TY","PE=&amp;window=popup&amp;width=535&amp;height=425&amp;START_MAXIMIZED=FALSE&amp;Y=120"}</definedName>
    <definedName name="_118__FDSAUDITLINK__" localSheetId="5" hidden="1">{"fdsup://directions/FAT Viewer?action=UPDATE&amp;creator=factSet&amp;DYN_ARGS=true&amp;DOC_NAME=FAT:RGA_ENTRPR_VAL_MV_SOURCE_WINDOW.FAT&amp;VAR:ID1=BBBY&amp;VAR:SDATE=20010223&amp;VAR:FDATE=20000229&amp;VAR:FREQ=DAILY&amp;VAR:RELITEM=&amp;VAR:CURRENCY=&amp;VAR:DB_TYPE=&amp;VAR:UNITS=M&amp;VAR:SHS_OUT_TY","PE=&amp;window=popup&amp;width=535&amp;height=425&amp;START_MAXIMIZED=FALSE&amp;Y=120"}</definedName>
    <definedName name="_118__FDSAUDITLINK__" hidden="1">{"fdsup://directions/FAT Viewer?action=UPDATE&amp;creator=factSet&amp;DYN_ARGS=true&amp;DOC_NAME=FAT:RGA_ENTRPR_VAL_MV_SOURCE_WINDOW.FAT&amp;VAR:ID1=BBBY&amp;VAR:SDATE=20010223&amp;VAR:FDATE=20000229&amp;VAR:FREQ=DAILY&amp;VAR:RELITEM=&amp;VAR:CURRENCY=&amp;VAR:DB_TYPE=&amp;VAR:UNITS=M&amp;VAR:SHS_OUT_TY","PE=&amp;window=popup&amp;width=535&amp;height=425&amp;START_MAXIMIZED=FALSE&amp;Y=120"}</definedName>
    <definedName name="_119__FDSAUDITLINK__" localSheetId="5" hidden="1">{"fdsup://directions/FAT Viewer?action=UPDATE&amp;creator=factSet&amp;DYN_ARGS=true&amp;DOC_NAME=FAT:RGA_ENTRPR_VAL_MV_SOURCE_WINDOW.FAT&amp;VAR:ID1=BBBY&amp;VAR:SDATE=20010302&amp;VAR:FDATE=20010228&amp;VAR:FREQ=DAILY&amp;VAR:RELITEM=&amp;VAR:CURRENCY=&amp;VAR:DB_TYPE=&amp;VAR:UNITS=M&amp;VAR:SHS_OUT_TY","PE=&amp;window=popup&amp;width=535&amp;height=425&amp;START_MAXIMIZED=FALSE&amp;Y=120"}</definedName>
    <definedName name="_119__FDSAUDITLINK__" hidden="1">{"fdsup://directions/FAT Viewer?action=UPDATE&amp;creator=factSet&amp;DYN_ARGS=true&amp;DOC_NAME=FAT:RGA_ENTRPR_VAL_MV_SOURCE_WINDOW.FAT&amp;VAR:ID1=BBBY&amp;VAR:SDATE=20010302&amp;VAR:FDATE=20010228&amp;VAR:FREQ=DAILY&amp;VAR:RELITEM=&amp;VAR:CURRENCY=&amp;VAR:DB_TYPE=&amp;VAR:UNITS=M&amp;VAR:SHS_OUT_TY","PE=&amp;window=popup&amp;width=535&amp;height=425&amp;START_MAXIMIZED=FALSE&amp;Y=120"}</definedName>
    <definedName name="_12__FDSAUDITLINK__" localSheetId="5" hidden="1">{"fdsup://directions/FAT Viewer?action=UPDATE&amp;creator=factSet&amp;DYN_ARGS=true&amp;DOC_NAME=FAT:RGA_ENTRPR_VAL_MV_SOURCE_WINDOW.FAT&amp;VAR:ID1=BBBY&amp;VAR:SDATE=19990212&amp;VAR:FDATE=19980227&amp;VAR:FREQ=DAILY&amp;VAR:RELITEM=&amp;VAR:CURRENCY=&amp;VAR:DB_TYPE=&amp;VAR:UNITS=M&amp;VAR:SHS_OUT_TY","PE=&amp;window=popup&amp;width=535&amp;height=425&amp;START_MAXIMIZED=FALSE&amp;Y=120"}</definedName>
    <definedName name="_12__FDSAUDITLINK__" hidden="1">{"fdsup://directions/FAT Viewer?action=UPDATE&amp;creator=factSet&amp;DYN_ARGS=true&amp;DOC_NAME=FAT:RGA_ENTRPR_VAL_MV_SOURCE_WINDOW.FAT&amp;VAR:ID1=BBBY&amp;VAR:SDATE=19990212&amp;VAR:FDATE=19980227&amp;VAR:FREQ=DAILY&amp;VAR:RELITEM=&amp;VAR:CURRENCY=&amp;VAR:DB_TYPE=&amp;VAR:UNITS=M&amp;VAR:SHS_OUT_TY","PE=&amp;window=popup&amp;width=535&amp;height=425&amp;START_MAXIMIZED=FALSE&amp;Y=120"}</definedName>
    <definedName name="_120__FDSAUDITLINK__" localSheetId="5" hidden="1">{"fdsup://directions/FAT Viewer?action=UPDATE&amp;creator=factSet&amp;DYN_ARGS=true&amp;DOC_NAME=FAT:RGA_ENTRPR_VAL_MV_SOURCE_WINDOW.FAT&amp;VAR:ID1=BBBY&amp;VAR:SDATE=20010309&amp;VAR:FDATE=20010228&amp;VAR:FREQ=DAILY&amp;VAR:RELITEM=&amp;VAR:CURRENCY=&amp;VAR:DB_TYPE=&amp;VAR:UNITS=M&amp;VAR:SHS_OUT_TY","PE=&amp;window=popup&amp;width=535&amp;height=425&amp;START_MAXIMIZED=FALSE&amp;Y=120"}</definedName>
    <definedName name="_120__FDSAUDITLINK__" hidden="1">{"fdsup://directions/FAT Viewer?action=UPDATE&amp;creator=factSet&amp;DYN_ARGS=true&amp;DOC_NAME=FAT:RGA_ENTRPR_VAL_MV_SOURCE_WINDOW.FAT&amp;VAR:ID1=BBBY&amp;VAR:SDATE=20010309&amp;VAR:FDATE=20010228&amp;VAR:FREQ=DAILY&amp;VAR:RELITEM=&amp;VAR:CURRENCY=&amp;VAR:DB_TYPE=&amp;VAR:UNITS=M&amp;VAR:SHS_OUT_TY","PE=&amp;window=popup&amp;width=535&amp;height=425&amp;START_MAXIMIZED=FALSE&amp;Y=120"}</definedName>
    <definedName name="_121__FDSAUDITLINK__" localSheetId="5" hidden="1">{"fdsup://directions/FAT Viewer?action=UPDATE&amp;creator=factSet&amp;DYN_ARGS=true&amp;DOC_NAME=FAT:RGA_ENTRPR_VAL_MV_SOURCE_WINDOW.FAT&amp;VAR:ID1=BBBY&amp;VAR:SDATE=20010316&amp;VAR:FDATE=20010228&amp;VAR:FREQ=DAILY&amp;VAR:RELITEM=&amp;VAR:CURRENCY=&amp;VAR:DB_TYPE=&amp;VAR:UNITS=M&amp;VAR:SHS_OUT_TY","PE=&amp;window=popup&amp;width=535&amp;height=425&amp;START_MAXIMIZED=FALSE&amp;Y=120"}</definedName>
    <definedName name="_121__FDSAUDITLINK__" hidden="1">{"fdsup://directions/FAT Viewer?action=UPDATE&amp;creator=factSet&amp;DYN_ARGS=true&amp;DOC_NAME=FAT:RGA_ENTRPR_VAL_MV_SOURCE_WINDOW.FAT&amp;VAR:ID1=BBBY&amp;VAR:SDATE=20010316&amp;VAR:FDATE=20010228&amp;VAR:FREQ=DAILY&amp;VAR:RELITEM=&amp;VAR:CURRENCY=&amp;VAR:DB_TYPE=&amp;VAR:UNITS=M&amp;VAR:SHS_OUT_TY","PE=&amp;window=popup&amp;width=535&amp;height=425&amp;START_MAXIMIZED=FALSE&amp;Y=120"}</definedName>
    <definedName name="_122__FDSAUDITLINK__" localSheetId="5" hidden="1">{"fdsup://directions/FAT Viewer?action=UPDATE&amp;creator=factSet&amp;DYN_ARGS=true&amp;DOC_NAME=FAT:RGA_ENTRPR_VAL_MV_SOURCE_WINDOW.FAT&amp;VAR:ID1=BBBY&amp;VAR:SDATE=20010323&amp;VAR:FDATE=20010228&amp;VAR:FREQ=DAILY&amp;VAR:RELITEM=&amp;VAR:CURRENCY=&amp;VAR:DB_TYPE=&amp;VAR:UNITS=M&amp;VAR:SHS_OUT_TY","PE=&amp;window=popup&amp;width=535&amp;height=425&amp;START_MAXIMIZED=FALSE&amp;Y=120"}</definedName>
    <definedName name="_122__FDSAUDITLINK__" hidden="1">{"fdsup://directions/FAT Viewer?action=UPDATE&amp;creator=factSet&amp;DYN_ARGS=true&amp;DOC_NAME=FAT:RGA_ENTRPR_VAL_MV_SOURCE_WINDOW.FAT&amp;VAR:ID1=BBBY&amp;VAR:SDATE=20010323&amp;VAR:FDATE=20010228&amp;VAR:FREQ=DAILY&amp;VAR:RELITEM=&amp;VAR:CURRENCY=&amp;VAR:DB_TYPE=&amp;VAR:UNITS=M&amp;VAR:SHS_OUT_TY","PE=&amp;window=popup&amp;width=535&amp;height=425&amp;START_MAXIMIZED=FALSE&amp;Y=120"}</definedName>
    <definedName name="_123__FDSAUDITLINK__" localSheetId="5" hidden="1">{"fdsup://directions/FAT Viewer?action=UPDATE&amp;creator=factSet&amp;DYN_ARGS=true&amp;DOC_NAME=FAT:RGA_ENTRPR_VAL_MV_SOURCE_WINDOW.FAT&amp;VAR:ID1=BBBY&amp;VAR:SDATE=20010330&amp;VAR:FDATE=20010228&amp;VAR:FREQ=DAILY&amp;VAR:RELITEM=&amp;VAR:CURRENCY=&amp;VAR:DB_TYPE=&amp;VAR:UNITS=M&amp;VAR:SHS_OUT_TY","PE=&amp;window=popup&amp;width=535&amp;height=425&amp;START_MAXIMIZED=FALSE&amp;Y=120"}</definedName>
    <definedName name="_123__FDSAUDITLINK__" hidden="1">{"fdsup://directions/FAT Viewer?action=UPDATE&amp;creator=factSet&amp;DYN_ARGS=true&amp;DOC_NAME=FAT:RGA_ENTRPR_VAL_MV_SOURCE_WINDOW.FAT&amp;VAR:ID1=BBBY&amp;VAR:SDATE=20010330&amp;VAR:FDATE=20010228&amp;VAR:FREQ=DAILY&amp;VAR:RELITEM=&amp;VAR:CURRENCY=&amp;VAR:DB_TYPE=&amp;VAR:UNITS=M&amp;VAR:SHS_OUT_TY","PE=&amp;window=popup&amp;width=535&amp;height=425&amp;START_MAXIMIZED=FALSE&amp;Y=120"}</definedName>
    <definedName name="_123Graph_AC" hidden="1">#REF!</definedName>
    <definedName name="_124__FDSAUDITLINK__" localSheetId="5" hidden="1">{"fdsup://directions/FAT Viewer?action=UPDATE&amp;creator=factSet&amp;DYN_ARGS=true&amp;DOC_NAME=FAT:RGA_ENTRPR_VAL_MV_SOURCE_WINDOW.FAT&amp;VAR:ID1=BBBY&amp;VAR:SDATE=20010406&amp;VAR:FDATE=20010228&amp;VAR:FREQ=DAILY&amp;VAR:RELITEM=&amp;VAR:CURRENCY=&amp;VAR:DB_TYPE=&amp;VAR:UNITS=M&amp;VAR:SHS_OUT_TY","PE=&amp;window=popup&amp;width=535&amp;height=425&amp;START_MAXIMIZED=FALSE&amp;Y=120"}</definedName>
    <definedName name="_124__FDSAUDITLINK__" hidden="1">{"fdsup://directions/FAT Viewer?action=UPDATE&amp;creator=factSet&amp;DYN_ARGS=true&amp;DOC_NAME=FAT:RGA_ENTRPR_VAL_MV_SOURCE_WINDOW.FAT&amp;VAR:ID1=BBBY&amp;VAR:SDATE=20010406&amp;VAR:FDATE=20010228&amp;VAR:FREQ=DAILY&amp;VAR:RELITEM=&amp;VAR:CURRENCY=&amp;VAR:DB_TYPE=&amp;VAR:UNITS=M&amp;VAR:SHS_OUT_TY","PE=&amp;window=popup&amp;width=535&amp;height=425&amp;START_MAXIMIZED=FALSE&amp;Y=120"}</definedName>
    <definedName name="_125__FDSAUDITLINK__" localSheetId="5" hidden="1">{"fdsup://directions/FAT Viewer?action=UPDATE&amp;creator=factSet&amp;DYN_ARGS=true&amp;DOC_NAME=FAT:RGA_ENTRPR_VAL_MV_SOURCE_WINDOW.FAT&amp;VAR:ID1=BBBY&amp;VAR:SDATE=20010412&amp;VAR:FDATE=20010228&amp;VAR:FREQ=DAILY&amp;VAR:RELITEM=&amp;VAR:CURRENCY=&amp;VAR:DB_TYPE=&amp;VAR:UNITS=M&amp;VAR:SHS_OUT_TY","PE=&amp;window=popup&amp;width=535&amp;height=425&amp;START_MAXIMIZED=FALSE&amp;Y=120"}</definedName>
    <definedName name="_125__FDSAUDITLINK__" hidden="1">{"fdsup://directions/FAT Viewer?action=UPDATE&amp;creator=factSet&amp;DYN_ARGS=true&amp;DOC_NAME=FAT:RGA_ENTRPR_VAL_MV_SOURCE_WINDOW.FAT&amp;VAR:ID1=BBBY&amp;VAR:SDATE=20010412&amp;VAR:FDATE=20010228&amp;VAR:FREQ=DAILY&amp;VAR:RELITEM=&amp;VAR:CURRENCY=&amp;VAR:DB_TYPE=&amp;VAR:UNITS=M&amp;VAR:SHS_OUT_TY","PE=&amp;window=popup&amp;width=535&amp;height=425&amp;START_MAXIMIZED=FALSE&amp;Y=120"}</definedName>
    <definedName name="_126__FDSAUDITLINK__" localSheetId="5" hidden="1">{"fdsup://directions/FAT Viewer?action=UPDATE&amp;creator=factSet&amp;DYN_ARGS=true&amp;DOC_NAME=FAT:RGA_ENTRPR_VAL_MV_SOURCE_WINDOW.FAT&amp;VAR:ID1=BBBY&amp;VAR:SDATE=20010420&amp;VAR:FDATE=20010228&amp;VAR:FREQ=DAILY&amp;VAR:RELITEM=&amp;VAR:CURRENCY=&amp;VAR:DB_TYPE=&amp;VAR:UNITS=M&amp;VAR:SHS_OUT_TY","PE=&amp;window=popup&amp;width=535&amp;height=425&amp;START_MAXIMIZED=FALSE&amp;Y=120"}</definedName>
    <definedName name="_126__FDSAUDITLINK__" hidden="1">{"fdsup://directions/FAT Viewer?action=UPDATE&amp;creator=factSet&amp;DYN_ARGS=true&amp;DOC_NAME=FAT:RGA_ENTRPR_VAL_MV_SOURCE_WINDOW.FAT&amp;VAR:ID1=BBBY&amp;VAR:SDATE=20010420&amp;VAR:FDATE=20010228&amp;VAR:FREQ=DAILY&amp;VAR:RELITEM=&amp;VAR:CURRENCY=&amp;VAR:DB_TYPE=&amp;VAR:UNITS=M&amp;VAR:SHS_OUT_TY","PE=&amp;window=popup&amp;width=535&amp;height=425&amp;START_MAXIMIZED=FALSE&amp;Y=120"}</definedName>
    <definedName name="_127__FDSAUDITLINK__" localSheetId="5" hidden="1">{"fdsup://directions/FAT Viewer?action=UPDATE&amp;creator=factSet&amp;DYN_ARGS=true&amp;DOC_NAME=FAT:RGA_ENTRPR_VAL_MV_SOURCE_WINDOW.FAT&amp;VAR:ID1=BBBY&amp;VAR:SDATE=20010427&amp;VAR:FDATE=20010228&amp;VAR:FREQ=DAILY&amp;VAR:RELITEM=&amp;VAR:CURRENCY=&amp;VAR:DB_TYPE=&amp;VAR:UNITS=M&amp;VAR:SHS_OUT_TY","PE=&amp;window=popup&amp;width=535&amp;height=425&amp;START_MAXIMIZED=FALSE&amp;Y=120"}</definedName>
    <definedName name="_127__FDSAUDITLINK__" hidden="1">{"fdsup://directions/FAT Viewer?action=UPDATE&amp;creator=factSet&amp;DYN_ARGS=true&amp;DOC_NAME=FAT:RGA_ENTRPR_VAL_MV_SOURCE_WINDOW.FAT&amp;VAR:ID1=BBBY&amp;VAR:SDATE=20010427&amp;VAR:FDATE=20010228&amp;VAR:FREQ=DAILY&amp;VAR:RELITEM=&amp;VAR:CURRENCY=&amp;VAR:DB_TYPE=&amp;VAR:UNITS=M&amp;VAR:SHS_OUT_TY","PE=&amp;window=popup&amp;width=535&amp;height=425&amp;START_MAXIMIZED=FALSE&amp;Y=120"}</definedName>
    <definedName name="_128__FDSAUDITLINK__" localSheetId="5" hidden="1">{"fdsup://directions/FAT Viewer?action=UPDATE&amp;creator=factSet&amp;DYN_ARGS=true&amp;DOC_NAME=FAT:RGA_ENTRPR_VAL_MV_SOURCE_WINDOW.FAT&amp;VAR:ID1=BBBY&amp;VAR:SDATE=20010504&amp;VAR:FDATE=20010228&amp;VAR:FREQ=DAILY&amp;VAR:RELITEM=&amp;VAR:CURRENCY=&amp;VAR:DB_TYPE=&amp;VAR:UNITS=M&amp;VAR:SHS_OUT_TY","PE=&amp;window=popup&amp;width=535&amp;height=425&amp;START_MAXIMIZED=FALSE&amp;Y=120"}</definedName>
    <definedName name="_128__FDSAUDITLINK__" hidden="1">{"fdsup://directions/FAT Viewer?action=UPDATE&amp;creator=factSet&amp;DYN_ARGS=true&amp;DOC_NAME=FAT:RGA_ENTRPR_VAL_MV_SOURCE_WINDOW.FAT&amp;VAR:ID1=BBBY&amp;VAR:SDATE=20010504&amp;VAR:FDATE=20010228&amp;VAR:FREQ=DAILY&amp;VAR:RELITEM=&amp;VAR:CURRENCY=&amp;VAR:DB_TYPE=&amp;VAR:UNITS=M&amp;VAR:SHS_OUT_TY","PE=&amp;window=popup&amp;width=535&amp;height=425&amp;START_MAXIMIZED=FALSE&amp;Y=120"}</definedName>
    <definedName name="_129__FDSAUDITLINK__" localSheetId="5" hidden="1">{"fdsup://directions/FAT Viewer?action=UPDATE&amp;creator=factSet&amp;DYN_ARGS=true&amp;DOC_NAME=FAT:RGA_ENTRPR_VAL_MV_SOURCE_WINDOW.FAT&amp;VAR:ID1=BBBY&amp;VAR:SDATE=20010511&amp;VAR:FDATE=20010228&amp;VAR:FREQ=DAILY&amp;VAR:RELITEM=&amp;VAR:CURRENCY=&amp;VAR:DB_TYPE=&amp;VAR:UNITS=M&amp;VAR:SHS_OUT_TY","PE=&amp;window=popup&amp;width=535&amp;height=425&amp;START_MAXIMIZED=FALSE&amp;Y=120"}</definedName>
    <definedName name="_129__FDSAUDITLINK__" hidden="1">{"fdsup://directions/FAT Viewer?action=UPDATE&amp;creator=factSet&amp;DYN_ARGS=true&amp;DOC_NAME=FAT:RGA_ENTRPR_VAL_MV_SOURCE_WINDOW.FAT&amp;VAR:ID1=BBBY&amp;VAR:SDATE=20010511&amp;VAR:FDATE=20010228&amp;VAR:FREQ=DAILY&amp;VAR:RELITEM=&amp;VAR:CURRENCY=&amp;VAR:DB_TYPE=&amp;VAR:UNITS=M&amp;VAR:SHS_OUT_TY","PE=&amp;window=popup&amp;width=535&amp;height=425&amp;START_MAXIMIZED=FALSE&amp;Y=120"}</definedName>
    <definedName name="_13__FDSAUDITLINK__" localSheetId="5" hidden="1">{"fdsup://directions/FAT Viewer?action=UPDATE&amp;creator=factSet&amp;DYN_ARGS=true&amp;DOC_NAME=FAT:RGA_ENTRPR_VAL_MV_SOURCE_WINDOW.FAT&amp;VAR:ID1=BBBY&amp;VAR:SDATE=19990219&amp;VAR:FDATE=19980227&amp;VAR:FREQ=DAILY&amp;VAR:RELITEM=&amp;VAR:CURRENCY=&amp;VAR:DB_TYPE=&amp;VAR:UNITS=M&amp;VAR:SHS_OUT_TY","PE=&amp;window=popup&amp;width=535&amp;height=425&amp;START_MAXIMIZED=FALSE&amp;Y=120"}</definedName>
    <definedName name="_13__FDSAUDITLINK__" hidden="1">{"fdsup://directions/FAT Viewer?action=UPDATE&amp;creator=factSet&amp;DYN_ARGS=true&amp;DOC_NAME=FAT:RGA_ENTRPR_VAL_MV_SOURCE_WINDOW.FAT&amp;VAR:ID1=BBBY&amp;VAR:SDATE=19990219&amp;VAR:FDATE=19980227&amp;VAR:FREQ=DAILY&amp;VAR:RELITEM=&amp;VAR:CURRENCY=&amp;VAR:DB_TYPE=&amp;VAR:UNITS=M&amp;VAR:SHS_OUT_TY","PE=&amp;window=popup&amp;width=535&amp;height=425&amp;START_MAXIMIZED=FALSE&amp;Y=120"}</definedName>
    <definedName name="_130__FDSAUDITLINK__" localSheetId="5" hidden="1">{"fdsup://directions/FAT Viewer?action=UPDATE&amp;creator=factSet&amp;DYN_ARGS=true&amp;DOC_NAME=FAT:RGA_ENTRPR_VAL_MV_SOURCE_WINDOW.FAT&amp;VAR:ID1=BBBY&amp;VAR:SDATE=20010518&amp;VAR:FDATE=20010228&amp;VAR:FREQ=DAILY&amp;VAR:RELITEM=&amp;VAR:CURRENCY=&amp;VAR:DB_TYPE=&amp;VAR:UNITS=M&amp;VAR:SHS_OUT_TY","PE=&amp;window=popup&amp;width=535&amp;height=425&amp;START_MAXIMIZED=FALSE&amp;Y=120"}</definedName>
    <definedName name="_130__FDSAUDITLINK__" hidden="1">{"fdsup://directions/FAT Viewer?action=UPDATE&amp;creator=factSet&amp;DYN_ARGS=true&amp;DOC_NAME=FAT:RGA_ENTRPR_VAL_MV_SOURCE_WINDOW.FAT&amp;VAR:ID1=BBBY&amp;VAR:SDATE=20010518&amp;VAR:FDATE=20010228&amp;VAR:FREQ=DAILY&amp;VAR:RELITEM=&amp;VAR:CURRENCY=&amp;VAR:DB_TYPE=&amp;VAR:UNITS=M&amp;VAR:SHS_OUT_TY","PE=&amp;window=popup&amp;width=535&amp;height=425&amp;START_MAXIMIZED=FALSE&amp;Y=120"}</definedName>
    <definedName name="_131__FDSAUDITLINK__" localSheetId="5" hidden="1">{"fdsup://directions/FAT Viewer?action=UPDATE&amp;creator=factSet&amp;DYN_ARGS=true&amp;DOC_NAME=FAT:RGA_ENTRPR_VAL_MV_SOURCE_WINDOW.FAT&amp;VAR:ID1=BBBY&amp;VAR:SDATE=20010525&amp;VAR:FDATE=20010228&amp;VAR:FREQ=DAILY&amp;VAR:RELITEM=&amp;VAR:CURRENCY=&amp;VAR:DB_TYPE=&amp;VAR:UNITS=M&amp;VAR:SHS_OUT_TY","PE=&amp;window=popup&amp;width=535&amp;height=425&amp;START_MAXIMIZED=FALSE&amp;Y=120"}</definedName>
    <definedName name="_131__FDSAUDITLINK__" hidden="1">{"fdsup://directions/FAT Viewer?action=UPDATE&amp;creator=factSet&amp;DYN_ARGS=true&amp;DOC_NAME=FAT:RGA_ENTRPR_VAL_MV_SOURCE_WINDOW.FAT&amp;VAR:ID1=BBBY&amp;VAR:SDATE=20010525&amp;VAR:FDATE=20010228&amp;VAR:FREQ=DAILY&amp;VAR:RELITEM=&amp;VAR:CURRENCY=&amp;VAR:DB_TYPE=&amp;VAR:UNITS=M&amp;VAR:SHS_OUT_TY","PE=&amp;window=popup&amp;width=535&amp;height=425&amp;START_MAXIMIZED=FALSE&amp;Y=120"}</definedName>
    <definedName name="_132__FDSAUDITLINK__" localSheetId="5" hidden="1">{"fdsup://directions/FAT Viewer?action=UPDATE&amp;creator=factSet&amp;DYN_ARGS=true&amp;DOC_NAME=FAT:RGA_ENTRPR_VAL_MV_SOURCE_WINDOW.FAT&amp;VAR:ID1=BBBY&amp;VAR:SDATE=20010601&amp;VAR:FDATE=20010228&amp;VAR:FREQ=DAILY&amp;VAR:RELITEM=&amp;VAR:CURRENCY=&amp;VAR:DB_TYPE=&amp;VAR:UNITS=M&amp;VAR:SHS_OUT_TY","PE=&amp;window=popup&amp;width=535&amp;height=425&amp;START_MAXIMIZED=FALSE&amp;Y=120"}</definedName>
    <definedName name="_132__FDSAUDITLINK__" hidden="1">{"fdsup://directions/FAT Viewer?action=UPDATE&amp;creator=factSet&amp;DYN_ARGS=true&amp;DOC_NAME=FAT:RGA_ENTRPR_VAL_MV_SOURCE_WINDOW.FAT&amp;VAR:ID1=BBBY&amp;VAR:SDATE=20010601&amp;VAR:FDATE=20010228&amp;VAR:FREQ=DAILY&amp;VAR:RELITEM=&amp;VAR:CURRENCY=&amp;VAR:DB_TYPE=&amp;VAR:UNITS=M&amp;VAR:SHS_OUT_TY","PE=&amp;window=popup&amp;width=535&amp;height=425&amp;START_MAXIMIZED=FALSE&amp;Y=120"}</definedName>
    <definedName name="_133__FDSAUDITLINK__" localSheetId="5" hidden="1">{"fdsup://directions/FAT Viewer?action=UPDATE&amp;creator=factSet&amp;DYN_ARGS=true&amp;DOC_NAME=FAT:RGA_ENTRPR_VAL_MV_SOURCE_WINDOW.FAT&amp;VAR:ID1=BBBY&amp;VAR:SDATE=20010608&amp;VAR:FDATE=20010228&amp;VAR:FREQ=DAILY&amp;VAR:RELITEM=&amp;VAR:CURRENCY=&amp;VAR:DB_TYPE=&amp;VAR:UNITS=M&amp;VAR:SHS_OUT_TY","PE=&amp;window=popup&amp;width=535&amp;height=425&amp;START_MAXIMIZED=FALSE&amp;Y=120"}</definedName>
    <definedName name="_133__FDSAUDITLINK__" hidden="1">{"fdsup://directions/FAT Viewer?action=UPDATE&amp;creator=factSet&amp;DYN_ARGS=true&amp;DOC_NAME=FAT:RGA_ENTRPR_VAL_MV_SOURCE_WINDOW.FAT&amp;VAR:ID1=BBBY&amp;VAR:SDATE=20010608&amp;VAR:FDATE=20010228&amp;VAR:FREQ=DAILY&amp;VAR:RELITEM=&amp;VAR:CURRENCY=&amp;VAR:DB_TYPE=&amp;VAR:UNITS=M&amp;VAR:SHS_OUT_TY","PE=&amp;window=popup&amp;width=535&amp;height=425&amp;START_MAXIMIZED=FALSE&amp;Y=120"}</definedName>
    <definedName name="_134__FDSAUDITLINK__" localSheetId="5" hidden="1">{"fdsup://directions/FAT Viewer?action=UPDATE&amp;creator=factSet&amp;DYN_ARGS=true&amp;DOC_NAME=FAT:RGA_ENTRPR_VAL_MV_SOURCE_WINDOW.FAT&amp;VAR:ID1=BBBY&amp;VAR:SDATE=20010615&amp;VAR:FDATE=20010228&amp;VAR:FREQ=DAILY&amp;VAR:RELITEM=&amp;VAR:CURRENCY=&amp;VAR:DB_TYPE=&amp;VAR:UNITS=M&amp;VAR:SHS_OUT_TY","PE=&amp;window=popup&amp;width=535&amp;height=425&amp;START_MAXIMIZED=FALSE&amp;Y=120"}</definedName>
    <definedName name="_134__FDSAUDITLINK__" hidden="1">{"fdsup://directions/FAT Viewer?action=UPDATE&amp;creator=factSet&amp;DYN_ARGS=true&amp;DOC_NAME=FAT:RGA_ENTRPR_VAL_MV_SOURCE_WINDOW.FAT&amp;VAR:ID1=BBBY&amp;VAR:SDATE=20010615&amp;VAR:FDATE=20010228&amp;VAR:FREQ=DAILY&amp;VAR:RELITEM=&amp;VAR:CURRENCY=&amp;VAR:DB_TYPE=&amp;VAR:UNITS=M&amp;VAR:SHS_OUT_TY","PE=&amp;window=popup&amp;width=535&amp;height=425&amp;START_MAXIMIZED=FALSE&amp;Y=120"}</definedName>
    <definedName name="_135__FDSAUDITLINK__" localSheetId="5" hidden="1">{"fdsup://directions/FAT Viewer?action=UPDATE&amp;creator=factSet&amp;DYN_ARGS=true&amp;DOC_NAME=FAT:RGA_ENTRPR_VAL_MV_SOURCE_WINDOW.FAT&amp;VAR:ID1=BBBY&amp;VAR:SDATE=20010622&amp;VAR:FDATE=20010228&amp;VAR:FREQ=DAILY&amp;VAR:RELITEM=&amp;VAR:CURRENCY=&amp;VAR:DB_TYPE=&amp;VAR:UNITS=M&amp;VAR:SHS_OUT_TY","PE=&amp;window=popup&amp;width=535&amp;height=425&amp;START_MAXIMIZED=FALSE&amp;Y=120"}</definedName>
    <definedName name="_135__FDSAUDITLINK__" hidden="1">{"fdsup://directions/FAT Viewer?action=UPDATE&amp;creator=factSet&amp;DYN_ARGS=true&amp;DOC_NAME=FAT:RGA_ENTRPR_VAL_MV_SOURCE_WINDOW.FAT&amp;VAR:ID1=BBBY&amp;VAR:SDATE=20010622&amp;VAR:FDATE=20010228&amp;VAR:FREQ=DAILY&amp;VAR:RELITEM=&amp;VAR:CURRENCY=&amp;VAR:DB_TYPE=&amp;VAR:UNITS=M&amp;VAR:SHS_OUT_TY","PE=&amp;window=popup&amp;width=535&amp;height=425&amp;START_MAXIMIZED=FALSE&amp;Y=120"}</definedName>
    <definedName name="_136__FDSAUDITLINK__" localSheetId="5" hidden="1">{"fdsup://directions/FAT Viewer?action=UPDATE&amp;creator=factSet&amp;DYN_ARGS=true&amp;DOC_NAME=FAT:RGA_ENTRPR_VAL_MV_SOURCE_WINDOW.FAT&amp;VAR:ID1=BBBY&amp;VAR:SDATE=20010629&amp;VAR:FDATE=20010228&amp;VAR:FREQ=DAILY&amp;VAR:RELITEM=&amp;VAR:CURRENCY=&amp;VAR:DB_TYPE=&amp;VAR:UNITS=M&amp;VAR:SHS_OUT_TY","PE=&amp;window=popup&amp;width=535&amp;height=425&amp;START_MAXIMIZED=FALSE&amp;Y=120"}</definedName>
    <definedName name="_136__FDSAUDITLINK__" hidden="1">{"fdsup://directions/FAT Viewer?action=UPDATE&amp;creator=factSet&amp;DYN_ARGS=true&amp;DOC_NAME=FAT:RGA_ENTRPR_VAL_MV_SOURCE_WINDOW.FAT&amp;VAR:ID1=BBBY&amp;VAR:SDATE=20010629&amp;VAR:FDATE=20010228&amp;VAR:FREQ=DAILY&amp;VAR:RELITEM=&amp;VAR:CURRENCY=&amp;VAR:DB_TYPE=&amp;VAR:UNITS=M&amp;VAR:SHS_OUT_TY","PE=&amp;window=popup&amp;width=535&amp;height=425&amp;START_MAXIMIZED=FALSE&amp;Y=120"}</definedName>
    <definedName name="_137__FDSAUDITLINK__" localSheetId="5" hidden="1">{"fdsup://directions/FAT Viewer?action=UPDATE&amp;creator=factSet&amp;DYN_ARGS=true&amp;DOC_NAME=FAT:RGA_ENTRPR_VAL_MV_SOURCE_WINDOW.FAT&amp;VAR:ID1=BBBY&amp;VAR:SDATE=20010706&amp;VAR:FDATE=20010228&amp;VAR:FREQ=DAILY&amp;VAR:RELITEM=&amp;VAR:CURRENCY=&amp;VAR:DB_TYPE=&amp;VAR:UNITS=M&amp;VAR:SHS_OUT_TY","PE=&amp;window=popup&amp;width=535&amp;height=425&amp;START_MAXIMIZED=FALSE&amp;Y=120"}</definedName>
    <definedName name="_137__FDSAUDITLINK__" hidden="1">{"fdsup://directions/FAT Viewer?action=UPDATE&amp;creator=factSet&amp;DYN_ARGS=true&amp;DOC_NAME=FAT:RGA_ENTRPR_VAL_MV_SOURCE_WINDOW.FAT&amp;VAR:ID1=BBBY&amp;VAR:SDATE=20010706&amp;VAR:FDATE=20010228&amp;VAR:FREQ=DAILY&amp;VAR:RELITEM=&amp;VAR:CURRENCY=&amp;VAR:DB_TYPE=&amp;VAR:UNITS=M&amp;VAR:SHS_OUT_TY","PE=&amp;window=popup&amp;width=535&amp;height=425&amp;START_MAXIMIZED=FALSE&amp;Y=120"}</definedName>
    <definedName name="_138__FDSAUDITLINK__" localSheetId="5" hidden="1">{"fdsup://directions/FAT Viewer?action=UPDATE&amp;creator=factSet&amp;DYN_ARGS=true&amp;DOC_NAME=FAT:RGA_ENTRPR_VAL_MV_SOURCE_WINDOW.FAT&amp;VAR:ID1=BBBY&amp;VAR:SDATE=20010713&amp;VAR:FDATE=20010228&amp;VAR:FREQ=DAILY&amp;VAR:RELITEM=&amp;VAR:CURRENCY=&amp;VAR:DB_TYPE=&amp;VAR:UNITS=M&amp;VAR:SHS_OUT_TY","PE=&amp;window=popup&amp;width=535&amp;height=425&amp;START_MAXIMIZED=FALSE&amp;Y=120"}</definedName>
    <definedName name="_138__FDSAUDITLINK__" hidden="1">{"fdsup://directions/FAT Viewer?action=UPDATE&amp;creator=factSet&amp;DYN_ARGS=true&amp;DOC_NAME=FAT:RGA_ENTRPR_VAL_MV_SOURCE_WINDOW.FAT&amp;VAR:ID1=BBBY&amp;VAR:SDATE=20010713&amp;VAR:FDATE=20010228&amp;VAR:FREQ=DAILY&amp;VAR:RELITEM=&amp;VAR:CURRENCY=&amp;VAR:DB_TYPE=&amp;VAR:UNITS=M&amp;VAR:SHS_OUT_TY","PE=&amp;window=popup&amp;width=535&amp;height=425&amp;START_MAXIMIZED=FALSE&amp;Y=120"}</definedName>
    <definedName name="_139__FDSAUDITLINK__" localSheetId="5" hidden="1">{"fdsup://directions/FAT Viewer?action=UPDATE&amp;creator=factSet&amp;DYN_ARGS=true&amp;DOC_NAME=FAT:RGA_ENTRPR_VAL_MV_SOURCE_WINDOW.FAT&amp;VAR:ID1=BBBY&amp;VAR:SDATE=20010720&amp;VAR:FDATE=20010228&amp;VAR:FREQ=DAILY&amp;VAR:RELITEM=&amp;VAR:CURRENCY=&amp;VAR:DB_TYPE=&amp;VAR:UNITS=M&amp;VAR:SHS_OUT_TY","PE=&amp;window=popup&amp;width=535&amp;height=425&amp;START_MAXIMIZED=FALSE&amp;Y=120"}</definedName>
    <definedName name="_139__FDSAUDITLINK__" hidden="1">{"fdsup://directions/FAT Viewer?action=UPDATE&amp;creator=factSet&amp;DYN_ARGS=true&amp;DOC_NAME=FAT:RGA_ENTRPR_VAL_MV_SOURCE_WINDOW.FAT&amp;VAR:ID1=BBBY&amp;VAR:SDATE=20010720&amp;VAR:FDATE=20010228&amp;VAR:FREQ=DAILY&amp;VAR:RELITEM=&amp;VAR:CURRENCY=&amp;VAR:DB_TYPE=&amp;VAR:UNITS=M&amp;VAR:SHS_OUT_TY","PE=&amp;window=popup&amp;width=535&amp;height=425&amp;START_MAXIMIZED=FALSE&amp;Y=120"}</definedName>
    <definedName name="_14__FDSAUDITLINK__" localSheetId="5" hidden="1">{"fdsup://directions/FAT Viewer?action=UPDATE&amp;creator=factSet&amp;DYN_ARGS=true&amp;DOC_NAME=FAT:RGA_ENTRPR_VAL_MV_SOURCE_WINDOW.FAT&amp;VAR:ID1=BBBY&amp;VAR:SDATE=19990226&amp;VAR:FDATE=19990226&amp;VAR:FREQ=DAILY&amp;VAR:RELITEM=&amp;VAR:CURRENCY=&amp;VAR:DB_TYPE=&amp;VAR:UNITS=M&amp;VAR:SHS_OUT_TY","PE=&amp;window=popup&amp;width=535&amp;height=425&amp;START_MAXIMIZED=FALSE&amp;Y=120"}</definedName>
    <definedName name="_14__FDSAUDITLINK__" hidden="1">{"fdsup://directions/FAT Viewer?action=UPDATE&amp;creator=factSet&amp;DYN_ARGS=true&amp;DOC_NAME=FAT:RGA_ENTRPR_VAL_MV_SOURCE_WINDOW.FAT&amp;VAR:ID1=BBBY&amp;VAR:SDATE=19990226&amp;VAR:FDATE=19990226&amp;VAR:FREQ=DAILY&amp;VAR:RELITEM=&amp;VAR:CURRENCY=&amp;VAR:DB_TYPE=&amp;VAR:UNITS=M&amp;VAR:SHS_OUT_TY","PE=&amp;window=popup&amp;width=535&amp;height=425&amp;START_MAXIMIZED=FALSE&amp;Y=120"}</definedName>
    <definedName name="_140__FDSAUDITLINK__" localSheetId="5" hidden="1">{"fdsup://directions/FAT Viewer?action=UPDATE&amp;creator=factSet&amp;DYN_ARGS=true&amp;DOC_NAME=FAT:RGA_ENTRPR_VAL_MV_SOURCE_WINDOW.FAT&amp;VAR:ID1=BBBY&amp;VAR:SDATE=20010727&amp;VAR:FDATE=20010228&amp;VAR:FREQ=DAILY&amp;VAR:RELITEM=&amp;VAR:CURRENCY=&amp;VAR:DB_TYPE=&amp;VAR:UNITS=M&amp;VAR:SHS_OUT_TY","PE=&amp;window=popup&amp;width=535&amp;height=425&amp;START_MAXIMIZED=FALSE&amp;Y=120"}</definedName>
    <definedName name="_140__FDSAUDITLINK__" hidden="1">{"fdsup://directions/FAT Viewer?action=UPDATE&amp;creator=factSet&amp;DYN_ARGS=true&amp;DOC_NAME=FAT:RGA_ENTRPR_VAL_MV_SOURCE_WINDOW.FAT&amp;VAR:ID1=BBBY&amp;VAR:SDATE=20010727&amp;VAR:FDATE=20010228&amp;VAR:FREQ=DAILY&amp;VAR:RELITEM=&amp;VAR:CURRENCY=&amp;VAR:DB_TYPE=&amp;VAR:UNITS=M&amp;VAR:SHS_OUT_TY","PE=&amp;window=popup&amp;width=535&amp;height=425&amp;START_MAXIMIZED=FALSE&amp;Y=120"}</definedName>
    <definedName name="_141__FDSAUDITLINK__" localSheetId="5" hidden="1">{"fdsup://directions/FAT Viewer?action=UPDATE&amp;creator=factSet&amp;DYN_ARGS=true&amp;DOC_NAME=FAT:RGA_ENTRPR_VAL_MV_SOURCE_WINDOW.FAT&amp;VAR:ID1=BBBY&amp;VAR:SDATE=20010803&amp;VAR:FDATE=20010228&amp;VAR:FREQ=DAILY&amp;VAR:RELITEM=&amp;VAR:CURRENCY=&amp;VAR:DB_TYPE=&amp;VAR:UNITS=M&amp;VAR:SHS_OUT_TY","PE=&amp;window=popup&amp;width=535&amp;height=425&amp;START_MAXIMIZED=FALSE&amp;Y=120"}</definedName>
    <definedName name="_141__FDSAUDITLINK__" hidden="1">{"fdsup://directions/FAT Viewer?action=UPDATE&amp;creator=factSet&amp;DYN_ARGS=true&amp;DOC_NAME=FAT:RGA_ENTRPR_VAL_MV_SOURCE_WINDOW.FAT&amp;VAR:ID1=BBBY&amp;VAR:SDATE=20010803&amp;VAR:FDATE=20010228&amp;VAR:FREQ=DAILY&amp;VAR:RELITEM=&amp;VAR:CURRENCY=&amp;VAR:DB_TYPE=&amp;VAR:UNITS=M&amp;VAR:SHS_OUT_TY","PE=&amp;window=popup&amp;width=535&amp;height=425&amp;START_MAXIMIZED=FALSE&amp;Y=120"}</definedName>
    <definedName name="_142__FDSAUDITLINK__" localSheetId="5" hidden="1">{"fdsup://directions/FAT Viewer?action=UPDATE&amp;creator=factSet&amp;DYN_ARGS=true&amp;DOC_NAME=FAT:RGA_ENTRPR_VAL_MV_SOURCE_WINDOW.FAT&amp;VAR:ID1=BBBY&amp;VAR:SDATE=20010810&amp;VAR:FDATE=20010228&amp;VAR:FREQ=DAILY&amp;VAR:RELITEM=&amp;VAR:CURRENCY=&amp;VAR:DB_TYPE=&amp;VAR:UNITS=M&amp;VAR:SHS_OUT_TY","PE=&amp;window=popup&amp;width=535&amp;height=425&amp;START_MAXIMIZED=FALSE&amp;Y=120"}</definedName>
    <definedName name="_142__FDSAUDITLINK__" hidden="1">{"fdsup://directions/FAT Viewer?action=UPDATE&amp;creator=factSet&amp;DYN_ARGS=true&amp;DOC_NAME=FAT:RGA_ENTRPR_VAL_MV_SOURCE_WINDOW.FAT&amp;VAR:ID1=BBBY&amp;VAR:SDATE=20010810&amp;VAR:FDATE=20010228&amp;VAR:FREQ=DAILY&amp;VAR:RELITEM=&amp;VAR:CURRENCY=&amp;VAR:DB_TYPE=&amp;VAR:UNITS=M&amp;VAR:SHS_OUT_TY","PE=&amp;window=popup&amp;width=535&amp;height=425&amp;START_MAXIMIZED=FALSE&amp;Y=120"}</definedName>
    <definedName name="_143__FDSAUDITLINK__" localSheetId="5" hidden="1">{"fdsup://directions/FAT Viewer?action=UPDATE&amp;creator=factSet&amp;DYN_ARGS=true&amp;DOC_NAME=FAT:RGA_ENTRPR_VAL_MV_SOURCE_WINDOW.FAT&amp;VAR:ID1=BBBY&amp;VAR:SDATE=20010817&amp;VAR:FDATE=20010228&amp;VAR:FREQ=DAILY&amp;VAR:RELITEM=&amp;VAR:CURRENCY=&amp;VAR:DB_TYPE=&amp;VAR:UNITS=M&amp;VAR:SHS_OUT_TY","PE=&amp;window=popup&amp;width=535&amp;height=425&amp;START_MAXIMIZED=FALSE&amp;Y=120"}</definedName>
    <definedName name="_143__FDSAUDITLINK__" hidden="1">{"fdsup://directions/FAT Viewer?action=UPDATE&amp;creator=factSet&amp;DYN_ARGS=true&amp;DOC_NAME=FAT:RGA_ENTRPR_VAL_MV_SOURCE_WINDOW.FAT&amp;VAR:ID1=BBBY&amp;VAR:SDATE=20010817&amp;VAR:FDATE=20010228&amp;VAR:FREQ=DAILY&amp;VAR:RELITEM=&amp;VAR:CURRENCY=&amp;VAR:DB_TYPE=&amp;VAR:UNITS=M&amp;VAR:SHS_OUT_TY","PE=&amp;window=popup&amp;width=535&amp;height=425&amp;START_MAXIMIZED=FALSE&amp;Y=120"}</definedName>
    <definedName name="_144__FDSAUDITLINK__" localSheetId="5" hidden="1">{"fdsup://directions/FAT Viewer?action=UPDATE&amp;creator=factSet&amp;DYN_ARGS=true&amp;DOC_NAME=FAT:RGA_ENTRPR_VAL_MV_SOURCE_WINDOW.FAT&amp;VAR:ID1=BBBY&amp;VAR:SDATE=20010824&amp;VAR:FDATE=20010228&amp;VAR:FREQ=DAILY&amp;VAR:RELITEM=&amp;VAR:CURRENCY=&amp;VAR:DB_TYPE=&amp;VAR:UNITS=M&amp;VAR:SHS_OUT_TY","PE=&amp;window=popup&amp;width=535&amp;height=425&amp;START_MAXIMIZED=FALSE&amp;Y=120"}</definedName>
    <definedName name="_144__FDSAUDITLINK__" hidden="1">{"fdsup://directions/FAT Viewer?action=UPDATE&amp;creator=factSet&amp;DYN_ARGS=true&amp;DOC_NAME=FAT:RGA_ENTRPR_VAL_MV_SOURCE_WINDOW.FAT&amp;VAR:ID1=BBBY&amp;VAR:SDATE=20010824&amp;VAR:FDATE=20010228&amp;VAR:FREQ=DAILY&amp;VAR:RELITEM=&amp;VAR:CURRENCY=&amp;VAR:DB_TYPE=&amp;VAR:UNITS=M&amp;VAR:SHS_OUT_TY","PE=&amp;window=popup&amp;width=535&amp;height=425&amp;START_MAXIMIZED=FALSE&amp;Y=120"}</definedName>
    <definedName name="_145__FDSAUDITLINK__" localSheetId="5" hidden="1">{"fdsup://directions/FAT Viewer?action=UPDATE&amp;creator=factSet&amp;DYN_ARGS=true&amp;DOC_NAME=FAT:RGA_ENTRPR_VAL_MV_SOURCE_WINDOW.FAT&amp;VAR:ID1=BBBY&amp;VAR:SDATE=20010831&amp;VAR:FDATE=20010228&amp;VAR:FREQ=DAILY&amp;VAR:RELITEM=&amp;VAR:CURRENCY=&amp;VAR:DB_TYPE=&amp;VAR:UNITS=M&amp;VAR:SHS_OUT_TY","PE=&amp;window=popup&amp;width=535&amp;height=425&amp;START_MAXIMIZED=FALSE&amp;Y=120"}</definedName>
    <definedName name="_145__FDSAUDITLINK__" hidden="1">{"fdsup://directions/FAT Viewer?action=UPDATE&amp;creator=factSet&amp;DYN_ARGS=true&amp;DOC_NAME=FAT:RGA_ENTRPR_VAL_MV_SOURCE_WINDOW.FAT&amp;VAR:ID1=BBBY&amp;VAR:SDATE=20010831&amp;VAR:FDATE=20010228&amp;VAR:FREQ=DAILY&amp;VAR:RELITEM=&amp;VAR:CURRENCY=&amp;VAR:DB_TYPE=&amp;VAR:UNITS=M&amp;VAR:SHS_OUT_TY","PE=&amp;window=popup&amp;width=535&amp;height=425&amp;START_MAXIMIZED=FALSE&amp;Y=120"}</definedName>
    <definedName name="_146__FDSAUDITLINK__" localSheetId="5" hidden="1">{"fdsup://directions/FAT Viewer?action=UPDATE&amp;creator=factSet&amp;DYN_ARGS=true&amp;DOC_NAME=FAT:RGA_ENTRPR_VAL_MV_SOURCE_WINDOW.FAT&amp;VAR:ID1=BBBY&amp;VAR:SDATE=20010907&amp;VAR:FDATE=20010228&amp;VAR:FREQ=DAILY&amp;VAR:RELITEM=&amp;VAR:CURRENCY=&amp;VAR:DB_TYPE=&amp;VAR:UNITS=M&amp;VAR:SHS_OUT_TY","PE=&amp;window=popup&amp;width=535&amp;height=425&amp;START_MAXIMIZED=FALSE&amp;Y=120"}</definedName>
    <definedName name="_146__FDSAUDITLINK__" hidden="1">{"fdsup://directions/FAT Viewer?action=UPDATE&amp;creator=factSet&amp;DYN_ARGS=true&amp;DOC_NAME=FAT:RGA_ENTRPR_VAL_MV_SOURCE_WINDOW.FAT&amp;VAR:ID1=BBBY&amp;VAR:SDATE=20010907&amp;VAR:FDATE=20010228&amp;VAR:FREQ=DAILY&amp;VAR:RELITEM=&amp;VAR:CURRENCY=&amp;VAR:DB_TYPE=&amp;VAR:UNITS=M&amp;VAR:SHS_OUT_TY","PE=&amp;window=popup&amp;width=535&amp;height=425&amp;START_MAXIMIZED=FALSE&amp;Y=120"}</definedName>
    <definedName name="_147__FDSAUDITLINK__" localSheetId="5" hidden="1">{"fdsup://directions/FAT Viewer?action=UPDATE&amp;creator=factSet&amp;DYN_ARGS=true&amp;DOC_NAME=FAT:RGA_ENTRPR_VAL_MV_SOURCE_WINDOW.FAT&amp;VAR:ID1=BBBY&amp;VAR:SDATE=20010910&amp;VAR:FDATE=20010228&amp;VAR:FREQ=DAILY&amp;VAR:RELITEM=&amp;VAR:CURRENCY=&amp;VAR:DB_TYPE=&amp;VAR:UNITS=M&amp;VAR:SHS_OUT_TY","PE=&amp;window=popup&amp;width=535&amp;height=425&amp;START_MAXIMIZED=FALSE&amp;Y=120"}</definedName>
    <definedName name="_147__FDSAUDITLINK__" hidden="1">{"fdsup://directions/FAT Viewer?action=UPDATE&amp;creator=factSet&amp;DYN_ARGS=true&amp;DOC_NAME=FAT:RGA_ENTRPR_VAL_MV_SOURCE_WINDOW.FAT&amp;VAR:ID1=BBBY&amp;VAR:SDATE=20010910&amp;VAR:FDATE=20010228&amp;VAR:FREQ=DAILY&amp;VAR:RELITEM=&amp;VAR:CURRENCY=&amp;VAR:DB_TYPE=&amp;VAR:UNITS=M&amp;VAR:SHS_OUT_TY","PE=&amp;window=popup&amp;width=535&amp;height=425&amp;START_MAXIMIZED=FALSE&amp;Y=120"}</definedName>
    <definedName name="_148__FDSAUDITLINK__" localSheetId="5" hidden="1">{"fdsup://directions/FAT Viewer?action=UPDATE&amp;creator=factSet&amp;DYN_ARGS=true&amp;DOC_NAME=FAT:RGA_ENTRPR_VAL_MV_SOURCE_WINDOW.FAT&amp;VAR:ID1=BBBY&amp;VAR:SDATE=20010921&amp;VAR:FDATE=20010228&amp;VAR:FREQ=DAILY&amp;VAR:RELITEM=&amp;VAR:CURRENCY=&amp;VAR:DB_TYPE=&amp;VAR:UNITS=M&amp;VAR:SHS_OUT_TY","PE=&amp;window=popup&amp;width=535&amp;height=425&amp;START_MAXIMIZED=FALSE&amp;Y=120"}</definedName>
    <definedName name="_148__FDSAUDITLINK__" hidden="1">{"fdsup://directions/FAT Viewer?action=UPDATE&amp;creator=factSet&amp;DYN_ARGS=true&amp;DOC_NAME=FAT:RGA_ENTRPR_VAL_MV_SOURCE_WINDOW.FAT&amp;VAR:ID1=BBBY&amp;VAR:SDATE=20010921&amp;VAR:FDATE=20010228&amp;VAR:FREQ=DAILY&amp;VAR:RELITEM=&amp;VAR:CURRENCY=&amp;VAR:DB_TYPE=&amp;VAR:UNITS=M&amp;VAR:SHS_OUT_TY","PE=&amp;window=popup&amp;width=535&amp;height=425&amp;START_MAXIMIZED=FALSE&amp;Y=120"}</definedName>
    <definedName name="_149__FDSAUDITLINK__" localSheetId="5" hidden="1">{"fdsup://directions/FAT Viewer?action=UPDATE&amp;creator=factSet&amp;DYN_ARGS=true&amp;DOC_NAME=FAT:RGA_ENTRPR_VAL_MV_SOURCE_WINDOW.FAT&amp;VAR:ID1=BBBY&amp;VAR:SDATE=20010928&amp;VAR:FDATE=20010228&amp;VAR:FREQ=DAILY&amp;VAR:RELITEM=&amp;VAR:CURRENCY=&amp;VAR:DB_TYPE=&amp;VAR:UNITS=M&amp;VAR:SHS_OUT_TY","PE=&amp;window=popup&amp;width=535&amp;height=425&amp;START_MAXIMIZED=FALSE&amp;Y=120"}</definedName>
    <definedName name="_149__FDSAUDITLINK__" hidden="1">{"fdsup://directions/FAT Viewer?action=UPDATE&amp;creator=factSet&amp;DYN_ARGS=true&amp;DOC_NAME=FAT:RGA_ENTRPR_VAL_MV_SOURCE_WINDOW.FAT&amp;VAR:ID1=BBBY&amp;VAR:SDATE=20010928&amp;VAR:FDATE=20010228&amp;VAR:FREQ=DAILY&amp;VAR:RELITEM=&amp;VAR:CURRENCY=&amp;VAR:DB_TYPE=&amp;VAR:UNITS=M&amp;VAR:SHS_OUT_TY","PE=&amp;window=popup&amp;width=535&amp;height=425&amp;START_MAXIMIZED=FALSE&amp;Y=120"}</definedName>
    <definedName name="_15__FDSAUDITLINK__" localSheetId="5" hidden="1">{"fdsup://directions/FAT Viewer?action=UPDATE&amp;creator=factSet&amp;DYN_ARGS=true&amp;DOC_NAME=FAT:RGA_ENTRPR_VAL_MV_SOURCE_WINDOW.FAT&amp;VAR:ID1=BBBY&amp;VAR:SDATE=19990305&amp;VAR:FDATE=19990226&amp;VAR:FREQ=DAILY&amp;VAR:RELITEM=&amp;VAR:CURRENCY=&amp;VAR:DB_TYPE=&amp;VAR:UNITS=M&amp;VAR:SHS_OUT_TY","PE=&amp;window=popup&amp;width=535&amp;height=425&amp;START_MAXIMIZED=FALSE&amp;Y=120"}</definedName>
    <definedName name="_15__FDSAUDITLINK__" hidden="1">{"fdsup://directions/FAT Viewer?action=UPDATE&amp;creator=factSet&amp;DYN_ARGS=true&amp;DOC_NAME=FAT:RGA_ENTRPR_VAL_MV_SOURCE_WINDOW.FAT&amp;VAR:ID1=BBBY&amp;VAR:SDATE=19990305&amp;VAR:FDATE=19990226&amp;VAR:FREQ=DAILY&amp;VAR:RELITEM=&amp;VAR:CURRENCY=&amp;VAR:DB_TYPE=&amp;VAR:UNITS=M&amp;VAR:SHS_OUT_TY","PE=&amp;window=popup&amp;width=535&amp;height=425&amp;START_MAXIMIZED=FALSE&amp;Y=120"}</definedName>
    <definedName name="_150__FDSAUDITLINK__" localSheetId="5" hidden="1">{"fdsup://directions/FAT Viewer?action=UPDATE&amp;creator=factSet&amp;DYN_ARGS=true&amp;DOC_NAME=FAT:RGA_ENTRPR_VAL_MV_SOURCE_WINDOW.FAT&amp;VAR:ID1=BBBY&amp;VAR:SDATE=20011005&amp;VAR:FDATE=20010228&amp;VAR:FREQ=DAILY&amp;VAR:RELITEM=&amp;VAR:CURRENCY=&amp;VAR:DB_TYPE=&amp;VAR:UNITS=M&amp;VAR:SHS_OUT_TY","PE=&amp;window=popup&amp;width=535&amp;height=425&amp;START_MAXIMIZED=FALSE&amp;Y=120"}</definedName>
    <definedName name="_150__FDSAUDITLINK__" hidden="1">{"fdsup://directions/FAT Viewer?action=UPDATE&amp;creator=factSet&amp;DYN_ARGS=true&amp;DOC_NAME=FAT:RGA_ENTRPR_VAL_MV_SOURCE_WINDOW.FAT&amp;VAR:ID1=BBBY&amp;VAR:SDATE=20011005&amp;VAR:FDATE=20010228&amp;VAR:FREQ=DAILY&amp;VAR:RELITEM=&amp;VAR:CURRENCY=&amp;VAR:DB_TYPE=&amp;VAR:UNITS=M&amp;VAR:SHS_OUT_TY","PE=&amp;window=popup&amp;width=535&amp;height=425&amp;START_MAXIMIZED=FALSE&amp;Y=120"}</definedName>
    <definedName name="_151__FDSAUDITLINK__" localSheetId="5" hidden="1">{"fdsup://directions/FAT Viewer?action=UPDATE&amp;creator=factSet&amp;DYN_ARGS=true&amp;DOC_NAME=FAT:RGA_ENTRPR_VAL_MV_SOURCE_WINDOW.FAT&amp;VAR:ID1=BBBY&amp;VAR:SDATE=20011012&amp;VAR:FDATE=20010228&amp;VAR:FREQ=DAILY&amp;VAR:RELITEM=&amp;VAR:CURRENCY=&amp;VAR:DB_TYPE=&amp;VAR:UNITS=M&amp;VAR:SHS_OUT_TY","PE=&amp;window=popup&amp;width=535&amp;height=425&amp;START_MAXIMIZED=FALSE&amp;Y=120"}</definedName>
    <definedName name="_151__FDSAUDITLINK__" hidden="1">{"fdsup://directions/FAT Viewer?action=UPDATE&amp;creator=factSet&amp;DYN_ARGS=true&amp;DOC_NAME=FAT:RGA_ENTRPR_VAL_MV_SOURCE_WINDOW.FAT&amp;VAR:ID1=BBBY&amp;VAR:SDATE=20011012&amp;VAR:FDATE=20010228&amp;VAR:FREQ=DAILY&amp;VAR:RELITEM=&amp;VAR:CURRENCY=&amp;VAR:DB_TYPE=&amp;VAR:UNITS=M&amp;VAR:SHS_OUT_TY","PE=&amp;window=popup&amp;width=535&amp;height=425&amp;START_MAXIMIZED=FALSE&amp;Y=120"}</definedName>
    <definedName name="_152__FDSAUDITLINK__" localSheetId="5" hidden="1">{"fdsup://directions/FAT Viewer?action=UPDATE&amp;creator=factSet&amp;DYN_ARGS=true&amp;DOC_NAME=FAT:RGA_ENTRPR_VAL_MV_SOURCE_WINDOW.FAT&amp;VAR:ID1=BBBY&amp;VAR:SDATE=20011019&amp;VAR:FDATE=20010228&amp;VAR:FREQ=DAILY&amp;VAR:RELITEM=&amp;VAR:CURRENCY=&amp;VAR:DB_TYPE=&amp;VAR:UNITS=M&amp;VAR:SHS_OUT_TY","PE=&amp;window=popup&amp;width=535&amp;height=425&amp;START_MAXIMIZED=FALSE&amp;Y=120"}</definedName>
    <definedName name="_152__FDSAUDITLINK__" hidden="1">{"fdsup://directions/FAT Viewer?action=UPDATE&amp;creator=factSet&amp;DYN_ARGS=true&amp;DOC_NAME=FAT:RGA_ENTRPR_VAL_MV_SOURCE_WINDOW.FAT&amp;VAR:ID1=BBBY&amp;VAR:SDATE=20011019&amp;VAR:FDATE=20010228&amp;VAR:FREQ=DAILY&amp;VAR:RELITEM=&amp;VAR:CURRENCY=&amp;VAR:DB_TYPE=&amp;VAR:UNITS=M&amp;VAR:SHS_OUT_TY","PE=&amp;window=popup&amp;width=535&amp;height=425&amp;START_MAXIMIZED=FALSE&amp;Y=120"}</definedName>
    <definedName name="_153__FDSAUDITLINK__" localSheetId="5" hidden="1">{"fdsup://directions/FAT Viewer?action=UPDATE&amp;creator=factSet&amp;DYN_ARGS=true&amp;DOC_NAME=FAT:RGA_ENTRPR_VAL_MV_SOURCE_WINDOW.FAT&amp;VAR:ID1=BBBY&amp;VAR:SDATE=20011026&amp;VAR:FDATE=20010228&amp;VAR:FREQ=DAILY&amp;VAR:RELITEM=&amp;VAR:CURRENCY=&amp;VAR:DB_TYPE=&amp;VAR:UNITS=M&amp;VAR:SHS_OUT_TY","PE=&amp;window=popup&amp;width=535&amp;height=425&amp;START_MAXIMIZED=FALSE&amp;Y=120"}</definedName>
    <definedName name="_153__FDSAUDITLINK__" hidden="1">{"fdsup://directions/FAT Viewer?action=UPDATE&amp;creator=factSet&amp;DYN_ARGS=true&amp;DOC_NAME=FAT:RGA_ENTRPR_VAL_MV_SOURCE_WINDOW.FAT&amp;VAR:ID1=BBBY&amp;VAR:SDATE=20011026&amp;VAR:FDATE=20010228&amp;VAR:FREQ=DAILY&amp;VAR:RELITEM=&amp;VAR:CURRENCY=&amp;VAR:DB_TYPE=&amp;VAR:UNITS=M&amp;VAR:SHS_OUT_TY","PE=&amp;window=popup&amp;width=535&amp;height=425&amp;START_MAXIMIZED=FALSE&amp;Y=120"}</definedName>
    <definedName name="_154__FDSAUDITLINK__" localSheetId="5" hidden="1">{"fdsup://directions/FAT Viewer?action=UPDATE&amp;creator=factSet&amp;DYN_ARGS=true&amp;DOC_NAME=FAT:RGA_ENTRPR_VAL_MV_SOURCE_WINDOW.FAT&amp;VAR:ID1=BBBY&amp;VAR:SDATE=20011102&amp;VAR:FDATE=20010228&amp;VAR:FREQ=DAILY&amp;VAR:RELITEM=&amp;VAR:CURRENCY=&amp;VAR:DB_TYPE=&amp;VAR:UNITS=M&amp;VAR:SHS_OUT_TY","PE=&amp;window=popup&amp;width=535&amp;height=425&amp;START_MAXIMIZED=FALSE&amp;Y=120"}</definedName>
    <definedName name="_154__FDSAUDITLINK__" hidden="1">{"fdsup://directions/FAT Viewer?action=UPDATE&amp;creator=factSet&amp;DYN_ARGS=true&amp;DOC_NAME=FAT:RGA_ENTRPR_VAL_MV_SOURCE_WINDOW.FAT&amp;VAR:ID1=BBBY&amp;VAR:SDATE=20011102&amp;VAR:FDATE=20010228&amp;VAR:FREQ=DAILY&amp;VAR:RELITEM=&amp;VAR:CURRENCY=&amp;VAR:DB_TYPE=&amp;VAR:UNITS=M&amp;VAR:SHS_OUT_TY","PE=&amp;window=popup&amp;width=535&amp;height=425&amp;START_MAXIMIZED=FALSE&amp;Y=120"}</definedName>
    <definedName name="_155__FDSAUDITLINK__" localSheetId="5" hidden="1">{"fdsup://directions/FAT Viewer?action=UPDATE&amp;creator=factSet&amp;DYN_ARGS=true&amp;DOC_NAME=FAT:RGA_ENTRPR_VAL_MV_SOURCE_WINDOW.FAT&amp;VAR:ID1=BBBY&amp;VAR:SDATE=20011109&amp;VAR:FDATE=20010228&amp;VAR:FREQ=DAILY&amp;VAR:RELITEM=&amp;VAR:CURRENCY=&amp;VAR:DB_TYPE=&amp;VAR:UNITS=M&amp;VAR:SHS_OUT_TY","PE=&amp;window=popup&amp;width=535&amp;height=425&amp;START_MAXIMIZED=FALSE&amp;Y=120"}</definedName>
    <definedName name="_155__FDSAUDITLINK__" hidden="1">{"fdsup://directions/FAT Viewer?action=UPDATE&amp;creator=factSet&amp;DYN_ARGS=true&amp;DOC_NAME=FAT:RGA_ENTRPR_VAL_MV_SOURCE_WINDOW.FAT&amp;VAR:ID1=BBBY&amp;VAR:SDATE=20011109&amp;VAR:FDATE=20010228&amp;VAR:FREQ=DAILY&amp;VAR:RELITEM=&amp;VAR:CURRENCY=&amp;VAR:DB_TYPE=&amp;VAR:UNITS=M&amp;VAR:SHS_OUT_TY","PE=&amp;window=popup&amp;width=535&amp;height=425&amp;START_MAXIMIZED=FALSE&amp;Y=120"}</definedName>
    <definedName name="_156__FDSAUDITLINK__" localSheetId="5" hidden="1">{"fdsup://directions/FAT Viewer?action=UPDATE&amp;creator=factSet&amp;DYN_ARGS=true&amp;DOC_NAME=FAT:RGA_ENTRPR_VAL_MV_SOURCE_WINDOW.FAT&amp;VAR:ID1=BBBY&amp;VAR:SDATE=20011116&amp;VAR:FDATE=20010228&amp;VAR:FREQ=DAILY&amp;VAR:RELITEM=&amp;VAR:CURRENCY=&amp;VAR:DB_TYPE=&amp;VAR:UNITS=M&amp;VAR:SHS_OUT_TY","PE=&amp;window=popup&amp;width=535&amp;height=425&amp;START_MAXIMIZED=FALSE&amp;Y=120"}</definedName>
    <definedName name="_156__FDSAUDITLINK__" hidden="1">{"fdsup://directions/FAT Viewer?action=UPDATE&amp;creator=factSet&amp;DYN_ARGS=true&amp;DOC_NAME=FAT:RGA_ENTRPR_VAL_MV_SOURCE_WINDOW.FAT&amp;VAR:ID1=BBBY&amp;VAR:SDATE=20011116&amp;VAR:FDATE=20010228&amp;VAR:FREQ=DAILY&amp;VAR:RELITEM=&amp;VAR:CURRENCY=&amp;VAR:DB_TYPE=&amp;VAR:UNITS=M&amp;VAR:SHS_OUT_TY","PE=&amp;window=popup&amp;width=535&amp;height=425&amp;START_MAXIMIZED=FALSE&amp;Y=120"}</definedName>
    <definedName name="_157__FDSAUDITLINK__" localSheetId="5" hidden="1">{"fdsup://directions/FAT Viewer?action=UPDATE&amp;creator=factSet&amp;DYN_ARGS=true&amp;DOC_NAME=FAT:RGA_ENTRPR_VAL_MV_SOURCE_WINDOW.FAT&amp;VAR:ID1=BBBY&amp;VAR:SDATE=20011123&amp;VAR:FDATE=20010228&amp;VAR:FREQ=DAILY&amp;VAR:RELITEM=&amp;VAR:CURRENCY=&amp;VAR:DB_TYPE=&amp;VAR:UNITS=M&amp;VAR:SHS_OUT_TY","PE=&amp;window=popup&amp;width=535&amp;height=425&amp;START_MAXIMIZED=FALSE&amp;Y=120"}</definedName>
    <definedName name="_157__FDSAUDITLINK__" hidden="1">{"fdsup://directions/FAT Viewer?action=UPDATE&amp;creator=factSet&amp;DYN_ARGS=true&amp;DOC_NAME=FAT:RGA_ENTRPR_VAL_MV_SOURCE_WINDOW.FAT&amp;VAR:ID1=BBBY&amp;VAR:SDATE=20011123&amp;VAR:FDATE=20010228&amp;VAR:FREQ=DAILY&amp;VAR:RELITEM=&amp;VAR:CURRENCY=&amp;VAR:DB_TYPE=&amp;VAR:UNITS=M&amp;VAR:SHS_OUT_TY","PE=&amp;window=popup&amp;width=535&amp;height=425&amp;START_MAXIMIZED=FALSE&amp;Y=120"}</definedName>
    <definedName name="_158__FDSAUDITLINK__" localSheetId="5" hidden="1">{"fdsup://directions/FAT Viewer?action=UPDATE&amp;creator=factSet&amp;DYN_ARGS=true&amp;DOC_NAME=FAT:RGA_ENTRPR_VAL_MV_SOURCE_WINDOW.FAT&amp;VAR:ID1=BBBY&amp;VAR:SDATE=20011130&amp;VAR:FDATE=20010228&amp;VAR:FREQ=DAILY&amp;VAR:RELITEM=&amp;VAR:CURRENCY=&amp;VAR:DB_TYPE=&amp;VAR:UNITS=M&amp;VAR:SHS_OUT_TY","PE=&amp;window=popup&amp;width=535&amp;height=425&amp;START_MAXIMIZED=FALSE&amp;Y=120"}</definedName>
    <definedName name="_158__FDSAUDITLINK__" hidden="1">{"fdsup://directions/FAT Viewer?action=UPDATE&amp;creator=factSet&amp;DYN_ARGS=true&amp;DOC_NAME=FAT:RGA_ENTRPR_VAL_MV_SOURCE_WINDOW.FAT&amp;VAR:ID1=BBBY&amp;VAR:SDATE=20011130&amp;VAR:FDATE=20010228&amp;VAR:FREQ=DAILY&amp;VAR:RELITEM=&amp;VAR:CURRENCY=&amp;VAR:DB_TYPE=&amp;VAR:UNITS=M&amp;VAR:SHS_OUT_TY","PE=&amp;window=popup&amp;width=535&amp;height=425&amp;START_MAXIMIZED=FALSE&amp;Y=120"}</definedName>
    <definedName name="_159__FDSAUDITLINK__" localSheetId="5" hidden="1">{"fdsup://directions/FAT Viewer?action=UPDATE&amp;creator=factSet&amp;DYN_ARGS=true&amp;DOC_NAME=FAT:RGA_ENTRPR_VAL_MV_SOURCE_WINDOW.FAT&amp;VAR:ID1=BBBY&amp;VAR:SDATE=20011207&amp;VAR:FDATE=20010228&amp;VAR:FREQ=DAILY&amp;VAR:RELITEM=&amp;VAR:CURRENCY=&amp;VAR:DB_TYPE=&amp;VAR:UNITS=M&amp;VAR:SHS_OUT_TY","PE=&amp;window=popup&amp;width=535&amp;height=425&amp;START_MAXIMIZED=FALSE&amp;Y=120"}</definedName>
    <definedName name="_159__FDSAUDITLINK__" hidden="1">{"fdsup://directions/FAT Viewer?action=UPDATE&amp;creator=factSet&amp;DYN_ARGS=true&amp;DOC_NAME=FAT:RGA_ENTRPR_VAL_MV_SOURCE_WINDOW.FAT&amp;VAR:ID1=BBBY&amp;VAR:SDATE=20011207&amp;VAR:FDATE=20010228&amp;VAR:FREQ=DAILY&amp;VAR:RELITEM=&amp;VAR:CURRENCY=&amp;VAR:DB_TYPE=&amp;VAR:UNITS=M&amp;VAR:SHS_OUT_TY","PE=&amp;window=popup&amp;width=535&amp;height=425&amp;START_MAXIMIZED=FALSE&amp;Y=120"}</definedName>
    <definedName name="_16__FDSAUDITLINK__" localSheetId="5" hidden="1">{"fdsup://directions/FAT Viewer?action=UPDATE&amp;creator=factSet&amp;DYN_ARGS=true&amp;DOC_NAME=FAT:RGA_ENTRPR_VAL_MV_SOURCE_WINDOW.FAT&amp;VAR:ID1=BBBY&amp;VAR:SDATE=19990312&amp;VAR:FDATE=19990226&amp;VAR:FREQ=DAILY&amp;VAR:RELITEM=&amp;VAR:CURRENCY=&amp;VAR:DB_TYPE=&amp;VAR:UNITS=M&amp;VAR:SHS_OUT_TY","PE=&amp;window=popup&amp;width=535&amp;height=425&amp;START_MAXIMIZED=FALSE&amp;Y=120"}</definedName>
    <definedName name="_16__FDSAUDITLINK__" hidden="1">{"fdsup://directions/FAT Viewer?action=UPDATE&amp;creator=factSet&amp;DYN_ARGS=true&amp;DOC_NAME=FAT:RGA_ENTRPR_VAL_MV_SOURCE_WINDOW.FAT&amp;VAR:ID1=BBBY&amp;VAR:SDATE=19990312&amp;VAR:FDATE=19990226&amp;VAR:FREQ=DAILY&amp;VAR:RELITEM=&amp;VAR:CURRENCY=&amp;VAR:DB_TYPE=&amp;VAR:UNITS=M&amp;VAR:SHS_OUT_TY","PE=&amp;window=popup&amp;width=535&amp;height=425&amp;START_MAXIMIZED=FALSE&amp;Y=120"}</definedName>
    <definedName name="_160__FDSAUDITLINK__" localSheetId="5" hidden="1">{"fdsup://directions/FAT Viewer?action=UPDATE&amp;creator=factSet&amp;DYN_ARGS=true&amp;DOC_NAME=FAT:RGA_ENTRPR_VAL_MV_SOURCE_WINDOW.FAT&amp;VAR:ID1=BBBY&amp;VAR:SDATE=20011214&amp;VAR:FDATE=20010228&amp;VAR:FREQ=DAILY&amp;VAR:RELITEM=&amp;VAR:CURRENCY=&amp;VAR:DB_TYPE=&amp;VAR:UNITS=M&amp;VAR:SHS_OUT_TY","PE=&amp;window=popup&amp;width=535&amp;height=425&amp;START_MAXIMIZED=FALSE&amp;Y=120"}</definedName>
    <definedName name="_160__FDSAUDITLINK__" hidden="1">{"fdsup://directions/FAT Viewer?action=UPDATE&amp;creator=factSet&amp;DYN_ARGS=true&amp;DOC_NAME=FAT:RGA_ENTRPR_VAL_MV_SOURCE_WINDOW.FAT&amp;VAR:ID1=BBBY&amp;VAR:SDATE=20011214&amp;VAR:FDATE=20010228&amp;VAR:FREQ=DAILY&amp;VAR:RELITEM=&amp;VAR:CURRENCY=&amp;VAR:DB_TYPE=&amp;VAR:UNITS=M&amp;VAR:SHS_OUT_TY","PE=&amp;window=popup&amp;width=535&amp;height=425&amp;START_MAXIMIZED=FALSE&amp;Y=120"}</definedName>
    <definedName name="_161__FDSAUDITLINK__" localSheetId="5" hidden="1">{"fdsup://directions/FAT Viewer?action=UPDATE&amp;creator=factSet&amp;DYN_ARGS=true&amp;DOC_NAME=FAT:RGA_ENTRPR_VAL_MV_SOURCE_WINDOW.FAT&amp;VAR:ID1=BBBY&amp;VAR:SDATE=20011221&amp;VAR:FDATE=20010228&amp;VAR:FREQ=DAILY&amp;VAR:RELITEM=&amp;VAR:CURRENCY=&amp;VAR:DB_TYPE=&amp;VAR:UNITS=M&amp;VAR:SHS_OUT_TY","PE=&amp;window=popup&amp;width=535&amp;height=425&amp;START_MAXIMIZED=FALSE&amp;Y=120"}</definedName>
    <definedName name="_161__FDSAUDITLINK__" hidden="1">{"fdsup://directions/FAT Viewer?action=UPDATE&amp;creator=factSet&amp;DYN_ARGS=true&amp;DOC_NAME=FAT:RGA_ENTRPR_VAL_MV_SOURCE_WINDOW.FAT&amp;VAR:ID1=BBBY&amp;VAR:SDATE=20011221&amp;VAR:FDATE=20010228&amp;VAR:FREQ=DAILY&amp;VAR:RELITEM=&amp;VAR:CURRENCY=&amp;VAR:DB_TYPE=&amp;VAR:UNITS=M&amp;VAR:SHS_OUT_TY","PE=&amp;window=popup&amp;width=535&amp;height=425&amp;START_MAXIMIZED=FALSE&amp;Y=120"}</definedName>
    <definedName name="_162__FDSAUDITLINK__" localSheetId="5" hidden="1">{"fdsup://directions/FAT Viewer?action=UPDATE&amp;creator=factSet&amp;DYN_ARGS=true&amp;DOC_NAME=FAT:RGA_ENTRPR_VAL_MV_SOURCE_WINDOW.FAT&amp;VAR:ID1=BBBY&amp;VAR:SDATE=20011228&amp;VAR:FDATE=20010228&amp;VAR:FREQ=DAILY&amp;VAR:RELITEM=&amp;VAR:CURRENCY=&amp;VAR:DB_TYPE=&amp;VAR:UNITS=M&amp;VAR:SHS_OUT_TY","PE=&amp;window=popup&amp;width=535&amp;height=425&amp;START_MAXIMIZED=FALSE&amp;Y=120"}</definedName>
    <definedName name="_162__FDSAUDITLINK__" hidden="1">{"fdsup://directions/FAT Viewer?action=UPDATE&amp;creator=factSet&amp;DYN_ARGS=true&amp;DOC_NAME=FAT:RGA_ENTRPR_VAL_MV_SOURCE_WINDOW.FAT&amp;VAR:ID1=BBBY&amp;VAR:SDATE=20011228&amp;VAR:FDATE=20010228&amp;VAR:FREQ=DAILY&amp;VAR:RELITEM=&amp;VAR:CURRENCY=&amp;VAR:DB_TYPE=&amp;VAR:UNITS=M&amp;VAR:SHS_OUT_TY","PE=&amp;window=popup&amp;width=535&amp;height=425&amp;START_MAXIMIZED=FALSE&amp;Y=120"}</definedName>
    <definedName name="_163__FDSAUDITLINK__" localSheetId="5" hidden="1">{"fdsup://directions/FAT Viewer?action=UPDATE&amp;creator=factSet&amp;DYN_ARGS=true&amp;DOC_NAME=FAT:RGA_ENTRPR_VAL_MV_SOURCE_WINDOW.FAT&amp;VAR:ID1=BBBY&amp;VAR:SDATE=20020104&amp;VAR:FDATE=20010228&amp;VAR:FREQ=DAILY&amp;VAR:RELITEM=&amp;VAR:CURRENCY=&amp;VAR:DB_TYPE=&amp;VAR:UNITS=M&amp;VAR:SHS_OUT_TY","PE=&amp;window=popup&amp;width=535&amp;height=425&amp;START_MAXIMIZED=FALSE&amp;Y=120"}</definedName>
    <definedName name="_163__FDSAUDITLINK__" hidden="1">{"fdsup://directions/FAT Viewer?action=UPDATE&amp;creator=factSet&amp;DYN_ARGS=true&amp;DOC_NAME=FAT:RGA_ENTRPR_VAL_MV_SOURCE_WINDOW.FAT&amp;VAR:ID1=BBBY&amp;VAR:SDATE=20020104&amp;VAR:FDATE=20010228&amp;VAR:FREQ=DAILY&amp;VAR:RELITEM=&amp;VAR:CURRENCY=&amp;VAR:DB_TYPE=&amp;VAR:UNITS=M&amp;VAR:SHS_OUT_TY","PE=&amp;window=popup&amp;width=535&amp;height=425&amp;START_MAXIMIZED=FALSE&amp;Y=120"}</definedName>
    <definedName name="_164__FDSAUDITLINK__" localSheetId="5" hidden="1">{"fdsup://directions/FAT Viewer?action=UPDATE&amp;creator=factSet&amp;DYN_ARGS=true&amp;DOC_NAME=FAT:RGA_ENTRPR_VAL_MV_SOURCE_WINDOW.FAT&amp;VAR:ID1=BBBY&amp;VAR:SDATE=20020111&amp;VAR:FDATE=20010228&amp;VAR:FREQ=DAILY&amp;VAR:RELITEM=&amp;VAR:CURRENCY=&amp;VAR:DB_TYPE=&amp;VAR:UNITS=M&amp;VAR:SHS_OUT_TY","PE=&amp;window=popup&amp;width=535&amp;height=425&amp;START_MAXIMIZED=FALSE&amp;Y=120"}</definedName>
    <definedName name="_164__FDSAUDITLINK__" hidden="1">{"fdsup://directions/FAT Viewer?action=UPDATE&amp;creator=factSet&amp;DYN_ARGS=true&amp;DOC_NAME=FAT:RGA_ENTRPR_VAL_MV_SOURCE_WINDOW.FAT&amp;VAR:ID1=BBBY&amp;VAR:SDATE=20020111&amp;VAR:FDATE=20010228&amp;VAR:FREQ=DAILY&amp;VAR:RELITEM=&amp;VAR:CURRENCY=&amp;VAR:DB_TYPE=&amp;VAR:UNITS=M&amp;VAR:SHS_OUT_TY","PE=&amp;window=popup&amp;width=535&amp;height=425&amp;START_MAXIMIZED=FALSE&amp;Y=120"}</definedName>
    <definedName name="_165__FDSAUDITLINK__" localSheetId="5" hidden="1">{"fdsup://directions/FAT Viewer?action=UPDATE&amp;creator=factSet&amp;DYN_ARGS=true&amp;DOC_NAME=FAT:RGA_ENTRPR_VAL_MV_SOURCE_WINDOW.FAT&amp;VAR:ID1=BBBY&amp;VAR:SDATE=20020118&amp;VAR:FDATE=20010228&amp;VAR:FREQ=DAILY&amp;VAR:RELITEM=&amp;VAR:CURRENCY=&amp;VAR:DB_TYPE=&amp;VAR:UNITS=M&amp;VAR:SHS_OUT_TY","PE=&amp;window=popup&amp;width=535&amp;height=425&amp;START_MAXIMIZED=FALSE&amp;Y=120"}</definedName>
    <definedName name="_165__FDSAUDITLINK__" hidden="1">{"fdsup://directions/FAT Viewer?action=UPDATE&amp;creator=factSet&amp;DYN_ARGS=true&amp;DOC_NAME=FAT:RGA_ENTRPR_VAL_MV_SOURCE_WINDOW.FAT&amp;VAR:ID1=BBBY&amp;VAR:SDATE=20020118&amp;VAR:FDATE=20010228&amp;VAR:FREQ=DAILY&amp;VAR:RELITEM=&amp;VAR:CURRENCY=&amp;VAR:DB_TYPE=&amp;VAR:UNITS=M&amp;VAR:SHS_OUT_TY","PE=&amp;window=popup&amp;width=535&amp;height=425&amp;START_MAXIMIZED=FALSE&amp;Y=120"}</definedName>
    <definedName name="_166__FDSAUDITLINK__" localSheetId="5" hidden="1">{"fdsup://directions/FAT Viewer?action=UPDATE&amp;creator=factSet&amp;DYN_ARGS=true&amp;DOC_NAME=FAT:RGA_ENTRPR_VAL_MV_SOURCE_WINDOW.FAT&amp;VAR:ID1=BBBY&amp;VAR:SDATE=20020125&amp;VAR:FDATE=20010228&amp;VAR:FREQ=DAILY&amp;VAR:RELITEM=&amp;VAR:CURRENCY=&amp;VAR:DB_TYPE=&amp;VAR:UNITS=M&amp;VAR:SHS_OUT_TY","PE=&amp;window=popup&amp;width=535&amp;height=425&amp;START_MAXIMIZED=FALSE&amp;Y=120"}</definedName>
    <definedName name="_166__FDSAUDITLINK__" hidden="1">{"fdsup://directions/FAT Viewer?action=UPDATE&amp;creator=factSet&amp;DYN_ARGS=true&amp;DOC_NAME=FAT:RGA_ENTRPR_VAL_MV_SOURCE_WINDOW.FAT&amp;VAR:ID1=BBBY&amp;VAR:SDATE=20020125&amp;VAR:FDATE=20010228&amp;VAR:FREQ=DAILY&amp;VAR:RELITEM=&amp;VAR:CURRENCY=&amp;VAR:DB_TYPE=&amp;VAR:UNITS=M&amp;VAR:SHS_OUT_TY","PE=&amp;window=popup&amp;width=535&amp;height=425&amp;START_MAXIMIZED=FALSE&amp;Y=120"}</definedName>
    <definedName name="_167__FDSAUDITLINK__" localSheetId="5" hidden="1">{"fdsup://directions/FAT Viewer?action=UPDATE&amp;creator=factSet&amp;DYN_ARGS=true&amp;DOC_NAME=FAT:RGA_ENTRPR_VAL_MV_SOURCE_WINDOW.FAT&amp;VAR:ID1=BBBY&amp;VAR:SDATE=20020201&amp;VAR:FDATE=20010228&amp;VAR:FREQ=DAILY&amp;VAR:RELITEM=&amp;VAR:CURRENCY=&amp;VAR:DB_TYPE=&amp;VAR:UNITS=M&amp;VAR:SHS_OUT_TY","PE=&amp;window=popup&amp;width=535&amp;height=425&amp;START_MAXIMIZED=FALSE&amp;Y=120"}</definedName>
    <definedName name="_167__FDSAUDITLINK__" hidden="1">{"fdsup://directions/FAT Viewer?action=UPDATE&amp;creator=factSet&amp;DYN_ARGS=true&amp;DOC_NAME=FAT:RGA_ENTRPR_VAL_MV_SOURCE_WINDOW.FAT&amp;VAR:ID1=BBBY&amp;VAR:SDATE=20020201&amp;VAR:FDATE=20010228&amp;VAR:FREQ=DAILY&amp;VAR:RELITEM=&amp;VAR:CURRENCY=&amp;VAR:DB_TYPE=&amp;VAR:UNITS=M&amp;VAR:SHS_OUT_TY","PE=&amp;window=popup&amp;width=535&amp;height=425&amp;START_MAXIMIZED=FALSE&amp;Y=120"}</definedName>
    <definedName name="_168__FDSAUDITLINK__" localSheetId="5" hidden="1">{"fdsup://directions/FAT Viewer?action=UPDATE&amp;creator=factSet&amp;DYN_ARGS=true&amp;DOC_NAME=FAT:RGA_ENTRPR_VAL_MV_SOURCE_WINDOW.FAT&amp;VAR:ID1=BBBY&amp;VAR:SDATE=20020208&amp;VAR:FDATE=20010228&amp;VAR:FREQ=DAILY&amp;VAR:RELITEM=&amp;VAR:CURRENCY=&amp;VAR:DB_TYPE=&amp;VAR:UNITS=M&amp;VAR:SHS_OUT_TY","PE=&amp;window=popup&amp;width=535&amp;height=425&amp;START_MAXIMIZED=FALSE&amp;Y=120"}</definedName>
    <definedName name="_168__FDSAUDITLINK__" hidden="1">{"fdsup://directions/FAT Viewer?action=UPDATE&amp;creator=factSet&amp;DYN_ARGS=true&amp;DOC_NAME=FAT:RGA_ENTRPR_VAL_MV_SOURCE_WINDOW.FAT&amp;VAR:ID1=BBBY&amp;VAR:SDATE=20020208&amp;VAR:FDATE=20010228&amp;VAR:FREQ=DAILY&amp;VAR:RELITEM=&amp;VAR:CURRENCY=&amp;VAR:DB_TYPE=&amp;VAR:UNITS=M&amp;VAR:SHS_OUT_TY","PE=&amp;window=popup&amp;width=535&amp;height=425&amp;START_MAXIMIZED=FALSE&amp;Y=120"}</definedName>
    <definedName name="_169__FDSAUDITLINK__" localSheetId="5" hidden="1">{"fdsup://directions/FAT Viewer?action=UPDATE&amp;creator=factSet&amp;DYN_ARGS=true&amp;DOC_NAME=FAT:RGA_ENTRPR_VAL_MV_SOURCE_WINDOW.FAT&amp;VAR:ID1=BBBY&amp;VAR:SDATE=20020215&amp;VAR:FDATE=20010228&amp;VAR:FREQ=DAILY&amp;VAR:RELITEM=&amp;VAR:CURRENCY=&amp;VAR:DB_TYPE=&amp;VAR:UNITS=M&amp;VAR:SHS_OUT_TY","PE=&amp;window=popup&amp;width=535&amp;height=425&amp;START_MAXIMIZED=FALSE&amp;Y=120"}</definedName>
    <definedName name="_169__FDSAUDITLINK__" hidden="1">{"fdsup://directions/FAT Viewer?action=UPDATE&amp;creator=factSet&amp;DYN_ARGS=true&amp;DOC_NAME=FAT:RGA_ENTRPR_VAL_MV_SOURCE_WINDOW.FAT&amp;VAR:ID1=BBBY&amp;VAR:SDATE=20020215&amp;VAR:FDATE=20010228&amp;VAR:FREQ=DAILY&amp;VAR:RELITEM=&amp;VAR:CURRENCY=&amp;VAR:DB_TYPE=&amp;VAR:UNITS=M&amp;VAR:SHS_OUT_TY","PE=&amp;window=popup&amp;width=535&amp;height=425&amp;START_MAXIMIZED=FALSE&amp;Y=120"}</definedName>
    <definedName name="_17__FDSAUDITLINK__" localSheetId="5" hidden="1">{"fdsup://directions/FAT Viewer?action=UPDATE&amp;creator=factSet&amp;DYN_ARGS=true&amp;DOC_NAME=FAT:RGA_ENTRPR_VAL_MV_SOURCE_WINDOW.FAT&amp;VAR:ID1=BBBY&amp;VAR:SDATE=19990319&amp;VAR:FDATE=19990226&amp;VAR:FREQ=DAILY&amp;VAR:RELITEM=&amp;VAR:CURRENCY=&amp;VAR:DB_TYPE=&amp;VAR:UNITS=M&amp;VAR:SHS_OUT_TY","PE=&amp;window=popup&amp;width=535&amp;height=425&amp;START_MAXIMIZED=FALSE&amp;Y=120"}</definedName>
    <definedName name="_17__FDSAUDITLINK__" hidden="1">{"fdsup://directions/FAT Viewer?action=UPDATE&amp;creator=factSet&amp;DYN_ARGS=true&amp;DOC_NAME=FAT:RGA_ENTRPR_VAL_MV_SOURCE_WINDOW.FAT&amp;VAR:ID1=BBBY&amp;VAR:SDATE=19990319&amp;VAR:FDATE=19990226&amp;VAR:FREQ=DAILY&amp;VAR:RELITEM=&amp;VAR:CURRENCY=&amp;VAR:DB_TYPE=&amp;VAR:UNITS=M&amp;VAR:SHS_OUT_TY","PE=&amp;window=popup&amp;width=535&amp;height=425&amp;START_MAXIMIZED=FALSE&amp;Y=120"}</definedName>
    <definedName name="_170__FDSAUDITLINK__" localSheetId="5" hidden="1">{"fdsup://directions/FAT Viewer?action=UPDATE&amp;creator=factSet&amp;DYN_ARGS=true&amp;DOC_NAME=FAT:RGA_ENTRPR_VAL_MV_SOURCE_WINDOW.FAT&amp;VAR:ID1=BBBY&amp;VAR:SDATE=20020222&amp;VAR:FDATE=20010228&amp;VAR:FREQ=DAILY&amp;VAR:RELITEM=&amp;VAR:CURRENCY=&amp;VAR:DB_TYPE=&amp;VAR:UNITS=M&amp;VAR:SHS_OUT_TY","PE=&amp;window=popup&amp;width=535&amp;height=425&amp;START_MAXIMIZED=FALSE&amp;Y=120"}</definedName>
    <definedName name="_170__FDSAUDITLINK__" hidden="1">{"fdsup://directions/FAT Viewer?action=UPDATE&amp;creator=factSet&amp;DYN_ARGS=true&amp;DOC_NAME=FAT:RGA_ENTRPR_VAL_MV_SOURCE_WINDOW.FAT&amp;VAR:ID1=BBBY&amp;VAR:SDATE=20020222&amp;VAR:FDATE=20010228&amp;VAR:FREQ=DAILY&amp;VAR:RELITEM=&amp;VAR:CURRENCY=&amp;VAR:DB_TYPE=&amp;VAR:UNITS=M&amp;VAR:SHS_OUT_TY","PE=&amp;window=popup&amp;width=535&amp;height=425&amp;START_MAXIMIZED=FALSE&amp;Y=120"}</definedName>
    <definedName name="_171__FDSAUDITLINK__" localSheetId="5" hidden="1">{"fdsup://directions/FAT Viewer?action=UPDATE&amp;creator=factSet&amp;DYN_ARGS=true&amp;DOC_NAME=FAT:RGA_ENTRPR_VAL_MV_SOURCE_WINDOW.FAT&amp;VAR:ID1=BBBY&amp;VAR:SDATE=20020301&amp;VAR:FDATE=20020228&amp;VAR:FREQ=DAILY&amp;VAR:RELITEM=&amp;VAR:CURRENCY=&amp;VAR:DB_TYPE=&amp;VAR:UNITS=M&amp;VAR:SHS_OUT_TY","PE=&amp;window=popup&amp;width=535&amp;height=425&amp;START_MAXIMIZED=FALSE&amp;Y=120"}</definedName>
    <definedName name="_171__FDSAUDITLINK__" hidden="1">{"fdsup://directions/FAT Viewer?action=UPDATE&amp;creator=factSet&amp;DYN_ARGS=true&amp;DOC_NAME=FAT:RGA_ENTRPR_VAL_MV_SOURCE_WINDOW.FAT&amp;VAR:ID1=BBBY&amp;VAR:SDATE=20020301&amp;VAR:FDATE=20020228&amp;VAR:FREQ=DAILY&amp;VAR:RELITEM=&amp;VAR:CURRENCY=&amp;VAR:DB_TYPE=&amp;VAR:UNITS=M&amp;VAR:SHS_OUT_TY","PE=&amp;window=popup&amp;width=535&amp;height=425&amp;START_MAXIMIZED=FALSE&amp;Y=120"}</definedName>
    <definedName name="_172__FDSAUDITLINK__" localSheetId="5" hidden="1">{"fdsup://directions/FAT Viewer?action=UPDATE&amp;creator=factSet&amp;DYN_ARGS=true&amp;DOC_NAME=FAT:RGA_ENTRPR_VAL_MV_SOURCE_WINDOW.FAT&amp;VAR:ID1=BBBY&amp;VAR:SDATE=20020308&amp;VAR:FDATE=20020228&amp;VAR:FREQ=DAILY&amp;VAR:RELITEM=&amp;VAR:CURRENCY=&amp;VAR:DB_TYPE=&amp;VAR:UNITS=M&amp;VAR:SHS_OUT_TY","PE=&amp;window=popup&amp;width=535&amp;height=425&amp;START_MAXIMIZED=FALSE&amp;Y=120"}</definedName>
    <definedName name="_172__FDSAUDITLINK__" hidden="1">{"fdsup://directions/FAT Viewer?action=UPDATE&amp;creator=factSet&amp;DYN_ARGS=true&amp;DOC_NAME=FAT:RGA_ENTRPR_VAL_MV_SOURCE_WINDOW.FAT&amp;VAR:ID1=BBBY&amp;VAR:SDATE=20020308&amp;VAR:FDATE=20020228&amp;VAR:FREQ=DAILY&amp;VAR:RELITEM=&amp;VAR:CURRENCY=&amp;VAR:DB_TYPE=&amp;VAR:UNITS=M&amp;VAR:SHS_OUT_TY","PE=&amp;window=popup&amp;width=535&amp;height=425&amp;START_MAXIMIZED=FALSE&amp;Y=120"}</definedName>
    <definedName name="_173__FDSAUDITLINK__" localSheetId="5" hidden="1">{"fdsup://directions/FAT Viewer?action=UPDATE&amp;creator=factSet&amp;DYN_ARGS=true&amp;DOC_NAME=FAT:RGA_ENTRPR_VAL_MV_SOURCE_WINDOW.FAT&amp;VAR:ID1=BBBY&amp;VAR:SDATE=20020315&amp;VAR:FDATE=20020228&amp;VAR:FREQ=DAILY&amp;VAR:RELITEM=&amp;VAR:CURRENCY=&amp;VAR:DB_TYPE=&amp;VAR:UNITS=M&amp;VAR:SHS_OUT_TY","PE=&amp;window=popup&amp;width=535&amp;height=425&amp;START_MAXIMIZED=FALSE&amp;Y=120"}</definedName>
    <definedName name="_173__FDSAUDITLINK__" hidden="1">{"fdsup://directions/FAT Viewer?action=UPDATE&amp;creator=factSet&amp;DYN_ARGS=true&amp;DOC_NAME=FAT:RGA_ENTRPR_VAL_MV_SOURCE_WINDOW.FAT&amp;VAR:ID1=BBBY&amp;VAR:SDATE=20020315&amp;VAR:FDATE=20020228&amp;VAR:FREQ=DAILY&amp;VAR:RELITEM=&amp;VAR:CURRENCY=&amp;VAR:DB_TYPE=&amp;VAR:UNITS=M&amp;VAR:SHS_OUT_TY","PE=&amp;window=popup&amp;width=535&amp;height=425&amp;START_MAXIMIZED=FALSE&amp;Y=120"}</definedName>
    <definedName name="_174__FDSAUDITLINK__" localSheetId="5" hidden="1">{"fdsup://directions/FAT Viewer?action=UPDATE&amp;creator=factSet&amp;DYN_ARGS=true&amp;DOC_NAME=FAT:RGA_ENTRPR_VAL_MV_SOURCE_WINDOW.FAT&amp;VAR:ID1=BBBY&amp;VAR:SDATE=20020322&amp;VAR:FDATE=20020228&amp;VAR:FREQ=DAILY&amp;VAR:RELITEM=&amp;VAR:CURRENCY=&amp;VAR:DB_TYPE=&amp;VAR:UNITS=M&amp;VAR:SHS_OUT_TY","PE=&amp;window=popup&amp;width=535&amp;height=425&amp;START_MAXIMIZED=FALSE&amp;Y=120"}</definedName>
    <definedName name="_174__FDSAUDITLINK__" hidden="1">{"fdsup://directions/FAT Viewer?action=UPDATE&amp;creator=factSet&amp;DYN_ARGS=true&amp;DOC_NAME=FAT:RGA_ENTRPR_VAL_MV_SOURCE_WINDOW.FAT&amp;VAR:ID1=BBBY&amp;VAR:SDATE=20020322&amp;VAR:FDATE=20020228&amp;VAR:FREQ=DAILY&amp;VAR:RELITEM=&amp;VAR:CURRENCY=&amp;VAR:DB_TYPE=&amp;VAR:UNITS=M&amp;VAR:SHS_OUT_TY","PE=&amp;window=popup&amp;width=535&amp;height=425&amp;START_MAXIMIZED=FALSE&amp;Y=120"}</definedName>
    <definedName name="_175__FDSAUDITLINK__" localSheetId="5" hidden="1">{"fdsup://directions/FAT Viewer?action=UPDATE&amp;creator=factSet&amp;DYN_ARGS=true&amp;DOC_NAME=FAT:RGA_ENTRPR_VAL_MV_SOURCE_WINDOW.FAT&amp;VAR:ID1=BBBY&amp;VAR:SDATE=20020328&amp;VAR:FDATE=20020228&amp;VAR:FREQ=DAILY&amp;VAR:RELITEM=&amp;VAR:CURRENCY=&amp;VAR:DB_TYPE=&amp;VAR:UNITS=M&amp;VAR:SHS_OUT_TY","PE=&amp;window=popup&amp;width=535&amp;height=425&amp;START_MAXIMIZED=FALSE&amp;Y=120"}</definedName>
    <definedName name="_175__FDSAUDITLINK__" hidden="1">{"fdsup://directions/FAT Viewer?action=UPDATE&amp;creator=factSet&amp;DYN_ARGS=true&amp;DOC_NAME=FAT:RGA_ENTRPR_VAL_MV_SOURCE_WINDOW.FAT&amp;VAR:ID1=BBBY&amp;VAR:SDATE=20020328&amp;VAR:FDATE=20020228&amp;VAR:FREQ=DAILY&amp;VAR:RELITEM=&amp;VAR:CURRENCY=&amp;VAR:DB_TYPE=&amp;VAR:UNITS=M&amp;VAR:SHS_OUT_TY","PE=&amp;window=popup&amp;width=535&amp;height=425&amp;START_MAXIMIZED=FALSE&amp;Y=120"}</definedName>
    <definedName name="_176__FDSAUDITLINK__" localSheetId="5" hidden="1">{"fdsup://directions/FAT Viewer?action=UPDATE&amp;creator=factSet&amp;DYN_ARGS=true&amp;DOC_NAME=FAT:RGA_ENTRPR_VAL_MV_SOURCE_WINDOW.FAT&amp;VAR:ID1=BBBY&amp;VAR:SDATE=20020405&amp;VAR:FDATE=20020228&amp;VAR:FREQ=DAILY&amp;VAR:RELITEM=&amp;VAR:CURRENCY=&amp;VAR:DB_TYPE=&amp;VAR:UNITS=M&amp;VAR:SHS_OUT_TY","PE=&amp;window=popup&amp;width=535&amp;height=425&amp;START_MAXIMIZED=FALSE&amp;Y=120"}</definedName>
    <definedName name="_176__FDSAUDITLINK__" hidden="1">{"fdsup://directions/FAT Viewer?action=UPDATE&amp;creator=factSet&amp;DYN_ARGS=true&amp;DOC_NAME=FAT:RGA_ENTRPR_VAL_MV_SOURCE_WINDOW.FAT&amp;VAR:ID1=BBBY&amp;VAR:SDATE=20020405&amp;VAR:FDATE=20020228&amp;VAR:FREQ=DAILY&amp;VAR:RELITEM=&amp;VAR:CURRENCY=&amp;VAR:DB_TYPE=&amp;VAR:UNITS=M&amp;VAR:SHS_OUT_TY","PE=&amp;window=popup&amp;width=535&amp;height=425&amp;START_MAXIMIZED=FALSE&amp;Y=120"}</definedName>
    <definedName name="_177__FDSAUDITLINK__" localSheetId="5" hidden="1">{"fdsup://directions/FAT Viewer?action=UPDATE&amp;creator=factSet&amp;DYN_ARGS=true&amp;DOC_NAME=FAT:RGA_ENTRPR_VAL_MV_SOURCE_WINDOW.FAT&amp;VAR:ID1=BBBY&amp;VAR:SDATE=20020412&amp;VAR:FDATE=20020228&amp;VAR:FREQ=DAILY&amp;VAR:RELITEM=&amp;VAR:CURRENCY=&amp;VAR:DB_TYPE=&amp;VAR:UNITS=M&amp;VAR:SHS_OUT_TY","PE=&amp;window=popup&amp;width=535&amp;height=425&amp;START_MAXIMIZED=FALSE&amp;Y=120"}</definedName>
    <definedName name="_177__FDSAUDITLINK__" hidden="1">{"fdsup://directions/FAT Viewer?action=UPDATE&amp;creator=factSet&amp;DYN_ARGS=true&amp;DOC_NAME=FAT:RGA_ENTRPR_VAL_MV_SOURCE_WINDOW.FAT&amp;VAR:ID1=BBBY&amp;VAR:SDATE=20020412&amp;VAR:FDATE=20020228&amp;VAR:FREQ=DAILY&amp;VAR:RELITEM=&amp;VAR:CURRENCY=&amp;VAR:DB_TYPE=&amp;VAR:UNITS=M&amp;VAR:SHS_OUT_TY","PE=&amp;window=popup&amp;width=535&amp;height=425&amp;START_MAXIMIZED=FALSE&amp;Y=120"}</definedName>
    <definedName name="_178__FDSAUDITLINK__" localSheetId="5" hidden="1">{"fdsup://directions/FAT Viewer?action=UPDATE&amp;creator=factSet&amp;DYN_ARGS=true&amp;DOC_NAME=FAT:RGA_ENTRPR_VAL_MV_SOURCE_WINDOW.FAT&amp;VAR:ID1=BBBY&amp;VAR:SDATE=20020419&amp;VAR:FDATE=20020228&amp;VAR:FREQ=DAILY&amp;VAR:RELITEM=&amp;VAR:CURRENCY=&amp;VAR:DB_TYPE=&amp;VAR:UNITS=M&amp;VAR:SHS_OUT_TY","PE=&amp;window=popup&amp;width=535&amp;height=425&amp;START_MAXIMIZED=FALSE&amp;Y=120"}</definedName>
    <definedName name="_178__FDSAUDITLINK__" hidden="1">{"fdsup://directions/FAT Viewer?action=UPDATE&amp;creator=factSet&amp;DYN_ARGS=true&amp;DOC_NAME=FAT:RGA_ENTRPR_VAL_MV_SOURCE_WINDOW.FAT&amp;VAR:ID1=BBBY&amp;VAR:SDATE=20020419&amp;VAR:FDATE=20020228&amp;VAR:FREQ=DAILY&amp;VAR:RELITEM=&amp;VAR:CURRENCY=&amp;VAR:DB_TYPE=&amp;VAR:UNITS=M&amp;VAR:SHS_OUT_TY","PE=&amp;window=popup&amp;width=535&amp;height=425&amp;START_MAXIMIZED=FALSE&amp;Y=120"}</definedName>
    <definedName name="_179__FDSAUDITLINK__" localSheetId="5" hidden="1">{"fdsup://directions/FAT Viewer?action=UPDATE&amp;creator=factSet&amp;DYN_ARGS=true&amp;DOC_NAME=FAT:RGA_ENTRPR_VAL_MV_SOURCE_WINDOW.FAT&amp;VAR:ID1=BBBY&amp;VAR:SDATE=20020426&amp;VAR:FDATE=20020228&amp;VAR:FREQ=DAILY&amp;VAR:RELITEM=&amp;VAR:CURRENCY=&amp;VAR:DB_TYPE=&amp;VAR:UNITS=M&amp;VAR:SHS_OUT_TY","PE=&amp;window=popup&amp;width=535&amp;height=425&amp;START_MAXIMIZED=FALSE&amp;Y=120"}</definedName>
    <definedName name="_179__FDSAUDITLINK__" hidden="1">{"fdsup://directions/FAT Viewer?action=UPDATE&amp;creator=factSet&amp;DYN_ARGS=true&amp;DOC_NAME=FAT:RGA_ENTRPR_VAL_MV_SOURCE_WINDOW.FAT&amp;VAR:ID1=BBBY&amp;VAR:SDATE=20020426&amp;VAR:FDATE=20020228&amp;VAR:FREQ=DAILY&amp;VAR:RELITEM=&amp;VAR:CURRENCY=&amp;VAR:DB_TYPE=&amp;VAR:UNITS=M&amp;VAR:SHS_OUT_TY","PE=&amp;window=popup&amp;width=535&amp;height=425&amp;START_MAXIMIZED=FALSE&amp;Y=120"}</definedName>
    <definedName name="_18__FDSAUDITLINK__" localSheetId="5" hidden="1">{"fdsup://directions/FAT Viewer?action=UPDATE&amp;creator=factSet&amp;DYN_ARGS=true&amp;DOC_NAME=FAT:RGA_ENTRPR_VAL_MV_SOURCE_WINDOW.FAT&amp;VAR:ID1=BBBY&amp;VAR:SDATE=19990326&amp;VAR:FDATE=19990226&amp;VAR:FREQ=DAILY&amp;VAR:RELITEM=&amp;VAR:CURRENCY=&amp;VAR:DB_TYPE=&amp;VAR:UNITS=M&amp;VAR:SHS_OUT_TY","PE=&amp;window=popup&amp;width=535&amp;height=425&amp;START_MAXIMIZED=FALSE&amp;Y=120"}</definedName>
    <definedName name="_18__FDSAUDITLINK__" hidden="1">{"fdsup://directions/FAT Viewer?action=UPDATE&amp;creator=factSet&amp;DYN_ARGS=true&amp;DOC_NAME=FAT:RGA_ENTRPR_VAL_MV_SOURCE_WINDOW.FAT&amp;VAR:ID1=BBBY&amp;VAR:SDATE=19990326&amp;VAR:FDATE=19990226&amp;VAR:FREQ=DAILY&amp;VAR:RELITEM=&amp;VAR:CURRENCY=&amp;VAR:DB_TYPE=&amp;VAR:UNITS=M&amp;VAR:SHS_OUT_TY","PE=&amp;window=popup&amp;width=535&amp;height=425&amp;START_MAXIMIZED=FALSE&amp;Y=120"}</definedName>
    <definedName name="_180__FDSAUDITLINK__" localSheetId="5" hidden="1">{"fdsup://directions/FAT Viewer?action=UPDATE&amp;creator=factSet&amp;DYN_ARGS=true&amp;DOC_NAME=FAT:RGA_ENTRPR_VAL_MV_SOURCE_WINDOW.FAT&amp;VAR:ID1=BBBY&amp;VAR:SDATE=20020503&amp;VAR:FDATE=20020228&amp;VAR:FREQ=DAILY&amp;VAR:RELITEM=&amp;VAR:CURRENCY=&amp;VAR:DB_TYPE=&amp;VAR:UNITS=M&amp;VAR:SHS_OUT_TY","PE=&amp;window=popup&amp;width=535&amp;height=425&amp;START_MAXIMIZED=FALSE&amp;Y=120"}</definedName>
    <definedName name="_180__FDSAUDITLINK__" hidden="1">{"fdsup://directions/FAT Viewer?action=UPDATE&amp;creator=factSet&amp;DYN_ARGS=true&amp;DOC_NAME=FAT:RGA_ENTRPR_VAL_MV_SOURCE_WINDOW.FAT&amp;VAR:ID1=BBBY&amp;VAR:SDATE=20020503&amp;VAR:FDATE=20020228&amp;VAR:FREQ=DAILY&amp;VAR:RELITEM=&amp;VAR:CURRENCY=&amp;VAR:DB_TYPE=&amp;VAR:UNITS=M&amp;VAR:SHS_OUT_TY","PE=&amp;window=popup&amp;width=535&amp;height=425&amp;START_MAXIMIZED=FALSE&amp;Y=120"}</definedName>
    <definedName name="_181__FDSAUDITLINK__" localSheetId="5" hidden="1">{"fdsup://directions/FAT Viewer?action=UPDATE&amp;creator=factSet&amp;DYN_ARGS=true&amp;DOC_NAME=FAT:RGA_ENTRPR_VAL_MV_SOURCE_WINDOW.FAT&amp;VAR:ID1=BBBY&amp;VAR:SDATE=20020510&amp;VAR:FDATE=20020228&amp;VAR:FREQ=DAILY&amp;VAR:RELITEM=&amp;VAR:CURRENCY=&amp;VAR:DB_TYPE=&amp;VAR:UNITS=M&amp;VAR:SHS_OUT_TY","PE=&amp;window=popup&amp;width=535&amp;height=425&amp;START_MAXIMIZED=FALSE&amp;Y=120"}</definedName>
    <definedName name="_181__FDSAUDITLINK__" hidden="1">{"fdsup://directions/FAT Viewer?action=UPDATE&amp;creator=factSet&amp;DYN_ARGS=true&amp;DOC_NAME=FAT:RGA_ENTRPR_VAL_MV_SOURCE_WINDOW.FAT&amp;VAR:ID1=BBBY&amp;VAR:SDATE=20020510&amp;VAR:FDATE=20020228&amp;VAR:FREQ=DAILY&amp;VAR:RELITEM=&amp;VAR:CURRENCY=&amp;VAR:DB_TYPE=&amp;VAR:UNITS=M&amp;VAR:SHS_OUT_TY","PE=&amp;window=popup&amp;width=535&amp;height=425&amp;START_MAXIMIZED=FALSE&amp;Y=120"}</definedName>
    <definedName name="_182__FDSAUDITLINK__" localSheetId="5" hidden="1">{"fdsup://directions/FAT Viewer?action=UPDATE&amp;creator=factSet&amp;DYN_ARGS=true&amp;DOC_NAME=FAT:RGA_ENTRPR_VAL_MV_SOURCE_WINDOW.FAT&amp;VAR:ID1=BBBY&amp;VAR:SDATE=20020517&amp;VAR:FDATE=20020228&amp;VAR:FREQ=DAILY&amp;VAR:RELITEM=&amp;VAR:CURRENCY=&amp;VAR:DB_TYPE=&amp;VAR:UNITS=M&amp;VAR:SHS_OUT_TY","PE=&amp;window=popup&amp;width=535&amp;height=425&amp;START_MAXIMIZED=FALSE&amp;Y=120"}</definedName>
    <definedName name="_182__FDSAUDITLINK__" hidden="1">{"fdsup://directions/FAT Viewer?action=UPDATE&amp;creator=factSet&amp;DYN_ARGS=true&amp;DOC_NAME=FAT:RGA_ENTRPR_VAL_MV_SOURCE_WINDOW.FAT&amp;VAR:ID1=BBBY&amp;VAR:SDATE=20020517&amp;VAR:FDATE=20020228&amp;VAR:FREQ=DAILY&amp;VAR:RELITEM=&amp;VAR:CURRENCY=&amp;VAR:DB_TYPE=&amp;VAR:UNITS=M&amp;VAR:SHS_OUT_TY","PE=&amp;window=popup&amp;width=535&amp;height=425&amp;START_MAXIMIZED=FALSE&amp;Y=120"}</definedName>
    <definedName name="_183__FDSAUDITLINK__" localSheetId="5" hidden="1">{"fdsup://directions/FAT Viewer?action=UPDATE&amp;creator=factSet&amp;DYN_ARGS=true&amp;DOC_NAME=FAT:RGA_ENTRPR_VAL_MV_SOURCE_WINDOW.FAT&amp;VAR:ID1=BBBY&amp;VAR:SDATE=20020524&amp;VAR:FDATE=20020228&amp;VAR:FREQ=DAILY&amp;VAR:RELITEM=&amp;VAR:CURRENCY=&amp;VAR:DB_TYPE=&amp;VAR:UNITS=M&amp;VAR:SHS_OUT_TY","PE=&amp;window=popup&amp;width=535&amp;height=425&amp;START_MAXIMIZED=FALSE&amp;Y=120"}</definedName>
    <definedName name="_183__FDSAUDITLINK__" hidden="1">{"fdsup://directions/FAT Viewer?action=UPDATE&amp;creator=factSet&amp;DYN_ARGS=true&amp;DOC_NAME=FAT:RGA_ENTRPR_VAL_MV_SOURCE_WINDOW.FAT&amp;VAR:ID1=BBBY&amp;VAR:SDATE=20020524&amp;VAR:FDATE=20020228&amp;VAR:FREQ=DAILY&amp;VAR:RELITEM=&amp;VAR:CURRENCY=&amp;VAR:DB_TYPE=&amp;VAR:UNITS=M&amp;VAR:SHS_OUT_TY","PE=&amp;window=popup&amp;width=535&amp;height=425&amp;START_MAXIMIZED=FALSE&amp;Y=120"}</definedName>
    <definedName name="_184__FDSAUDITLINK__" localSheetId="5" hidden="1">{"fdsup://directions/FAT Viewer?action=UPDATE&amp;creator=factSet&amp;DYN_ARGS=true&amp;DOC_NAME=FAT:RGA_ENTRPR_VAL_MV_SOURCE_WINDOW.FAT&amp;VAR:ID1=BBBY&amp;VAR:SDATE=20020531&amp;VAR:FDATE=20020228&amp;VAR:FREQ=DAILY&amp;VAR:RELITEM=&amp;VAR:CURRENCY=&amp;VAR:DB_TYPE=&amp;VAR:UNITS=M&amp;VAR:SHS_OUT_TY","PE=&amp;window=popup&amp;width=535&amp;height=425&amp;START_MAXIMIZED=FALSE&amp;Y=120"}</definedName>
    <definedName name="_184__FDSAUDITLINK__" hidden="1">{"fdsup://directions/FAT Viewer?action=UPDATE&amp;creator=factSet&amp;DYN_ARGS=true&amp;DOC_NAME=FAT:RGA_ENTRPR_VAL_MV_SOURCE_WINDOW.FAT&amp;VAR:ID1=BBBY&amp;VAR:SDATE=20020531&amp;VAR:FDATE=20020228&amp;VAR:FREQ=DAILY&amp;VAR:RELITEM=&amp;VAR:CURRENCY=&amp;VAR:DB_TYPE=&amp;VAR:UNITS=M&amp;VAR:SHS_OUT_TY","PE=&amp;window=popup&amp;width=535&amp;height=425&amp;START_MAXIMIZED=FALSE&amp;Y=120"}</definedName>
    <definedName name="_185__FDSAUDITLINK__" localSheetId="5" hidden="1">{"fdsup://directions/FAT Viewer?action=UPDATE&amp;creator=factSet&amp;DYN_ARGS=true&amp;DOC_NAME=FAT:RGA_ENTRPR_VAL_MV_SOURCE_WINDOW.FAT&amp;VAR:ID1=BBBY&amp;VAR:SDATE=20020607&amp;VAR:FDATE=20020228&amp;VAR:FREQ=DAILY&amp;VAR:RELITEM=&amp;VAR:CURRENCY=&amp;VAR:DB_TYPE=&amp;VAR:UNITS=M&amp;VAR:SHS_OUT_TY","PE=&amp;window=popup&amp;width=535&amp;height=425&amp;START_MAXIMIZED=FALSE&amp;Y=120"}</definedName>
    <definedName name="_185__FDSAUDITLINK__" hidden="1">{"fdsup://directions/FAT Viewer?action=UPDATE&amp;creator=factSet&amp;DYN_ARGS=true&amp;DOC_NAME=FAT:RGA_ENTRPR_VAL_MV_SOURCE_WINDOW.FAT&amp;VAR:ID1=BBBY&amp;VAR:SDATE=20020607&amp;VAR:FDATE=20020228&amp;VAR:FREQ=DAILY&amp;VAR:RELITEM=&amp;VAR:CURRENCY=&amp;VAR:DB_TYPE=&amp;VAR:UNITS=M&amp;VAR:SHS_OUT_TY","PE=&amp;window=popup&amp;width=535&amp;height=425&amp;START_MAXIMIZED=FALSE&amp;Y=120"}</definedName>
    <definedName name="_186__FDSAUDITLINK__" localSheetId="5" hidden="1">{"fdsup://directions/FAT Viewer?action=UPDATE&amp;creator=factSet&amp;DYN_ARGS=true&amp;DOC_NAME=FAT:RGA_ENTRPR_VAL_MV_SOURCE_WINDOW.FAT&amp;VAR:ID1=BBBY&amp;VAR:SDATE=20020614&amp;VAR:FDATE=20020228&amp;VAR:FREQ=DAILY&amp;VAR:RELITEM=&amp;VAR:CURRENCY=&amp;VAR:DB_TYPE=&amp;VAR:UNITS=M&amp;VAR:SHS_OUT_TY","PE=&amp;window=popup&amp;width=535&amp;height=425&amp;START_MAXIMIZED=FALSE&amp;Y=120"}</definedName>
    <definedName name="_186__FDSAUDITLINK__" hidden="1">{"fdsup://directions/FAT Viewer?action=UPDATE&amp;creator=factSet&amp;DYN_ARGS=true&amp;DOC_NAME=FAT:RGA_ENTRPR_VAL_MV_SOURCE_WINDOW.FAT&amp;VAR:ID1=BBBY&amp;VAR:SDATE=20020614&amp;VAR:FDATE=20020228&amp;VAR:FREQ=DAILY&amp;VAR:RELITEM=&amp;VAR:CURRENCY=&amp;VAR:DB_TYPE=&amp;VAR:UNITS=M&amp;VAR:SHS_OUT_TY","PE=&amp;window=popup&amp;width=535&amp;height=425&amp;START_MAXIMIZED=FALSE&amp;Y=120"}</definedName>
    <definedName name="_187__FDSAUDITLINK__" localSheetId="5" hidden="1">{"fdsup://directions/FAT Viewer?action=UPDATE&amp;creator=factSet&amp;DYN_ARGS=true&amp;DOC_NAME=FAT:RGA_ENTRPR_VAL_MV_SOURCE_WINDOW.FAT&amp;VAR:ID1=BBBY&amp;VAR:SDATE=20020621&amp;VAR:FDATE=20020228&amp;VAR:FREQ=DAILY&amp;VAR:RELITEM=&amp;VAR:CURRENCY=&amp;VAR:DB_TYPE=&amp;VAR:UNITS=M&amp;VAR:SHS_OUT_TY","PE=&amp;window=popup&amp;width=535&amp;height=425&amp;START_MAXIMIZED=FALSE&amp;Y=120"}</definedName>
    <definedName name="_187__FDSAUDITLINK__" hidden="1">{"fdsup://directions/FAT Viewer?action=UPDATE&amp;creator=factSet&amp;DYN_ARGS=true&amp;DOC_NAME=FAT:RGA_ENTRPR_VAL_MV_SOURCE_WINDOW.FAT&amp;VAR:ID1=BBBY&amp;VAR:SDATE=20020621&amp;VAR:FDATE=20020228&amp;VAR:FREQ=DAILY&amp;VAR:RELITEM=&amp;VAR:CURRENCY=&amp;VAR:DB_TYPE=&amp;VAR:UNITS=M&amp;VAR:SHS_OUT_TY","PE=&amp;window=popup&amp;width=535&amp;height=425&amp;START_MAXIMIZED=FALSE&amp;Y=120"}</definedName>
    <definedName name="_188__FDSAUDITLINK__" localSheetId="5" hidden="1">{"fdsup://directions/FAT Viewer?action=UPDATE&amp;creator=factSet&amp;DYN_ARGS=true&amp;DOC_NAME=FAT:RGA_ENTRPR_VAL_MV_SOURCE_WINDOW.FAT&amp;VAR:ID1=BBBY&amp;VAR:SDATE=20020628&amp;VAR:FDATE=20020228&amp;VAR:FREQ=DAILY&amp;VAR:RELITEM=&amp;VAR:CURRENCY=&amp;VAR:DB_TYPE=&amp;VAR:UNITS=M&amp;VAR:SHS_OUT_TY","PE=&amp;window=popup&amp;width=535&amp;height=425&amp;START_MAXIMIZED=FALSE&amp;Y=120"}</definedName>
    <definedName name="_188__FDSAUDITLINK__" hidden="1">{"fdsup://directions/FAT Viewer?action=UPDATE&amp;creator=factSet&amp;DYN_ARGS=true&amp;DOC_NAME=FAT:RGA_ENTRPR_VAL_MV_SOURCE_WINDOW.FAT&amp;VAR:ID1=BBBY&amp;VAR:SDATE=20020628&amp;VAR:FDATE=20020228&amp;VAR:FREQ=DAILY&amp;VAR:RELITEM=&amp;VAR:CURRENCY=&amp;VAR:DB_TYPE=&amp;VAR:UNITS=M&amp;VAR:SHS_OUT_TY","PE=&amp;window=popup&amp;width=535&amp;height=425&amp;START_MAXIMIZED=FALSE&amp;Y=120"}</definedName>
    <definedName name="_189__FDSAUDITLINK__" localSheetId="5" hidden="1">{"fdsup://directions/FAT Viewer?action=UPDATE&amp;creator=factSet&amp;DYN_ARGS=true&amp;DOC_NAME=FAT:RGA_ENTRPR_VAL_MV_SOURCE_WINDOW.FAT&amp;VAR:ID1=BBBY&amp;VAR:SDATE=20020705&amp;VAR:FDATE=20020228&amp;VAR:FREQ=DAILY&amp;VAR:RELITEM=&amp;VAR:CURRENCY=&amp;VAR:DB_TYPE=&amp;VAR:UNITS=M&amp;VAR:SHS_OUT_TY","PE=&amp;window=popup&amp;width=535&amp;height=425&amp;START_MAXIMIZED=FALSE&amp;Y=120"}</definedName>
    <definedName name="_189__FDSAUDITLINK__" hidden="1">{"fdsup://directions/FAT Viewer?action=UPDATE&amp;creator=factSet&amp;DYN_ARGS=true&amp;DOC_NAME=FAT:RGA_ENTRPR_VAL_MV_SOURCE_WINDOW.FAT&amp;VAR:ID1=BBBY&amp;VAR:SDATE=20020705&amp;VAR:FDATE=20020228&amp;VAR:FREQ=DAILY&amp;VAR:RELITEM=&amp;VAR:CURRENCY=&amp;VAR:DB_TYPE=&amp;VAR:UNITS=M&amp;VAR:SHS_OUT_TY","PE=&amp;window=popup&amp;width=535&amp;height=425&amp;START_MAXIMIZED=FALSE&amp;Y=120"}</definedName>
    <definedName name="_19__FDSAUDITLINK__" localSheetId="5" hidden="1">{"fdsup://directions/FAT Viewer?action=UPDATE&amp;creator=factSet&amp;DYN_ARGS=true&amp;DOC_NAME=FAT:RGA_ENTRPR_VAL_MV_SOURCE_WINDOW.FAT&amp;VAR:ID1=BBBY&amp;VAR:SDATE=19990401&amp;VAR:FDATE=19990226&amp;VAR:FREQ=DAILY&amp;VAR:RELITEM=&amp;VAR:CURRENCY=&amp;VAR:DB_TYPE=&amp;VAR:UNITS=M&amp;VAR:SHS_OUT_TY","PE=&amp;window=popup&amp;width=535&amp;height=425&amp;START_MAXIMIZED=FALSE&amp;Y=120"}</definedName>
    <definedName name="_19__FDSAUDITLINK__" hidden="1">{"fdsup://directions/FAT Viewer?action=UPDATE&amp;creator=factSet&amp;DYN_ARGS=true&amp;DOC_NAME=FAT:RGA_ENTRPR_VAL_MV_SOURCE_WINDOW.FAT&amp;VAR:ID1=BBBY&amp;VAR:SDATE=19990401&amp;VAR:FDATE=19990226&amp;VAR:FREQ=DAILY&amp;VAR:RELITEM=&amp;VAR:CURRENCY=&amp;VAR:DB_TYPE=&amp;VAR:UNITS=M&amp;VAR:SHS_OUT_TY","PE=&amp;window=popup&amp;width=535&amp;height=425&amp;START_MAXIMIZED=FALSE&amp;Y=120"}</definedName>
    <definedName name="_190__FDSAUDITLINK__" localSheetId="5" hidden="1">{"fdsup://directions/FAT Viewer?action=UPDATE&amp;creator=factSet&amp;DYN_ARGS=true&amp;DOC_NAME=FAT:RGA_ENTRPR_VAL_MV_SOURCE_WINDOW.FAT&amp;VAR:ID1=BBBY&amp;VAR:SDATE=20020712&amp;VAR:FDATE=20020228&amp;VAR:FREQ=DAILY&amp;VAR:RELITEM=&amp;VAR:CURRENCY=&amp;VAR:DB_TYPE=&amp;VAR:UNITS=M&amp;VAR:SHS_OUT_TY","PE=&amp;window=popup&amp;width=535&amp;height=425&amp;START_MAXIMIZED=FALSE&amp;Y=120"}</definedName>
    <definedName name="_190__FDSAUDITLINK__" hidden="1">{"fdsup://directions/FAT Viewer?action=UPDATE&amp;creator=factSet&amp;DYN_ARGS=true&amp;DOC_NAME=FAT:RGA_ENTRPR_VAL_MV_SOURCE_WINDOW.FAT&amp;VAR:ID1=BBBY&amp;VAR:SDATE=20020712&amp;VAR:FDATE=20020228&amp;VAR:FREQ=DAILY&amp;VAR:RELITEM=&amp;VAR:CURRENCY=&amp;VAR:DB_TYPE=&amp;VAR:UNITS=M&amp;VAR:SHS_OUT_TY","PE=&amp;window=popup&amp;width=535&amp;height=425&amp;START_MAXIMIZED=FALSE&amp;Y=120"}</definedName>
    <definedName name="_191__FDSAUDITLINK__" localSheetId="5" hidden="1">{"fdsup://directions/FAT Viewer?action=UPDATE&amp;creator=factSet&amp;DYN_ARGS=true&amp;DOC_NAME=FAT:RGA_ENTRPR_VAL_MV_SOURCE_WINDOW.FAT&amp;VAR:ID1=BBBY&amp;VAR:SDATE=20020719&amp;VAR:FDATE=20020228&amp;VAR:FREQ=DAILY&amp;VAR:RELITEM=&amp;VAR:CURRENCY=&amp;VAR:DB_TYPE=&amp;VAR:UNITS=M&amp;VAR:SHS_OUT_TY","PE=&amp;window=popup&amp;width=535&amp;height=425&amp;START_MAXIMIZED=FALSE&amp;Y=120"}</definedName>
    <definedName name="_191__FDSAUDITLINK__" hidden="1">{"fdsup://directions/FAT Viewer?action=UPDATE&amp;creator=factSet&amp;DYN_ARGS=true&amp;DOC_NAME=FAT:RGA_ENTRPR_VAL_MV_SOURCE_WINDOW.FAT&amp;VAR:ID1=BBBY&amp;VAR:SDATE=20020719&amp;VAR:FDATE=20020228&amp;VAR:FREQ=DAILY&amp;VAR:RELITEM=&amp;VAR:CURRENCY=&amp;VAR:DB_TYPE=&amp;VAR:UNITS=M&amp;VAR:SHS_OUT_TY","PE=&amp;window=popup&amp;width=535&amp;height=425&amp;START_MAXIMIZED=FALSE&amp;Y=120"}</definedName>
    <definedName name="_192__FDSAUDITLINK__" localSheetId="5" hidden="1">{"fdsup://directions/FAT Viewer?action=UPDATE&amp;creator=factSet&amp;DYN_ARGS=true&amp;DOC_NAME=FAT:RGA_ENTRPR_VAL_MV_SOURCE_WINDOW.FAT&amp;VAR:ID1=BBBY&amp;VAR:SDATE=20020726&amp;VAR:FDATE=20020228&amp;VAR:FREQ=DAILY&amp;VAR:RELITEM=&amp;VAR:CURRENCY=&amp;VAR:DB_TYPE=&amp;VAR:UNITS=M&amp;VAR:SHS_OUT_TY","PE=&amp;window=popup&amp;width=535&amp;height=425&amp;START_MAXIMIZED=FALSE&amp;Y=120"}</definedName>
    <definedName name="_192__FDSAUDITLINK__" hidden="1">{"fdsup://directions/FAT Viewer?action=UPDATE&amp;creator=factSet&amp;DYN_ARGS=true&amp;DOC_NAME=FAT:RGA_ENTRPR_VAL_MV_SOURCE_WINDOW.FAT&amp;VAR:ID1=BBBY&amp;VAR:SDATE=20020726&amp;VAR:FDATE=20020228&amp;VAR:FREQ=DAILY&amp;VAR:RELITEM=&amp;VAR:CURRENCY=&amp;VAR:DB_TYPE=&amp;VAR:UNITS=M&amp;VAR:SHS_OUT_TY","PE=&amp;window=popup&amp;width=535&amp;height=425&amp;START_MAXIMIZED=FALSE&amp;Y=120"}</definedName>
    <definedName name="_193__FDSAUDITLINK__" localSheetId="5" hidden="1">{"fdsup://directions/FAT Viewer?action=UPDATE&amp;creator=factSet&amp;DYN_ARGS=true&amp;DOC_NAME=FAT:RGA_ENTRPR_VAL_MV_SOURCE_WINDOW.FAT&amp;VAR:ID1=BBBY&amp;VAR:SDATE=20020802&amp;VAR:FDATE=20020228&amp;VAR:FREQ=DAILY&amp;VAR:RELITEM=&amp;VAR:CURRENCY=&amp;VAR:DB_TYPE=&amp;VAR:UNITS=M&amp;VAR:SHS_OUT_TY","PE=&amp;window=popup&amp;width=535&amp;height=425&amp;START_MAXIMIZED=FALSE&amp;Y=120"}</definedName>
    <definedName name="_193__FDSAUDITLINK__" hidden="1">{"fdsup://directions/FAT Viewer?action=UPDATE&amp;creator=factSet&amp;DYN_ARGS=true&amp;DOC_NAME=FAT:RGA_ENTRPR_VAL_MV_SOURCE_WINDOW.FAT&amp;VAR:ID1=BBBY&amp;VAR:SDATE=20020802&amp;VAR:FDATE=20020228&amp;VAR:FREQ=DAILY&amp;VAR:RELITEM=&amp;VAR:CURRENCY=&amp;VAR:DB_TYPE=&amp;VAR:UNITS=M&amp;VAR:SHS_OUT_TY","PE=&amp;window=popup&amp;width=535&amp;height=425&amp;START_MAXIMIZED=FALSE&amp;Y=120"}</definedName>
    <definedName name="_194__FDSAUDITLINK__" localSheetId="5" hidden="1">{"fdsup://directions/FAT Viewer?action=UPDATE&amp;creator=factSet&amp;DYN_ARGS=true&amp;DOC_NAME=FAT:RGA_ENTRPR_VAL_MV_SOURCE_WINDOW.FAT&amp;VAR:ID1=BBBY&amp;VAR:SDATE=20020809&amp;VAR:FDATE=20020228&amp;VAR:FREQ=DAILY&amp;VAR:RELITEM=&amp;VAR:CURRENCY=&amp;VAR:DB_TYPE=&amp;VAR:UNITS=M&amp;VAR:SHS_OUT_TY","PE=&amp;window=popup&amp;width=535&amp;height=425&amp;START_MAXIMIZED=FALSE&amp;Y=120"}</definedName>
    <definedName name="_194__FDSAUDITLINK__" hidden="1">{"fdsup://directions/FAT Viewer?action=UPDATE&amp;creator=factSet&amp;DYN_ARGS=true&amp;DOC_NAME=FAT:RGA_ENTRPR_VAL_MV_SOURCE_WINDOW.FAT&amp;VAR:ID1=BBBY&amp;VAR:SDATE=20020809&amp;VAR:FDATE=20020228&amp;VAR:FREQ=DAILY&amp;VAR:RELITEM=&amp;VAR:CURRENCY=&amp;VAR:DB_TYPE=&amp;VAR:UNITS=M&amp;VAR:SHS_OUT_TY","PE=&amp;window=popup&amp;width=535&amp;height=425&amp;START_MAXIMIZED=FALSE&amp;Y=120"}</definedName>
    <definedName name="_195__FDSAUDITLINK__" localSheetId="5" hidden="1">{"fdsup://directions/FAT Viewer?action=UPDATE&amp;creator=factSet&amp;DYN_ARGS=true&amp;DOC_NAME=FAT:RGA_ENTRPR_VAL_MV_SOURCE_WINDOW.FAT&amp;VAR:ID1=BBBY&amp;VAR:SDATE=20020816&amp;VAR:FDATE=20020228&amp;VAR:FREQ=DAILY&amp;VAR:RELITEM=&amp;VAR:CURRENCY=&amp;VAR:DB_TYPE=&amp;VAR:UNITS=M&amp;VAR:SHS_OUT_TY","PE=&amp;window=popup&amp;width=535&amp;height=425&amp;START_MAXIMIZED=FALSE&amp;Y=120"}</definedName>
    <definedName name="_195__FDSAUDITLINK__" hidden="1">{"fdsup://directions/FAT Viewer?action=UPDATE&amp;creator=factSet&amp;DYN_ARGS=true&amp;DOC_NAME=FAT:RGA_ENTRPR_VAL_MV_SOURCE_WINDOW.FAT&amp;VAR:ID1=BBBY&amp;VAR:SDATE=20020816&amp;VAR:FDATE=20020228&amp;VAR:FREQ=DAILY&amp;VAR:RELITEM=&amp;VAR:CURRENCY=&amp;VAR:DB_TYPE=&amp;VAR:UNITS=M&amp;VAR:SHS_OUT_TY","PE=&amp;window=popup&amp;width=535&amp;height=425&amp;START_MAXIMIZED=FALSE&amp;Y=120"}</definedName>
    <definedName name="_196__FDSAUDITLINK__" localSheetId="5" hidden="1">{"fdsup://directions/FAT Viewer?action=UPDATE&amp;creator=factSet&amp;DYN_ARGS=true&amp;DOC_NAME=FAT:RGA_ENTRPR_VAL_MV_SOURCE_WINDOW.FAT&amp;VAR:ID1=BBBY&amp;VAR:SDATE=20020823&amp;VAR:FDATE=20020228&amp;VAR:FREQ=DAILY&amp;VAR:RELITEM=&amp;VAR:CURRENCY=&amp;VAR:DB_TYPE=&amp;VAR:UNITS=M&amp;VAR:SHS_OUT_TY","PE=&amp;window=popup&amp;width=535&amp;height=425&amp;START_MAXIMIZED=FALSE&amp;Y=120"}</definedName>
    <definedName name="_196__FDSAUDITLINK__" hidden="1">{"fdsup://directions/FAT Viewer?action=UPDATE&amp;creator=factSet&amp;DYN_ARGS=true&amp;DOC_NAME=FAT:RGA_ENTRPR_VAL_MV_SOURCE_WINDOW.FAT&amp;VAR:ID1=BBBY&amp;VAR:SDATE=20020823&amp;VAR:FDATE=20020228&amp;VAR:FREQ=DAILY&amp;VAR:RELITEM=&amp;VAR:CURRENCY=&amp;VAR:DB_TYPE=&amp;VAR:UNITS=M&amp;VAR:SHS_OUT_TY","PE=&amp;window=popup&amp;width=535&amp;height=425&amp;START_MAXIMIZED=FALSE&amp;Y=120"}</definedName>
    <definedName name="_197__FDSAUDITLINK__" localSheetId="5" hidden="1">{"fdsup://directions/FAT Viewer?action=UPDATE&amp;creator=factSet&amp;DYN_ARGS=true&amp;DOC_NAME=FAT:RGA_ENTRPR_VAL_MV_SOURCE_WINDOW.FAT&amp;VAR:ID1=BBBY&amp;VAR:SDATE=20020830&amp;VAR:FDATE=20020228&amp;VAR:FREQ=DAILY&amp;VAR:RELITEM=&amp;VAR:CURRENCY=&amp;VAR:DB_TYPE=&amp;VAR:UNITS=M&amp;VAR:SHS_OUT_TY","PE=&amp;window=popup&amp;width=535&amp;height=425&amp;START_MAXIMIZED=FALSE&amp;Y=120"}</definedName>
    <definedName name="_197__FDSAUDITLINK__" hidden="1">{"fdsup://directions/FAT Viewer?action=UPDATE&amp;creator=factSet&amp;DYN_ARGS=true&amp;DOC_NAME=FAT:RGA_ENTRPR_VAL_MV_SOURCE_WINDOW.FAT&amp;VAR:ID1=BBBY&amp;VAR:SDATE=20020830&amp;VAR:FDATE=20020228&amp;VAR:FREQ=DAILY&amp;VAR:RELITEM=&amp;VAR:CURRENCY=&amp;VAR:DB_TYPE=&amp;VAR:UNITS=M&amp;VAR:SHS_OUT_TY","PE=&amp;window=popup&amp;width=535&amp;height=425&amp;START_MAXIMIZED=FALSE&amp;Y=120"}</definedName>
    <definedName name="_198__FDSAUDITLINK__" localSheetId="5" hidden="1">{"fdsup://directions/FAT Viewer?action=UPDATE&amp;creator=factSet&amp;DYN_ARGS=true&amp;DOC_NAME=FAT:RGA_ENTRPR_VAL_MV_SOURCE_WINDOW.FAT&amp;VAR:ID1=BBBY&amp;VAR:SDATE=20020906&amp;VAR:FDATE=20020228&amp;VAR:FREQ=DAILY&amp;VAR:RELITEM=&amp;VAR:CURRENCY=&amp;VAR:DB_TYPE=&amp;VAR:UNITS=M&amp;VAR:SHS_OUT_TY","PE=&amp;window=popup&amp;width=535&amp;height=425&amp;START_MAXIMIZED=FALSE&amp;Y=120"}</definedName>
    <definedName name="_198__FDSAUDITLINK__" hidden="1">{"fdsup://directions/FAT Viewer?action=UPDATE&amp;creator=factSet&amp;DYN_ARGS=true&amp;DOC_NAME=FAT:RGA_ENTRPR_VAL_MV_SOURCE_WINDOW.FAT&amp;VAR:ID1=BBBY&amp;VAR:SDATE=20020906&amp;VAR:FDATE=20020228&amp;VAR:FREQ=DAILY&amp;VAR:RELITEM=&amp;VAR:CURRENCY=&amp;VAR:DB_TYPE=&amp;VAR:UNITS=M&amp;VAR:SHS_OUT_TY","PE=&amp;window=popup&amp;width=535&amp;height=425&amp;START_MAXIMIZED=FALSE&amp;Y=120"}</definedName>
    <definedName name="_199__FDSAUDITLINK__" localSheetId="5" hidden="1">{"fdsup://directions/FAT Viewer?action=UPDATE&amp;creator=factSet&amp;DYN_ARGS=true&amp;DOC_NAME=FAT:RGA_ENTRPR_VAL_MV_SOURCE_WINDOW.FAT&amp;VAR:ID1=BBBY&amp;VAR:SDATE=20020913&amp;VAR:FDATE=20020228&amp;VAR:FREQ=DAILY&amp;VAR:RELITEM=&amp;VAR:CURRENCY=&amp;VAR:DB_TYPE=&amp;VAR:UNITS=M&amp;VAR:SHS_OUT_TY","PE=&amp;window=popup&amp;width=535&amp;height=425&amp;START_MAXIMIZED=FALSE&amp;Y=120"}</definedName>
    <definedName name="_199__FDSAUDITLINK__" hidden="1">{"fdsup://directions/FAT Viewer?action=UPDATE&amp;creator=factSet&amp;DYN_ARGS=true&amp;DOC_NAME=FAT:RGA_ENTRPR_VAL_MV_SOURCE_WINDOW.FAT&amp;VAR:ID1=BBBY&amp;VAR:SDATE=20020913&amp;VAR:FDATE=20020228&amp;VAR:FREQ=DAILY&amp;VAR:RELITEM=&amp;VAR:CURRENCY=&amp;VAR:DB_TYPE=&amp;VAR:UNITS=M&amp;VAR:SHS_OUT_TY","PE=&amp;window=popup&amp;width=535&amp;height=425&amp;START_MAXIMIZED=FALSE&amp;Y=120"}</definedName>
    <definedName name="_2__FDSAUDITLINK__" localSheetId="5" hidden="1">{"fdsup://directions/FAT Viewer?action=UPDATE&amp;creator=factSet&amp;DYN_ARGS=true&amp;DOC_NAME=FAT:RGA_ENTRPR_VAL_MV_SOURCE_WINDOW.FAT&amp;VAR:ID1=BBBY&amp;VAR:SDATE=20081202&amp;VAR:FDATE=20080229&amp;VAR:FREQ=DAILY&amp;VAR:RELITEM=&amp;VAR:CURRENCY=&amp;VAR:DB_TYPE=&amp;VAR:UNITS=NOAUDIT&amp;VAR:SHS_","OUT_TYPE=&amp;window=popup&amp;width=535&amp;height=425&amp;START_MAXIMIZED=FALSE&amp;Y=120"}</definedName>
    <definedName name="_2__FDSAUDITLINK__" hidden="1">{"fdsup://directions/FAT Viewer?action=UPDATE&amp;creator=factSet&amp;DYN_ARGS=true&amp;DOC_NAME=FAT:RGA_ENTRPR_VAL_MV_SOURCE_WINDOW.FAT&amp;VAR:ID1=BBBY&amp;VAR:SDATE=20081202&amp;VAR:FDATE=20080229&amp;VAR:FREQ=DAILY&amp;VAR:RELITEM=&amp;VAR:CURRENCY=&amp;VAR:DB_TYPE=&amp;VAR:UNITS=NOAUDIT&amp;VAR:SHS_","OUT_TYPE=&amp;window=popup&amp;width=535&amp;height=425&amp;START_MAXIMIZED=FALSE&amp;Y=120"}</definedName>
    <definedName name="_20__FDSAUDITLINK__" localSheetId="5" hidden="1">{"fdsup://directions/FAT Viewer?action=UPDATE&amp;creator=factSet&amp;DYN_ARGS=true&amp;DOC_NAME=FAT:RGA_ENTRPR_VAL_MV_SOURCE_WINDOW.FAT&amp;VAR:ID1=BBBY&amp;VAR:SDATE=19990409&amp;VAR:FDATE=19990226&amp;VAR:FREQ=DAILY&amp;VAR:RELITEM=&amp;VAR:CURRENCY=&amp;VAR:DB_TYPE=&amp;VAR:UNITS=M&amp;VAR:SHS_OUT_TY","PE=&amp;window=popup&amp;width=535&amp;height=425&amp;START_MAXIMIZED=FALSE&amp;Y=120"}</definedName>
    <definedName name="_20__FDSAUDITLINK__" hidden="1">{"fdsup://directions/FAT Viewer?action=UPDATE&amp;creator=factSet&amp;DYN_ARGS=true&amp;DOC_NAME=FAT:RGA_ENTRPR_VAL_MV_SOURCE_WINDOW.FAT&amp;VAR:ID1=BBBY&amp;VAR:SDATE=19990409&amp;VAR:FDATE=19990226&amp;VAR:FREQ=DAILY&amp;VAR:RELITEM=&amp;VAR:CURRENCY=&amp;VAR:DB_TYPE=&amp;VAR:UNITS=M&amp;VAR:SHS_OUT_TY","PE=&amp;window=popup&amp;width=535&amp;height=425&amp;START_MAXIMIZED=FALSE&amp;Y=120"}</definedName>
    <definedName name="_200__FDSAUDITLINK__" localSheetId="5" hidden="1">{"fdsup://directions/FAT Viewer?action=UPDATE&amp;creator=factSet&amp;DYN_ARGS=true&amp;DOC_NAME=FAT:RGA_ENTRPR_VAL_MV_SOURCE_WINDOW.FAT&amp;VAR:ID1=BBBY&amp;VAR:SDATE=20020920&amp;VAR:FDATE=20020228&amp;VAR:FREQ=DAILY&amp;VAR:RELITEM=&amp;VAR:CURRENCY=&amp;VAR:DB_TYPE=&amp;VAR:UNITS=M&amp;VAR:SHS_OUT_TY","PE=&amp;window=popup&amp;width=535&amp;height=425&amp;START_MAXIMIZED=FALSE&amp;Y=120"}</definedName>
    <definedName name="_200__FDSAUDITLINK__" hidden="1">{"fdsup://directions/FAT Viewer?action=UPDATE&amp;creator=factSet&amp;DYN_ARGS=true&amp;DOC_NAME=FAT:RGA_ENTRPR_VAL_MV_SOURCE_WINDOW.FAT&amp;VAR:ID1=BBBY&amp;VAR:SDATE=20020920&amp;VAR:FDATE=20020228&amp;VAR:FREQ=DAILY&amp;VAR:RELITEM=&amp;VAR:CURRENCY=&amp;VAR:DB_TYPE=&amp;VAR:UNITS=M&amp;VAR:SHS_OUT_TY","PE=&amp;window=popup&amp;width=535&amp;height=425&amp;START_MAXIMIZED=FALSE&amp;Y=120"}</definedName>
    <definedName name="_201__FDSAUDITLINK__" localSheetId="5" hidden="1">{"fdsup://directions/FAT Viewer?action=UPDATE&amp;creator=factSet&amp;DYN_ARGS=true&amp;DOC_NAME=FAT:RGA_ENTRPR_VAL_MV_SOURCE_WINDOW.FAT&amp;VAR:ID1=BBBY&amp;VAR:SDATE=20020927&amp;VAR:FDATE=20020228&amp;VAR:FREQ=DAILY&amp;VAR:RELITEM=&amp;VAR:CURRENCY=&amp;VAR:DB_TYPE=&amp;VAR:UNITS=M&amp;VAR:SHS_OUT_TY","PE=&amp;window=popup&amp;width=535&amp;height=425&amp;START_MAXIMIZED=FALSE&amp;Y=120"}</definedName>
    <definedName name="_201__FDSAUDITLINK__" hidden="1">{"fdsup://directions/FAT Viewer?action=UPDATE&amp;creator=factSet&amp;DYN_ARGS=true&amp;DOC_NAME=FAT:RGA_ENTRPR_VAL_MV_SOURCE_WINDOW.FAT&amp;VAR:ID1=BBBY&amp;VAR:SDATE=20020927&amp;VAR:FDATE=20020228&amp;VAR:FREQ=DAILY&amp;VAR:RELITEM=&amp;VAR:CURRENCY=&amp;VAR:DB_TYPE=&amp;VAR:UNITS=M&amp;VAR:SHS_OUT_TY","PE=&amp;window=popup&amp;width=535&amp;height=425&amp;START_MAXIMIZED=FALSE&amp;Y=120"}</definedName>
    <definedName name="_202__FDSAUDITLINK__" localSheetId="5" hidden="1">{"fdsup://directions/FAT Viewer?action=UPDATE&amp;creator=factSet&amp;DYN_ARGS=true&amp;DOC_NAME=FAT:RGA_ENTRPR_VAL_MV_SOURCE_WINDOW.FAT&amp;VAR:ID1=BBBY&amp;VAR:SDATE=20021004&amp;VAR:FDATE=20020228&amp;VAR:FREQ=DAILY&amp;VAR:RELITEM=&amp;VAR:CURRENCY=&amp;VAR:DB_TYPE=&amp;VAR:UNITS=M&amp;VAR:SHS_OUT_TY","PE=&amp;window=popup&amp;width=535&amp;height=425&amp;START_MAXIMIZED=FALSE&amp;Y=120"}</definedName>
    <definedName name="_202__FDSAUDITLINK__" hidden="1">{"fdsup://directions/FAT Viewer?action=UPDATE&amp;creator=factSet&amp;DYN_ARGS=true&amp;DOC_NAME=FAT:RGA_ENTRPR_VAL_MV_SOURCE_WINDOW.FAT&amp;VAR:ID1=BBBY&amp;VAR:SDATE=20021004&amp;VAR:FDATE=20020228&amp;VAR:FREQ=DAILY&amp;VAR:RELITEM=&amp;VAR:CURRENCY=&amp;VAR:DB_TYPE=&amp;VAR:UNITS=M&amp;VAR:SHS_OUT_TY","PE=&amp;window=popup&amp;width=535&amp;height=425&amp;START_MAXIMIZED=FALSE&amp;Y=120"}</definedName>
    <definedName name="_203__FDSAUDITLINK__" localSheetId="5" hidden="1">{"fdsup://directions/FAT Viewer?action=UPDATE&amp;creator=factSet&amp;DYN_ARGS=true&amp;DOC_NAME=FAT:RGA_ENTRPR_VAL_MV_SOURCE_WINDOW.FAT&amp;VAR:ID1=BBBY&amp;VAR:SDATE=20021011&amp;VAR:FDATE=20020228&amp;VAR:FREQ=DAILY&amp;VAR:RELITEM=&amp;VAR:CURRENCY=&amp;VAR:DB_TYPE=&amp;VAR:UNITS=M&amp;VAR:SHS_OUT_TY","PE=&amp;window=popup&amp;width=535&amp;height=425&amp;START_MAXIMIZED=FALSE&amp;Y=120"}</definedName>
    <definedName name="_203__FDSAUDITLINK__" hidden="1">{"fdsup://directions/FAT Viewer?action=UPDATE&amp;creator=factSet&amp;DYN_ARGS=true&amp;DOC_NAME=FAT:RGA_ENTRPR_VAL_MV_SOURCE_WINDOW.FAT&amp;VAR:ID1=BBBY&amp;VAR:SDATE=20021011&amp;VAR:FDATE=20020228&amp;VAR:FREQ=DAILY&amp;VAR:RELITEM=&amp;VAR:CURRENCY=&amp;VAR:DB_TYPE=&amp;VAR:UNITS=M&amp;VAR:SHS_OUT_TY","PE=&amp;window=popup&amp;width=535&amp;height=425&amp;START_MAXIMIZED=FALSE&amp;Y=120"}</definedName>
    <definedName name="_204__FDSAUDITLINK__" localSheetId="5" hidden="1">{"fdsup://directions/FAT Viewer?action=UPDATE&amp;creator=factSet&amp;DYN_ARGS=true&amp;DOC_NAME=FAT:RGA_ENTRPR_VAL_MV_SOURCE_WINDOW.FAT&amp;VAR:ID1=BBBY&amp;VAR:SDATE=20021018&amp;VAR:FDATE=20020228&amp;VAR:FREQ=DAILY&amp;VAR:RELITEM=&amp;VAR:CURRENCY=&amp;VAR:DB_TYPE=&amp;VAR:UNITS=M&amp;VAR:SHS_OUT_TY","PE=&amp;window=popup&amp;width=535&amp;height=425&amp;START_MAXIMIZED=FALSE&amp;Y=120"}</definedName>
    <definedName name="_204__FDSAUDITLINK__" hidden="1">{"fdsup://directions/FAT Viewer?action=UPDATE&amp;creator=factSet&amp;DYN_ARGS=true&amp;DOC_NAME=FAT:RGA_ENTRPR_VAL_MV_SOURCE_WINDOW.FAT&amp;VAR:ID1=BBBY&amp;VAR:SDATE=20021018&amp;VAR:FDATE=20020228&amp;VAR:FREQ=DAILY&amp;VAR:RELITEM=&amp;VAR:CURRENCY=&amp;VAR:DB_TYPE=&amp;VAR:UNITS=M&amp;VAR:SHS_OUT_TY","PE=&amp;window=popup&amp;width=535&amp;height=425&amp;START_MAXIMIZED=FALSE&amp;Y=120"}</definedName>
    <definedName name="_205__FDSAUDITLINK__" localSheetId="5" hidden="1">{"fdsup://directions/FAT Viewer?action=UPDATE&amp;creator=factSet&amp;DYN_ARGS=true&amp;DOC_NAME=FAT:RGA_ENTRPR_VAL_MV_SOURCE_WINDOW.FAT&amp;VAR:ID1=BBBY&amp;VAR:SDATE=20021025&amp;VAR:FDATE=20020228&amp;VAR:FREQ=DAILY&amp;VAR:RELITEM=&amp;VAR:CURRENCY=&amp;VAR:DB_TYPE=&amp;VAR:UNITS=M&amp;VAR:SHS_OUT_TY","PE=&amp;window=popup&amp;width=535&amp;height=425&amp;START_MAXIMIZED=FALSE&amp;Y=120"}</definedName>
    <definedName name="_205__FDSAUDITLINK__" hidden="1">{"fdsup://directions/FAT Viewer?action=UPDATE&amp;creator=factSet&amp;DYN_ARGS=true&amp;DOC_NAME=FAT:RGA_ENTRPR_VAL_MV_SOURCE_WINDOW.FAT&amp;VAR:ID1=BBBY&amp;VAR:SDATE=20021025&amp;VAR:FDATE=20020228&amp;VAR:FREQ=DAILY&amp;VAR:RELITEM=&amp;VAR:CURRENCY=&amp;VAR:DB_TYPE=&amp;VAR:UNITS=M&amp;VAR:SHS_OUT_TY","PE=&amp;window=popup&amp;width=535&amp;height=425&amp;START_MAXIMIZED=FALSE&amp;Y=120"}</definedName>
    <definedName name="_206__FDSAUDITLINK__" localSheetId="5" hidden="1">{"fdsup://directions/FAT Viewer?action=UPDATE&amp;creator=factSet&amp;DYN_ARGS=true&amp;DOC_NAME=FAT:RGA_ENTRPR_VAL_MV_SOURCE_WINDOW.FAT&amp;VAR:ID1=BBBY&amp;VAR:SDATE=20021101&amp;VAR:FDATE=20020228&amp;VAR:FREQ=DAILY&amp;VAR:RELITEM=&amp;VAR:CURRENCY=&amp;VAR:DB_TYPE=&amp;VAR:UNITS=M&amp;VAR:SHS_OUT_TY","PE=&amp;window=popup&amp;width=535&amp;height=425&amp;START_MAXIMIZED=FALSE&amp;Y=120"}</definedName>
    <definedName name="_206__FDSAUDITLINK__" hidden="1">{"fdsup://directions/FAT Viewer?action=UPDATE&amp;creator=factSet&amp;DYN_ARGS=true&amp;DOC_NAME=FAT:RGA_ENTRPR_VAL_MV_SOURCE_WINDOW.FAT&amp;VAR:ID1=BBBY&amp;VAR:SDATE=20021101&amp;VAR:FDATE=20020228&amp;VAR:FREQ=DAILY&amp;VAR:RELITEM=&amp;VAR:CURRENCY=&amp;VAR:DB_TYPE=&amp;VAR:UNITS=M&amp;VAR:SHS_OUT_TY","PE=&amp;window=popup&amp;width=535&amp;height=425&amp;START_MAXIMIZED=FALSE&amp;Y=120"}</definedName>
    <definedName name="_207__FDSAUDITLINK__" localSheetId="5" hidden="1">{"fdsup://directions/FAT Viewer?action=UPDATE&amp;creator=factSet&amp;DYN_ARGS=true&amp;DOC_NAME=FAT:RGA_ENTRPR_VAL_MV_SOURCE_WINDOW.FAT&amp;VAR:ID1=BBBY&amp;VAR:SDATE=20021108&amp;VAR:FDATE=20020228&amp;VAR:FREQ=DAILY&amp;VAR:RELITEM=&amp;VAR:CURRENCY=&amp;VAR:DB_TYPE=&amp;VAR:UNITS=M&amp;VAR:SHS_OUT_TY","PE=&amp;window=popup&amp;width=535&amp;height=425&amp;START_MAXIMIZED=FALSE&amp;Y=120"}</definedName>
    <definedName name="_207__FDSAUDITLINK__" hidden="1">{"fdsup://directions/FAT Viewer?action=UPDATE&amp;creator=factSet&amp;DYN_ARGS=true&amp;DOC_NAME=FAT:RGA_ENTRPR_VAL_MV_SOURCE_WINDOW.FAT&amp;VAR:ID1=BBBY&amp;VAR:SDATE=20021108&amp;VAR:FDATE=20020228&amp;VAR:FREQ=DAILY&amp;VAR:RELITEM=&amp;VAR:CURRENCY=&amp;VAR:DB_TYPE=&amp;VAR:UNITS=M&amp;VAR:SHS_OUT_TY","PE=&amp;window=popup&amp;width=535&amp;height=425&amp;START_MAXIMIZED=FALSE&amp;Y=120"}</definedName>
    <definedName name="_208__FDSAUDITLINK__" localSheetId="5" hidden="1">{"fdsup://directions/FAT Viewer?action=UPDATE&amp;creator=factSet&amp;DYN_ARGS=true&amp;DOC_NAME=FAT:RGA_ENTRPR_VAL_MV_SOURCE_WINDOW.FAT&amp;VAR:ID1=BBBY&amp;VAR:SDATE=20021115&amp;VAR:FDATE=20020228&amp;VAR:FREQ=DAILY&amp;VAR:RELITEM=&amp;VAR:CURRENCY=&amp;VAR:DB_TYPE=&amp;VAR:UNITS=M&amp;VAR:SHS_OUT_TY","PE=&amp;window=popup&amp;width=535&amp;height=425&amp;START_MAXIMIZED=FALSE&amp;Y=120"}</definedName>
    <definedName name="_208__FDSAUDITLINK__" hidden="1">{"fdsup://directions/FAT Viewer?action=UPDATE&amp;creator=factSet&amp;DYN_ARGS=true&amp;DOC_NAME=FAT:RGA_ENTRPR_VAL_MV_SOURCE_WINDOW.FAT&amp;VAR:ID1=BBBY&amp;VAR:SDATE=20021115&amp;VAR:FDATE=20020228&amp;VAR:FREQ=DAILY&amp;VAR:RELITEM=&amp;VAR:CURRENCY=&amp;VAR:DB_TYPE=&amp;VAR:UNITS=M&amp;VAR:SHS_OUT_TY","PE=&amp;window=popup&amp;width=535&amp;height=425&amp;START_MAXIMIZED=FALSE&amp;Y=120"}</definedName>
    <definedName name="_209__FDSAUDITLINK__" localSheetId="5" hidden="1">{"fdsup://directions/FAT Viewer?action=UPDATE&amp;creator=factSet&amp;DYN_ARGS=true&amp;DOC_NAME=FAT:RGA_ENTRPR_VAL_MV_SOURCE_WINDOW.FAT&amp;VAR:ID1=BBBY&amp;VAR:SDATE=20021122&amp;VAR:FDATE=20020228&amp;VAR:FREQ=DAILY&amp;VAR:RELITEM=&amp;VAR:CURRENCY=&amp;VAR:DB_TYPE=&amp;VAR:UNITS=M&amp;VAR:SHS_OUT_TY","PE=&amp;window=popup&amp;width=535&amp;height=425&amp;START_MAXIMIZED=FALSE&amp;Y=120"}</definedName>
    <definedName name="_209__FDSAUDITLINK__" hidden="1">{"fdsup://directions/FAT Viewer?action=UPDATE&amp;creator=factSet&amp;DYN_ARGS=true&amp;DOC_NAME=FAT:RGA_ENTRPR_VAL_MV_SOURCE_WINDOW.FAT&amp;VAR:ID1=BBBY&amp;VAR:SDATE=20021122&amp;VAR:FDATE=20020228&amp;VAR:FREQ=DAILY&amp;VAR:RELITEM=&amp;VAR:CURRENCY=&amp;VAR:DB_TYPE=&amp;VAR:UNITS=M&amp;VAR:SHS_OUT_TY","PE=&amp;window=popup&amp;width=535&amp;height=425&amp;START_MAXIMIZED=FALSE&amp;Y=120"}</definedName>
    <definedName name="_21__FDSAUDITLINK__" localSheetId="5" hidden="1">{"fdsup://directions/FAT Viewer?action=UPDATE&amp;creator=factSet&amp;DYN_ARGS=true&amp;DOC_NAME=FAT:RGA_ENTRPR_VAL_MV_SOURCE_WINDOW.FAT&amp;VAR:ID1=BBBY&amp;VAR:SDATE=19990416&amp;VAR:FDATE=19990226&amp;VAR:FREQ=DAILY&amp;VAR:RELITEM=&amp;VAR:CURRENCY=&amp;VAR:DB_TYPE=&amp;VAR:UNITS=M&amp;VAR:SHS_OUT_TY","PE=&amp;window=popup&amp;width=535&amp;height=425&amp;START_MAXIMIZED=FALSE&amp;Y=120"}</definedName>
    <definedName name="_21__FDSAUDITLINK__" hidden="1">{"fdsup://directions/FAT Viewer?action=UPDATE&amp;creator=factSet&amp;DYN_ARGS=true&amp;DOC_NAME=FAT:RGA_ENTRPR_VAL_MV_SOURCE_WINDOW.FAT&amp;VAR:ID1=BBBY&amp;VAR:SDATE=19990416&amp;VAR:FDATE=19990226&amp;VAR:FREQ=DAILY&amp;VAR:RELITEM=&amp;VAR:CURRENCY=&amp;VAR:DB_TYPE=&amp;VAR:UNITS=M&amp;VAR:SHS_OUT_TY","PE=&amp;window=popup&amp;width=535&amp;height=425&amp;START_MAXIMIZED=FALSE&amp;Y=120"}</definedName>
    <definedName name="_210__FDSAUDITLINK__" localSheetId="5" hidden="1">{"fdsup://directions/FAT Viewer?action=UPDATE&amp;creator=factSet&amp;DYN_ARGS=true&amp;DOC_NAME=FAT:RGA_ENTRPR_VAL_MV_SOURCE_WINDOW.FAT&amp;VAR:ID1=BBBY&amp;VAR:SDATE=20021129&amp;VAR:FDATE=20020228&amp;VAR:FREQ=DAILY&amp;VAR:RELITEM=&amp;VAR:CURRENCY=&amp;VAR:DB_TYPE=&amp;VAR:UNITS=M&amp;VAR:SHS_OUT_TY","PE=&amp;window=popup&amp;width=535&amp;height=425&amp;START_MAXIMIZED=FALSE&amp;Y=120"}</definedName>
    <definedName name="_210__FDSAUDITLINK__" hidden="1">{"fdsup://directions/FAT Viewer?action=UPDATE&amp;creator=factSet&amp;DYN_ARGS=true&amp;DOC_NAME=FAT:RGA_ENTRPR_VAL_MV_SOURCE_WINDOW.FAT&amp;VAR:ID1=BBBY&amp;VAR:SDATE=20021129&amp;VAR:FDATE=20020228&amp;VAR:FREQ=DAILY&amp;VAR:RELITEM=&amp;VAR:CURRENCY=&amp;VAR:DB_TYPE=&amp;VAR:UNITS=M&amp;VAR:SHS_OUT_TY","PE=&amp;window=popup&amp;width=535&amp;height=425&amp;START_MAXIMIZED=FALSE&amp;Y=120"}</definedName>
    <definedName name="_211__FDSAUDITLINK__" localSheetId="5" hidden="1">{"fdsup://directions/FAT Viewer?action=UPDATE&amp;creator=factSet&amp;DYN_ARGS=true&amp;DOC_NAME=FAT:RGA_ENTRPR_VAL_MV_SOURCE_WINDOW.FAT&amp;VAR:ID1=BBBY&amp;VAR:SDATE=20021206&amp;VAR:FDATE=20020228&amp;VAR:FREQ=DAILY&amp;VAR:RELITEM=&amp;VAR:CURRENCY=&amp;VAR:DB_TYPE=&amp;VAR:UNITS=M&amp;VAR:SHS_OUT_TY","PE=&amp;window=popup&amp;width=535&amp;height=425&amp;START_MAXIMIZED=FALSE&amp;Y=120"}</definedName>
    <definedName name="_211__FDSAUDITLINK__" hidden="1">{"fdsup://directions/FAT Viewer?action=UPDATE&amp;creator=factSet&amp;DYN_ARGS=true&amp;DOC_NAME=FAT:RGA_ENTRPR_VAL_MV_SOURCE_WINDOW.FAT&amp;VAR:ID1=BBBY&amp;VAR:SDATE=20021206&amp;VAR:FDATE=20020228&amp;VAR:FREQ=DAILY&amp;VAR:RELITEM=&amp;VAR:CURRENCY=&amp;VAR:DB_TYPE=&amp;VAR:UNITS=M&amp;VAR:SHS_OUT_TY","PE=&amp;window=popup&amp;width=535&amp;height=425&amp;START_MAXIMIZED=FALSE&amp;Y=120"}</definedName>
    <definedName name="_212__FDSAUDITLINK__" localSheetId="5" hidden="1">{"fdsup://directions/FAT Viewer?action=UPDATE&amp;creator=factSet&amp;DYN_ARGS=true&amp;DOC_NAME=FAT:RGA_ENTRPR_VAL_MV_SOURCE_WINDOW.FAT&amp;VAR:ID1=BBBY&amp;VAR:SDATE=20021213&amp;VAR:FDATE=20020228&amp;VAR:FREQ=DAILY&amp;VAR:RELITEM=&amp;VAR:CURRENCY=&amp;VAR:DB_TYPE=&amp;VAR:UNITS=M&amp;VAR:SHS_OUT_TY","PE=&amp;window=popup&amp;width=535&amp;height=425&amp;START_MAXIMIZED=FALSE&amp;Y=120"}</definedName>
    <definedName name="_212__FDSAUDITLINK__" hidden="1">{"fdsup://directions/FAT Viewer?action=UPDATE&amp;creator=factSet&amp;DYN_ARGS=true&amp;DOC_NAME=FAT:RGA_ENTRPR_VAL_MV_SOURCE_WINDOW.FAT&amp;VAR:ID1=BBBY&amp;VAR:SDATE=20021213&amp;VAR:FDATE=20020228&amp;VAR:FREQ=DAILY&amp;VAR:RELITEM=&amp;VAR:CURRENCY=&amp;VAR:DB_TYPE=&amp;VAR:UNITS=M&amp;VAR:SHS_OUT_TY","PE=&amp;window=popup&amp;width=535&amp;height=425&amp;START_MAXIMIZED=FALSE&amp;Y=120"}</definedName>
    <definedName name="_213__FDSAUDITLINK__" localSheetId="5" hidden="1">{"fdsup://directions/FAT Viewer?action=UPDATE&amp;creator=factSet&amp;DYN_ARGS=true&amp;DOC_NAME=FAT:RGA_ENTRPR_VAL_MV_SOURCE_WINDOW.FAT&amp;VAR:ID1=BBBY&amp;VAR:SDATE=20021220&amp;VAR:FDATE=20020228&amp;VAR:FREQ=DAILY&amp;VAR:RELITEM=&amp;VAR:CURRENCY=&amp;VAR:DB_TYPE=&amp;VAR:UNITS=M&amp;VAR:SHS_OUT_TY","PE=&amp;window=popup&amp;width=535&amp;height=425&amp;START_MAXIMIZED=FALSE&amp;Y=120"}</definedName>
    <definedName name="_213__FDSAUDITLINK__" hidden="1">{"fdsup://directions/FAT Viewer?action=UPDATE&amp;creator=factSet&amp;DYN_ARGS=true&amp;DOC_NAME=FAT:RGA_ENTRPR_VAL_MV_SOURCE_WINDOW.FAT&amp;VAR:ID1=BBBY&amp;VAR:SDATE=20021220&amp;VAR:FDATE=20020228&amp;VAR:FREQ=DAILY&amp;VAR:RELITEM=&amp;VAR:CURRENCY=&amp;VAR:DB_TYPE=&amp;VAR:UNITS=M&amp;VAR:SHS_OUT_TY","PE=&amp;window=popup&amp;width=535&amp;height=425&amp;START_MAXIMIZED=FALSE&amp;Y=120"}</definedName>
    <definedName name="_214__FDSAUDITLINK__" localSheetId="5" hidden="1">{"fdsup://directions/FAT Viewer?action=UPDATE&amp;creator=factSet&amp;DYN_ARGS=true&amp;DOC_NAME=FAT:RGA_ENTRPR_VAL_MV_SOURCE_WINDOW.FAT&amp;VAR:ID1=BBBY&amp;VAR:SDATE=20021227&amp;VAR:FDATE=20020228&amp;VAR:FREQ=DAILY&amp;VAR:RELITEM=&amp;VAR:CURRENCY=&amp;VAR:DB_TYPE=&amp;VAR:UNITS=M&amp;VAR:SHS_OUT_TY","PE=&amp;window=popup&amp;width=535&amp;height=425&amp;START_MAXIMIZED=FALSE&amp;Y=120"}</definedName>
    <definedName name="_214__FDSAUDITLINK__" hidden="1">{"fdsup://directions/FAT Viewer?action=UPDATE&amp;creator=factSet&amp;DYN_ARGS=true&amp;DOC_NAME=FAT:RGA_ENTRPR_VAL_MV_SOURCE_WINDOW.FAT&amp;VAR:ID1=BBBY&amp;VAR:SDATE=20021227&amp;VAR:FDATE=20020228&amp;VAR:FREQ=DAILY&amp;VAR:RELITEM=&amp;VAR:CURRENCY=&amp;VAR:DB_TYPE=&amp;VAR:UNITS=M&amp;VAR:SHS_OUT_TY","PE=&amp;window=popup&amp;width=535&amp;height=425&amp;START_MAXIMIZED=FALSE&amp;Y=120"}</definedName>
    <definedName name="_215__FDSAUDITLINK__" localSheetId="5" hidden="1">{"fdsup://directions/FAT Viewer?action=UPDATE&amp;creator=factSet&amp;DYN_ARGS=true&amp;DOC_NAME=FAT:RGA_ENTRPR_VAL_MV_SOURCE_WINDOW.FAT&amp;VAR:ID1=BBBY&amp;VAR:SDATE=20030103&amp;VAR:FDATE=20020228&amp;VAR:FREQ=DAILY&amp;VAR:RELITEM=&amp;VAR:CURRENCY=&amp;VAR:DB_TYPE=&amp;VAR:UNITS=M&amp;VAR:SHS_OUT_TY","PE=&amp;window=popup&amp;width=535&amp;height=425&amp;START_MAXIMIZED=FALSE&amp;Y=120"}</definedName>
    <definedName name="_215__FDSAUDITLINK__" hidden="1">{"fdsup://directions/FAT Viewer?action=UPDATE&amp;creator=factSet&amp;DYN_ARGS=true&amp;DOC_NAME=FAT:RGA_ENTRPR_VAL_MV_SOURCE_WINDOW.FAT&amp;VAR:ID1=BBBY&amp;VAR:SDATE=20030103&amp;VAR:FDATE=20020228&amp;VAR:FREQ=DAILY&amp;VAR:RELITEM=&amp;VAR:CURRENCY=&amp;VAR:DB_TYPE=&amp;VAR:UNITS=M&amp;VAR:SHS_OUT_TY","PE=&amp;window=popup&amp;width=535&amp;height=425&amp;START_MAXIMIZED=FALSE&amp;Y=120"}</definedName>
    <definedName name="_216__FDSAUDITLINK__" localSheetId="5" hidden="1">{"fdsup://directions/FAT Viewer?action=UPDATE&amp;creator=factSet&amp;DYN_ARGS=true&amp;DOC_NAME=FAT:RGA_ENTRPR_VAL_MV_SOURCE_WINDOW.FAT&amp;VAR:ID1=BBBY&amp;VAR:SDATE=20030110&amp;VAR:FDATE=20020228&amp;VAR:FREQ=DAILY&amp;VAR:RELITEM=&amp;VAR:CURRENCY=&amp;VAR:DB_TYPE=&amp;VAR:UNITS=M&amp;VAR:SHS_OUT_TY","PE=&amp;window=popup&amp;width=535&amp;height=425&amp;START_MAXIMIZED=FALSE&amp;Y=120"}</definedName>
    <definedName name="_216__FDSAUDITLINK__" hidden="1">{"fdsup://directions/FAT Viewer?action=UPDATE&amp;creator=factSet&amp;DYN_ARGS=true&amp;DOC_NAME=FAT:RGA_ENTRPR_VAL_MV_SOURCE_WINDOW.FAT&amp;VAR:ID1=BBBY&amp;VAR:SDATE=20030110&amp;VAR:FDATE=20020228&amp;VAR:FREQ=DAILY&amp;VAR:RELITEM=&amp;VAR:CURRENCY=&amp;VAR:DB_TYPE=&amp;VAR:UNITS=M&amp;VAR:SHS_OUT_TY","PE=&amp;window=popup&amp;width=535&amp;height=425&amp;START_MAXIMIZED=FALSE&amp;Y=120"}</definedName>
    <definedName name="_217__FDSAUDITLINK__" localSheetId="5" hidden="1">{"fdsup://directions/FAT Viewer?action=UPDATE&amp;creator=factSet&amp;DYN_ARGS=true&amp;DOC_NAME=FAT:RGA_ENTRPR_VAL_MV_SOURCE_WINDOW.FAT&amp;VAR:ID1=BBBY&amp;VAR:SDATE=20030117&amp;VAR:FDATE=20020228&amp;VAR:FREQ=DAILY&amp;VAR:RELITEM=&amp;VAR:CURRENCY=&amp;VAR:DB_TYPE=&amp;VAR:UNITS=M&amp;VAR:SHS_OUT_TY","PE=&amp;window=popup&amp;width=535&amp;height=425&amp;START_MAXIMIZED=FALSE&amp;Y=120"}</definedName>
    <definedName name="_217__FDSAUDITLINK__" hidden="1">{"fdsup://directions/FAT Viewer?action=UPDATE&amp;creator=factSet&amp;DYN_ARGS=true&amp;DOC_NAME=FAT:RGA_ENTRPR_VAL_MV_SOURCE_WINDOW.FAT&amp;VAR:ID1=BBBY&amp;VAR:SDATE=20030117&amp;VAR:FDATE=20020228&amp;VAR:FREQ=DAILY&amp;VAR:RELITEM=&amp;VAR:CURRENCY=&amp;VAR:DB_TYPE=&amp;VAR:UNITS=M&amp;VAR:SHS_OUT_TY","PE=&amp;window=popup&amp;width=535&amp;height=425&amp;START_MAXIMIZED=FALSE&amp;Y=120"}</definedName>
    <definedName name="_218__FDSAUDITLINK__" localSheetId="5" hidden="1">{"fdsup://directions/FAT Viewer?action=UPDATE&amp;creator=factSet&amp;DYN_ARGS=true&amp;DOC_NAME=FAT:RGA_ENTRPR_VAL_MV_SOURCE_WINDOW.FAT&amp;VAR:ID1=BBBY&amp;VAR:SDATE=20030124&amp;VAR:FDATE=20020228&amp;VAR:FREQ=DAILY&amp;VAR:RELITEM=&amp;VAR:CURRENCY=&amp;VAR:DB_TYPE=&amp;VAR:UNITS=M&amp;VAR:SHS_OUT_TY","PE=&amp;window=popup&amp;width=535&amp;height=425&amp;START_MAXIMIZED=FALSE&amp;Y=120"}</definedName>
    <definedName name="_218__FDSAUDITLINK__" hidden="1">{"fdsup://directions/FAT Viewer?action=UPDATE&amp;creator=factSet&amp;DYN_ARGS=true&amp;DOC_NAME=FAT:RGA_ENTRPR_VAL_MV_SOURCE_WINDOW.FAT&amp;VAR:ID1=BBBY&amp;VAR:SDATE=20030124&amp;VAR:FDATE=20020228&amp;VAR:FREQ=DAILY&amp;VAR:RELITEM=&amp;VAR:CURRENCY=&amp;VAR:DB_TYPE=&amp;VAR:UNITS=M&amp;VAR:SHS_OUT_TY","PE=&amp;window=popup&amp;width=535&amp;height=425&amp;START_MAXIMIZED=FALSE&amp;Y=120"}</definedName>
    <definedName name="_219__FDSAUDITLINK__" localSheetId="5" hidden="1">{"fdsup://directions/FAT Viewer?action=UPDATE&amp;creator=factSet&amp;DYN_ARGS=true&amp;DOC_NAME=FAT:RGA_ENTRPR_VAL_MV_SOURCE_WINDOW.FAT&amp;VAR:ID1=BBBY&amp;VAR:SDATE=20030131&amp;VAR:FDATE=20020228&amp;VAR:FREQ=DAILY&amp;VAR:RELITEM=&amp;VAR:CURRENCY=&amp;VAR:DB_TYPE=&amp;VAR:UNITS=M&amp;VAR:SHS_OUT_TY","PE=&amp;window=popup&amp;width=535&amp;height=425&amp;START_MAXIMIZED=FALSE&amp;Y=120"}</definedName>
    <definedName name="_219__FDSAUDITLINK__" hidden="1">{"fdsup://directions/FAT Viewer?action=UPDATE&amp;creator=factSet&amp;DYN_ARGS=true&amp;DOC_NAME=FAT:RGA_ENTRPR_VAL_MV_SOURCE_WINDOW.FAT&amp;VAR:ID1=BBBY&amp;VAR:SDATE=20030131&amp;VAR:FDATE=20020228&amp;VAR:FREQ=DAILY&amp;VAR:RELITEM=&amp;VAR:CURRENCY=&amp;VAR:DB_TYPE=&amp;VAR:UNITS=M&amp;VAR:SHS_OUT_TY","PE=&amp;window=popup&amp;width=535&amp;height=425&amp;START_MAXIMIZED=FALSE&amp;Y=120"}</definedName>
    <definedName name="_22__FDSAUDITLINK__" localSheetId="5" hidden="1">{"fdsup://directions/FAT Viewer?action=UPDATE&amp;creator=factSet&amp;DYN_ARGS=true&amp;DOC_NAME=FAT:RGA_ENTRPR_VAL_MV_SOURCE_WINDOW.FAT&amp;VAR:ID1=BBBY&amp;VAR:SDATE=19990423&amp;VAR:FDATE=19990226&amp;VAR:FREQ=DAILY&amp;VAR:RELITEM=&amp;VAR:CURRENCY=&amp;VAR:DB_TYPE=&amp;VAR:UNITS=M&amp;VAR:SHS_OUT_TY","PE=&amp;window=popup&amp;width=535&amp;height=425&amp;START_MAXIMIZED=FALSE&amp;Y=120"}</definedName>
    <definedName name="_22__FDSAUDITLINK__" hidden="1">{"fdsup://directions/FAT Viewer?action=UPDATE&amp;creator=factSet&amp;DYN_ARGS=true&amp;DOC_NAME=FAT:RGA_ENTRPR_VAL_MV_SOURCE_WINDOW.FAT&amp;VAR:ID1=BBBY&amp;VAR:SDATE=19990423&amp;VAR:FDATE=19990226&amp;VAR:FREQ=DAILY&amp;VAR:RELITEM=&amp;VAR:CURRENCY=&amp;VAR:DB_TYPE=&amp;VAR:UNITS=M&amp;VAR:SHS_OUT_TY","PE=&amp;window=popup&amp;width=535&amp;height=425&amp;START_MAXIMIZED=FALSE&amp;Y=120"}</definedName>
    <definedName name="_220__FDSAUDITLINK__" localSheetId="5" hidden="1">{"fdsup://directions/FAT Viewer?action=UPDATE&amp;creator=factSet&amp;DYN_ARGS=true&amp;DOC_NAME=FAT:RGA_ENTRPR_VAL_MV_SOURCE_WINDOW.FAT&amp;VAR:ID1=BBBY&amp;VAR:SDATE=20030207&amp;VAR:FDATE=20020228&amp;VAR:FREQ=DAILY&amp;VAR:RELITEM=&amp;VAR:CURRENCY=&amp;VAR:DB_TYPE=&amp;VAR:UNITS=M&amp;VAR:SHS_OUT_TY","PE=&amp;window=popup&amp;width=535&amp;height=425&amp;START_MAXIMIZED=FALSE&amp;Y=120"}</definedName>
    <definedName name="_220__FDSAUDITLINK__" hidden="1">{"fdsup://directions/FAT Viewer?action=UPDATE&amp;creator=factSet&amp;DYN_ARGS=true&amp;DOC_NAME=FAT:RGA_ENTRPR_VAL_MV_SOURCE_WINDOW.FAT&amp;VAR:ID1=BBBY&amp;VAR:SDATE=20030207&amp;VAR:FDATE=20020228&amp;VAR:FREQ=DAILY&amp;VAR:RELITEM=&amp;VAR:CURRENCY=&amp;VAR:DB_TYPE=&amp;VAR:UNITS=M&amp;VAR:SHS_OUT_TY","PE=&amp;window=popup&amp;width=535&amp;height=425&amp;START_MAXIMIZED=FALSE&amp;Y=120"}</definedName>
    <definedName name="_221__FDSAUDITLINK__" localSheetId="5" hidden="1">{"fdsup://directions/FAT Viewer?action=UPDATE&amp;creator=factSet&amp;DYN_ARGS=true&amp;DOC_NAME=FAT:RGA_ENTRPR_VAL_MV_SOURCE_WINDOW.FAT&amp;VAR:ID1=BBBY&amp;VAR:SDATE=20030214&amp;VAR:FDATE=20020228&amp;VAR:FREQ=DAILY&amp;VAR:RELITEM=&amp;VAR:CURRENCY=&amp;VAR:DB_TYPE=&amp;VAR:UNITS=M&amp;VAR:SHS_OUT_TY","PE=&amp;window=popup&amp;width=535&amp;height=425&amp;START_MAXIMIZED=FALSE&amp;Y=120"}</definedName>
    <definedName name="_221__FDSAUDITLINK__" hidden="1">{"fdsup://directions/FAT Viewer?action=UPDATE&amp;creator=factSet&amp;DYN_ARGS=true&amp;DOC_NAME=FAT:RGA_ENTRPR_VAL_MV_SOURCE_WINDOW.FAT&amp;VAR:ID1=BBBY&amp;VAR:SDATE=20030214&amp;VAR:FDATE=20020228&amp;VAR:FREQ=DAILY&amp;VAR:RELITEM=&amp;VAR:CURRENCY=&amp;VAR:DB_TYPE=&amp;VAR:UNITS=M&amp;VAR:SHS_OUT_TY","PE=&amp;window=popup&amp;width=535&amp;height=425&amp;START_MAXIMIZED=FALSE&amp;Y=120"}</definedName>
    <definedName name="_222__FDSAUDITLINK__" localSheetId="5" hidden="1">{"fdsup://directions/FAT Viewer?action=UPDATE&amp;creator=factSet&amp;DYN_ARGS=true&amp;DOC_NAME=FAT:RGA_ENTRPR_VAL_MV_SOURCE_WINDOW.FAT&amp;VAR:ID1=BBBY&amp;VAR:SDATE=20030221&amp;VAR:FDATE=20020228&amp;VAR:FREQ=DAILY&amp;VAR:RELITEM=&amp;VAR:CURRENCY=&amp;VAR:DB_TYPE=&amp;VAR:UNITS=M&amp;VAR:SHS_OUT_TY","PE=&amp;window=popup&amp;width=535&amp;height=425&amp;START_MAXIMIZED=FALSE&amp;Y=120"}</definedName>
    <definedName name="_222__FDSAUDITLINK__" hidden="1">{"fdsup://directions/FAT Viewer?action=UPDATE&amp;creator=factSet&amp;DYN_ARGS=true&amp;DOC_NAME=FAT:RGA_ENTRPR_VAL_MV_SOURCE_WINDOW.FAT&amp;VAR:ID1=BBBY&amp;VAR:SDATE=20030221&amp;VAR:FDATE=20020228&amp;VAR:FREQ=DAILY&amp;VAR:RELITEM=&amp;VAR:CURRENCY=&amp;VAR:DB_TYPE=&amp;VAR:UNITS=M&amp;VAR:SHS_OUT_TY","PE=&amp;window=popup&amp;width=535&amp;height=425&amp;START_MAXIMIZED=FALSE&amp;Y=120"}</definedName>
    <definedName name="_223__FDSAUDITLINK__" localSheetId="5" hidden="1">{"fdsup://directions/FAT Viewer?action=UPDATE&amp;creator=factSet&amp;DYN_ARGS=true&amp;DOC_NAME=FAT:RGA_ENTRPR_VAL_MV_SOURCE_WINDOW.FAT&amp;VAR:ID1=BBBY&amp;VAR:SDATE=20030228&amp;VAR:FDATE=20030228&amp;VAR:FREQ=DAILY&amp;VAR:RELITEM=&amp;VAR:CURRENCY=&amp;VAR:DB_TYPE=&amp;VAR:UNITS=M&amp;VAR:SHS_OUT_TY","PE=&amp;window=popup&amp;width=535&amp;height=425&amp;START_MAXIMIZED=FALSE&amp;Y=120"}</definedName>
    <definedName name="_223__FDSAUDITLINK__" hidden="1">{"fdsup://directions/FAT Viewer?action=UPDATE&amp;creator=factSet&amp;DYN_ARGS=true&amp;DOC_NAME=FAT:RGA_ENTRPR_VAL_MV_SOURCE_WINDOW.FAT&amp;VAR:ID1=BBBY&amp;VAR:SDATE=20030228&amp;VAR:FDATE=20030228&amp;VAR:FREQ=DAILY&amp;VAR:RELITEM=&amp;VAR:CURRENCY=&amp;VAR:DB_TYPE=&amp;VAR:UNITS=M&amp;VAR:SHS_OUT_TY","PE=&amp;window=popup&amp;width=535&amp;height=425&amp;START_MAXIMIZED=FALSE&amp;Y=120"}</definedName>
    <definedName name="_224__FDSAUDITLINK__" localSheetId="5" hidden="1">{"fdsup://directions/FAT Viewer?action=UPDATE&amp;creator=factSet&amp;DYN_ARGS=true&amp;DOC_NAME=FAT:RGA_ENTRPR_VAL_MV_SOURCE_WINDOW.FAT&amp;VAR:ID1=BBBY&amp;VAR:SDATE=20030307&amp;VAR:FDATE=20030228&amp;VAR:FREQ=DAILY&amp;VAR:RELITEM=&amp;VAR:CURRENCY=&amp;VAR:DB_TYPE=&amp;VAR:UNITS=M&amp;VAR:SHS_OUT_TY","PE=&amp;window=popup&amp;width=535&amp;height=425&amp;START_MAXIMIZED=FALSE&amp;Y=120"}</definedName>
    <definedName name="_224__FDSAUDITLINK__" hidden="1">{"fdsup://directions/FAT Viewer?action=UPDATE&amp;creator=factSet&amp;DYN_ARGS=true&amp;DOC_NAME=FAT:RGA_ENTRPR_VAL_MV_SOURCE_WINDOW.FAT&amp;VAR:ID1=BBBY&amp;VAR:SDATE=20030307&amp;VAR:FDATE=20030228&amp;VAR:FREQ=DAILY&amp;VAR:RELITEM=&amp;VAR:CURRENCY=&amp;VAR:DB_TYPE=&amp;VAR:UNITS=M&amp;VAR:SHS_OUT_TY","PE=&amp;window=popup&amp;width=535&amp;height=425&amp;START_MAXIMIZED=FALSE&amp;Y=120"}</definedName>
    <definedName name="_225__FDSAUDITLINK__" localSheetId="5" hidden="1">{"fdsup://directions/FAT Viewer?action=UPDATE&amp;creator=factSet&amp;DYN_ARGS=true&amp;DOC_NAME=FAT:RGA_ENTRPR_VAL_MV_SOURCE_WINDOW.FAT&amp;VAR:ID1=BBBY&amp;VAR:SDATE=20030314&amp;VAR:FDATE=20030228&amp;VAR:FREQ=DAILY&amp;VAR:RELITEM=&amp;VAR:CURRENCY=&amp;VAR:DB_TYPE=&amp;VAR:UNITS=M&amp;VAR:SHS_OUT_TY","PE=&amp;window=popup&amp;width=535&amp;height=425&amp;START_MAXIMIZED=FALSE&amp;Y=120"}</definedName>
    <definedName name="_225__FDSAUDITLINK__" hidden="1">{"fdsup://directions/FAT Viewer?action=UPDATE&amp;creator=factSet&amp;DYN_ARGS=true&amp;DOC_NAME=FAT:RGA_ENTRPR_VAL_MV_SOURCE_WINDOW.FAT&amp;VAR:ID1=BBBY&amp;VAR:SDATE=20030314&amp;VAR:FDATE=20030228&amp;VAR:FREQ=DAILY&amp;VAR:RELITEM=&amp;VAR:CURRENCY=&amp;VAR:DB_TYPE=&amp;VAR:UNITS=M&amp;VAR:SHS_OUT_TY","PE=&amp;window=popup&amp;width=535&amp;height=425&amp;START_MAXIMIZED=FALSE&amp;Y=120"}</definedName>
    <definedName name="_226__FDSAUDITLINK__" localSheetId="5" hidden="1">{"fdsup://directions/FAT Viewer?action=UPDATE&amp;creator=factSet&amp;DYN_ARGS=true&amp;DOC_NAME=FAT:RGA_ENTRPR_VAL_MV_SOURCE_WINDOW.FAT&amp;VAR:ID1=BBBY&amp;VAR:SDATE=20030321&amp;VAR:FDATE=20030228&amp;VAR:FREQ=DAILY&amp;VAR:RELITEM=&amp;VAR:CURRENCY=&amp;VAR:DB_TYPE=&amp;VAR:UNITS=M&amp;VAR:SHS_OUT_TY","PE=&amp;window=popup&amp;width=535&amp;height=425&amp;START_MAXIMIZED=FALSE&amp;Y=120"}</definedName>
    <definedName name="_226__FDSAUDITLINK__" hidden="1">{"fdsup://directions/FAT Viewer?action=UPDATE&amp;creator=factSet&amp;DYN_ARGS=true&amp;DOC_NAME=FAT:RGA_ENTRPR_VAL_MV_SOURCE_WINDOW.FAT&amp;VAR:ID1=BBBY&amp;VAR:SDATE=20030321&amp;VAR:FDATE=20030228&amp;VAR:FREQ=DAILY&amp;VAR:RELITEM=&amp;VAR:CURRENCY=&amp;VAR:DB_TYPE=&amp;VAR:UNITS=M&amp;VAR:SHS_OUT_TY","PE=&amp;window=popup&amp;width=535&amp;height=425&amp;START_MAXIMIZED=FALSE&amp;Y=120"}</definedName>
    <definedName name="_227__FDSAUDITLINK__" localSheetId="5" hidden="1">{"fdsup://directions/FAT Viewer?action=UPDATE&amp;creator=factSet&amp;DYN_ARGS=true&amp;DOC_NAME=FAT:RGA_ENTRPR_VAL_MV_SOURCE_WINDOW.FAT&amp;VAR:ID1=BBBY&amp;VAR:SDATE=20030328&amp;VAR:FDATE=20030228&amp;VAR:FREQ=DAILY&amp;VAR:RELITEM=&amp;VAR:CURRENCY=&amp;VAR:DB_TYPE=&amp;VAR:UNITS=M&amp;VAR:SHS_OUT_TY","PE=&amp;window=popup&amp;width=535&amp;height=425&amp;START_MAXIMIZED=FALSE&amp;Y=120"}</definedName>
    <definedName name="_227__FDSAUDITLINK__" hidden="1">{"fdsup://directions/FAT Viewer?action=UPDATE&amp;creator=factSet&amp;DYN_ARGS=true&amp;DOC_NAME=FAT:RGA_ENTRPR_VAL_MV_SOURCE_WINDOW.FAT&amp;VAR:ID1=BBBY&amp;VAR:SDATE=20030328&amp;VAR:FDATE=20030228&amp;VAR:FREQ=DAILY&amp;VAR:RELITEM=&amp;VAR:CURRENCY=&amp;VAR:DB_TYPE=&amp;VAR:UNITS=M&amp;VAR:SHS_OUT_TY","PE=&amp;window=popup&amp;width=535&amp;height=425&amp;START_MAXIMIZED=FALSE&amp;Y=120"}</definedName>
    <definedName name="_228__FDSAUDITLINK__" localSheetId="5" hidden="1">{"fdsup://directions/FAT Viewer?action=UPDATE&amp;creator=factSet&amp;DYN_ARGS=true&amp;DOC_NAME=FAT:RGA_ENTRPR_VAL_MV_SOURCE_WINDOW.FAT&amp;VAR:ID1=BBBY&amp;VAR:SDATE=20030404&amp;VAR:FDATE=20030228&amp;VAR:FREQ=DAILY&amp;VAR:RELITEM=&amp;VAR:CURRENCY=&amp;VAR:DB_TYPE=&amp;VAR:UNITS=M&amp;VAR:SHS_OUT_TY","PE=&amp;window=popup&amp;width=535&amp;height=425&amp;START_MAXIMIZED=FALSE&amp;Y=120"}</definedName>
    <definedName name="_228__FDSAUDITLINK__" hidden="1">{"fdsup://directions/FAT Viewer?action=UPDATE&amp;creator=factSet&amp;DYN_ARGS=true&amp;DOC_NAME=FAT:RGA_ENTRPR_VAL_MV_SOURCE_WINDOW.FAT&amp;VAR:ID1=BBBY&amp;VAR:SDATE=20030404&amp;VAR:FDATE=20030228&amp;VAR:FREQ=DAILY&amp;VAR:RELITEM=&amp;VAR:CURRENCY=&amp;VAR:DB_TYPE=&amp;VAR:UNITS=M&amp;VAR:SHS_OUT_TY","PE=&amp;window=popup&amp;width=535&amp;height=425&amp;START_MAXIMIZED=FALSE&amp;Y=120"}</definedName>
    <definedName name="_229__FDSAUDITLINK__" localSheetId="5" hidden="1">{"fdsup://directions/FAT Viewer?action=UPDATE&amp;creator=factSet&amp;DYN_ARGS=true&amp;DOC_NAME=FAT:RGA_ENTRPR_VAL_MV_SOURCE_WINDOW.FAT&amp;VAR:ID1=BBBY&amp;VAR:SDATE=20030411&amp;VAR:FDATE=20030228&amp;VAR:FREQ=DAILY&amp;VAR:RELITEM=&amp;VAR:CURRENCY=&amp;VAR:DB_TYPE=&amp;VAR:UNITS=M&amp;VAR:SHS_OUT_TY","PE=&amp;window=popup&amp;width=535&amp;height=425&amp;START_MAXIMIZED=FALSE&amp;Y=120"}</definedName>
    <definedName name="_229__FDSAUDITLINK__" hidden="1">{"fdsup://directions/FAT Viewer?action=UPDATE&amp;creator=factSet&amp;DYN_ARGS=true&amp;DOC_NAME=FAT:RGA_ENTRPR_VAL_MV_SOURCE_WINDOW.FAT&amp;VAR:ID1=BBBY&amp;VAR:SDATE=20030411&amp;VAR:FDATE=20030228&amp;VAR:FREQ=DAILY&amp;VAR:RELITEM=&amp;VAR:CURRENCY=&amp;VAR:DB_TYPE=&amp;VAR:UNITS=M&amp;VAR:SHS_OUT_TY","PE=&amp;window=popup&amp;width=535&amp;height=425&amp;START_MAXIMIZED=FALSE&amp;Y=120"}</definedName>
    <definedName name="_23__FDSAUDITLINK__" localSheetId="5" hidden="1">{"fdsup://directions/FAT Viewer?action=UPDATE&amp;creator=factSet&amp;DYN_ARGS=true&amp;DOC_NAME=FAT:RGA_ENTRPR_VAL_MV_SOURCE_WINDOW.FAT&amp;VAR:ID1=BBBY&amp;VAR:SDATE=19990430&amp;VAR:FDATE=19990226&amp;VAR:FREQ=DAILY&amp;VAR:RELITEM=&amp;VAR:CURRENCY=&amp;VAR:DB_TYPE=&amp;VAR:UNITS=M&amp;VAR:SHS_OUT_TY","PE=&amp;window=popup&amp;width=535&amp;height=425&amp;START_MAXIMIZED=FALSE&amp;Y=120"}</definedName>
    <definedName name="_23__FDSAUDITLINK__" hidden="1">{"fdsup://directions/FAT Viewer?action=UPDATE&amp;creator=factSet&amp;DYN_ARGS=true&amp;DOC_NAME=FAT:RGA_ENTRPR_VAL_MV_SOURCE_WINDOW.FAT&amp;VAR:ID1=BBBY&amp;VAR:SDATE=19990430&amp;VAR:FDATE=19990226&amp;VAR:FREQ=DAILY&amp;VAR:RELITEM=&amp;VAR:CURRENCY=&amp;VAR:DB_TYPE=&amp;VAR:UNITS=M&amp;VAR:SHS_OUT_TY","PE=&amp;window=popup&amp;width=535&amp;height=425&amp;START_MAXIMIZED=FALSE&amp;Y=120"}</definedName>
    <definedName name="_230__FDSAUDITLINK__" localSheetId="5" hidden="1">{"fdsup://directions/FAT Viewer?action=UPDATE&amp;creator=factSet&amp;DYN_ARGS=true&amp;DOC_NAME=FAT:RGA_ENTRPR_VAL_MV_SOURCE_WINDOW.FAT&amp;VAR:ID1=BBBY&amp;VAR:SDATE=20030417&amp;VAR:FDATE=20030228&amp;VAR:FREQ=DAILY&amp;VAR:RELITEM=&amp;VAR:CURRENCY=&amp;VAR:DB_TYPE=&amp;VAR:UNITS=M&amp;VAR:SHS_OUT_TY","PE=&amp;window=popup&amp;width=535&amp;height=425&amp;START_MAXIMIZED=FALSE&amp;Y=120"}</definedName>
    <definedName name="_230__FDSAUDITLINK__" hidden="1">{"fdsup://directions/FAT Viewer?action=UPDATE&amp;creator=factSet&amp;DYN_ARGS=true&amp;DOC_NAME=FAT:RGA_ENTRPR_VAL_MV_SOURCE_WINDOW.FAT&amp;VAR:ID1=BBBY&amp;VAR:SDATE=20030417&amp;VAR:FDATE=20030228&amp;VAR:FREQ=DAILY&amp;VAR:RELITEM=&amp;VAR:CURRENCY=&amp;VAR:DB_TYPE=&amp;VAR:UNITS=M&amp;VAR:SHS_OUT_TY","PE=&amp;window=popup&amp;width=535&amp;height=425&amp;START_MAXIMIZED=FALSE&amp;Y=120"}</definedName>
    <definedName name="_231__FDSAUDITLINK__" localSheetId="5" hidden="1">{"fdsup://directions/FAT Viewer?action=UPDATE&amp;creator=factSet&amp;DYN_ARGS=true&amp;DOC_NAME=FAT:RGA_ENTRPR_VAL_MV_SOURCE_WINDOW.FAT&amp;VAR:ID1=BBBY&amp;VAR:SDATE=20030425&amp;VAR:FDATE=20030228&amp;VAR:FREQ=DAILY&amp;VAR:RELITEM=&amp;VAR:CURRENCY=&amp;VAR:DB_TYPE=&amp;VAR:UNITS=M&amp;VAR:SHS_OUT_TY","PE=&amp;window=popup&amp;width=535&amp;height=425&amp;START_MAXIMIZED=FALSE&amp;Y=120"}</definedName>
    <definedName name="_231__FDSAUDITLINK__" hidden="1">{"fdsup://directions/FAT Viewer?action=UPDATE&amp;creator=factSet&amp;DYN_ARGS=true&amp;DOC_NAME=FAT:RGA_ENTRPR_VAL_MV_SOURCE_WINDOW.FAT&amp;VAR:ID1=BBBY&amp;VAR:SDATE=20030425&amp;VAR:FDATE=20030228&amp;VAR:FREQ=DAILY&amp;VAR:RELITEM=&amp;VAR:CURRENCY=&amp;VAR:DB_TYPE=&amp;VAR:UNITS=M&amp;VAR:SHS_OUT_TY","PE=&amp;window=popup&amp;width=535&amp;height=425&amp;START_MAXIMIZED=FALSE&amp;Y=120"}</definedName>
    <definedName name="_232__FDSAUDITLINK__" localSheetId="5" hidden="1">{"fdsup://directions/FAT Viewer?action=UPDATE&amp;creator=factSet&amp;DYN_ARGS=true&amp;DOC_NAME=FAT:RGA_ENTRPR_VAL_MV_SOURCE_WINDOW.FAT&amp;VAR:ID1=BBBY&amp;VAR:SDATE=20030502&amp;VAR:FDATE=20030228&amp;VAR:FREQ=DAILY&amp;VAR:RELITEM=&amp;VAR:CURRENCY=&amp;VAR:DB_TYPE=&amp;VAR:UNITS=M&amp;VAR:SHS_OUT_TY","PE=&amp;window=popup&amp;width=535&amp;height=425&amp;START_MAXIMIZED=FALSE&amp;Y=120"}</definedName>
    <definedName name="_232__FDSAUDITLINK__" hidden="1">{"fdsup://directions/FAT Viewer?action=UPDATE&amp;creator=factSet&amp;DYN_ARGS=true&amp;DOC_NAME=FAT:RGA_ENTRPR_VAL_MV_SOURCE_WINDOW.FAT&amp;VAR:ID1=BBBY&amp;VAR:SDATE=20030502&amp;VAR:FDATE=20030228&amp;VAR:FREQ=DAILY&amp;VAR:RELITEM=&amp;VAR:CURRENCY=&amp;VAR:DB_TYPE=&amp;VAR:UNITS=M&amp;VAR:SHS_OUT_TY","PE=&amp;window=popup&amp;width=535&amp;height=425&amp;START_MAXIMIZED=FALSE&amp;Y=120"}</definedName>
    <definedName name="_233__FDSAUDITLINK__" localSheetId="5" hidden="1">{"fdsup://directions/FAT Viewer?action=UPDATE&amp;creator=factSet&amp;DYN_ARGS=true&amp;DOC_NAME=FAT:RGA_ENTRPR_VAL_MV_SOURCE_WINDOW.FAT&amp;VAR:ID1=BBBY&amp;VAR:SDATE=20030509&amp;VAR:FDATE=20030228&amp;VAR:FREQ=DAILY&amp;VAR:RELITEM=&amp;VAR:CURRENCY=&amp;VAR:DB_TYPE=&amp;VAR:UNITS=M&amp;VAR:SHS_OUT_TY","PE=&amp;window=popup&amp;width=535&amp;height=425&amp;START_MAXIMIZED=FALSE&amp;Y=120"}</definedName>
    <definedName name="_233__FDSAUDITLINK__" hidden="1">{"fdsup://directions/FAT Viewer?action=UPDATE&amp;creator=factSet&amp;DYN_ARGS=true&amp;DOC_NAME=FAT:RGA_ENTRPR_VAL_MV_SOURCE_WINDOW.FAT&amp;VAR:ID1=BBBY&amp;VAR:SDATE=20030509&amp;VAR:FDATE=20030228&amp;VAR:FREQ=DAILY&amp;VAR:RELITEM=&amp;VAR:CURRENCY=&amp;VAR:DB_TYPE=&amp;VAR:UNITS=M&amp;VAR:SHS_OUT_TY","PE=&amp;window=popup&amp;width=535&amp;height=425&amp;START_MAXIMIZED=FALSE&amp;Y=120"}</definedName>
    <definedName name="_234__FDSAUDITLINK__" localSheetId="5" hidden="1">{"fdsup://directions/FAT Viewer?action=UPDATE&amp;creator=factSet&amp;DYN_ARGS=true&amp;DOC_NAME=FAT:RGA_ENTRPR_VAL_MV_SOURCE_WINDOW.FAT&amp;VAR:ID1=BBBY&amp;VAR:SDATE=20030516&amp;VAR:FDATE=20030228&amp;VAR:FREQ=DAILY&amp;VAR:RELITEM=&amp;VAR:CURRENCY=&amp;VAR:DB_TYPE=&amp;VAR:UNITS=M&amp;VAR:SHS_OUT_TY","PE=&amp;window=popup&amp;width=535&amp;height=425&amp;START_MAXIMIZED=FALSE&amp;Y=120"}</definedName>
    <definedName name="_234__FDSAUDITLINK__" hidden="1">{"fdsup://directions/FAT Viewer?action=UPDATE&amp;creator=factSet&amp;DYN_ARGS=true&amp;DOC_NAME=FAT:RGA_ENTRPR_VAL_MV_SOURCE_WINDOW.FAT&amp;VAR:ID1=BBBY&amp;VAR:SDATE=20030516&amp;VAR:FDATE=20030228&amp;VAR:FREQ=DAILY&amp;VAR:RELITEM=&amp;VAR:CURRENCY=&amp;VAR:DB_TYPE=&amp;VAR:UNITS=M&amp;VAR:SHS_OUT_TY","PE=&amp;window=popup&amp;width=535&amp;height=425&amp;START_MAXIMIZED=FALSE&amp;Y=120"}</definedName>
    <definedName name="_235__FDSAUDITLINK__" localSheetId="5" hidden="1">{"fdsup://directions/FAT Viewer?action=UPDATE&amp;creator=factSet&amp;DYN_ARGS=true&amp;DOC_NAME=FAT:RGA_ENTRPR_VAL_MV_SOURCE_WINDOW.FAT&amp;VAR:ID1=BBBY&amp;VAR:SDATE=20030523&amp;VAR:FDATE=20030228&amp;VAR:FREQ=DAILY&amp;VAR:RELITEM=&amp;VAR:CURRENCY=&amp;VAR:DB_TYPE=&amp;VAR:UNITS=M&amp;VAR:SHS_OUT_TY","PE=&amp;window=popup&amp;width=535&amp;height=425&amp;START_MAXIMIZED=FALSE&amp;Y=120"}</definedName>
    <definedName name="_235__FDSAUDITLINK__" hidden="1">{"fdsup://directions/FAT Viewer?action=UPDATE&amp;creator=factSet&amp;DYN_ARGS=true&amp;DOC_NAME=FAT:RGA_ENTRPR_VAL_MV_SOURCE_WINDOW.FAT&amp;VAR:ID1=BBBY&amp;VAR:SDATE=20030523&amp;VAR:FDATE=20030228&amp;VAR:FREQ=DAILY&amp;VAR:RELITEM=&amp;VAR:CURRENCY=&amp;VAR:DB_TYPE=&amp;VAR:UNITS=M&amp;VAR:SHS_OUT_TY","PE=&amp;window=popup&amp;width=535&amp;height=425&amp;START_MAXIMIZED=FALSE&amp;Y=120"}</definedName>
    <definedName name="_236__FDSAUDITLINK__" localSheetId="5" hidden="1">{"fdsup://directions/FAT Viewer?action=UPDATE&amp;creator=factSet&amp;DYN_ARGS=true&amp;DOC_NAME=FAT:RGA_ENTRPR_VAL_MV_SOURCE_WINDOW.FAT&amp;VAR:ID1=BBBY&amp;VAR:SDATE=20030530&amp;VAR:FDATE=20030228&amp;VAR:FREQ=DAILY&amp;VAR:RELITEM=&amp;VAR:CURRENCY=&amp;VAR:DB_TYPE=&amp;VAR:UNITS=M&amp;VAR:SHS_OUT_TY","PE=&amp;window=popup&amp;width=535&amp;height=425&amp;START_MAXIMIZED=FALSE&amp;Y=120"}</definedName>
    <definedName name="_236__FDSAUDITLINK__" hidden="1">{"fdsup://directions/FAT Viewer?action=UPDATE&amp;creator=factSet&amp;DYN_ARGS=true&amp;DOC_NAME=FAT:RGA_ENTRPR_VAL_MV_SOURCE_WINDOW.FAT&amp;VAR:ID1=BBBY&amp;VAR:SDATE=20030530&amp;VAR:FDATE=20030228&amp;VAR:FREQ=DAILY&amp;VAR:RELITEM=&amp;VAR:CURRENCY=&amp;VAR:DB_TYPE=&amp;VAR:UNITS=M&amp;VAR:SHS_OUT_TY","PE=&amp;window=popup&amp;width=535&amp;height=425&amp;START_MAXIMIZED=FALSE&amp;Y=120"}</definedName>
    <definedName name="_237__FDSAUDITLINK__" localSheetId="5" hidden="1">{"fdsup://directions/FAT Viewer?action=UPDATE&amp;creator=factSet&amp;DYN_ARGS=true&amp;DOC_NAME=FAT:RGA_ENTRPR_VAL_MV_SOURCE_WINDOW.FAT&amp;VAR:ID1=BBBY&amp;VAR:SDATE=20030606&amp;VAR:FDATE=20030228&amp;VAR:FREQ=DAILY&amp;VAR:RELITEM=&amp;VAR:CURRENCY=&amp;VAR:DB_TYPE=&amp;VAR:UNITS=M&amp;VAR:SHS_OUT_TY","PE=&amp;window=popup&amp;width=535&amp;height=425&amp;START_MAXIMIZED=FALSE&amp;Y=120"}</definedName>
    <definedName name="_237__FDSAUDITLINK__" hidden="1">{"fdsup://directions/FAT Viewer?action=UPDATE&amp;creator=factSet&amp;DYN_ARGS=true&amp;DOC_NAME=FAT:RGA_ENTRPR_VAL_MV_SOURCE_WINDOW.FAT&amp;VAR:ID1=BBBY&amp;VAR:SDATE=20030606&amp;VAR:FDATE=20030228&amp;VAR:FREQ=DAILY&amp;VAR:RELITEM=&amp;VAR:CURRENCY=&amp;VAR:DB_TYPE=&amp;VAR:UNITS=M&amp;VAR:SHS_OUT_TY","PE=&amp;window=popup&amp;width=535&amp;height=425&amp;START_MAXIMIZED=FALSE&amp;Y=120"}</definedName>
    <definedName name="_238__FDSAUDITLINK__" localSheetId="5" hidden="1">{"fdsup://directions/FAT Viewer?action=UPDATE&amp;creator=factSet&amp;DYN_ARGS=true&amp;DOC_NAME=FAT:RGA_ENTRPR_VAL_MV_SOURCE_WINDOW.FAT&amp;VAR:ID1=BBBY&amp;VAR:SDATE=20030613&amp;VAR:FDATE=20030228&amp;VAR:FREQ=DAILY&amp;VAR:RELITEM=&amp;VAR:CURRENCY=&amp;VAR:DB_TYPE=&amp;VAR:UNITS=M&amp;VAR:SHS_OUT_TY","PE=&amp;window=popup&amp;width=535&amp;height=425&amp;START_MAXIMIZED=FALSE&amp;Y=120"}</definedName>
    <definedName name="_238__FDSAUDITLINK__" hidden="1">{"fdsup://directions/FAT Viewer?action=UPDATE&amp;creator=factSet&amp;DYN_ARGS=true&amp;DOC_NAME=FAT:RGA_ENTRPR_VAL_MV_SOURCE_WINDOW.FAT&amp;VAR:ID1=BBBY&amp;VAR:SDATE=20030613&amp;VAR:FDATE=20030228&amp;VAR:FREQ=DAILY&amp;VAR:RELITEM=&amp;VAR:CURRENCY=&amp;VAR:DB_TYPE=&amp;VAR:UNITS=M&amp;VAR:SHS_OUT_TY","PE=&amp;window=popup&amp;width=535&amp;height=425&amp;START_MAXIMIZED=FALSE&amp;Y=120"}</definedName>
    <definedName name="_239__FDSAUDITLINK__" localSheetId="5" hidden="1">{"fdsup://directions/FAT Viewer?action=UPDATE&amp;creator=factSet&amp;DYN_ARGS=true&amp;DOC_NAME=FAT:RGA_ENTRPR_VAL_MV_SOURCE_WINDOW.FAT&amp;VAR:ID1=BBBY&amp;VAR:SDATE=20030620&amp;VAR:FDATE=20030228&amp;VAR:FREQ=DAILY&amp;VAR:RELITEM=&amp;VAR:CURRENCY=&amp;VAR:DB_TYPE=&amp;VAR:UNITS=M&amp;VAR:SHS_OUT_TY","PE=&amp;window=popup&amp;width=535&amp;height=425&amp;START_MAXIMIZED=FALSE&amp;Y=120"}</definedName>
    <definedName name="_239__FDSAUDITLINK__" hidden="1">{"fdsup://directions/FAT Viewer?action=UPDATE&amp;creator=factSet&amp;DYN_ARGS=true&amp;DOC_NAME=FAT:RGA_ENTRPR_VAL_MV_SOURCE_WINDOW.FAT&amp;VAR:ID1=BBBY&amp;VAR:SDATE=20030620&amp;VAR:FDATE=20030228&amp;VAR:FREQ=DAILY&amp;VAR:RELITEM=&amp;VAR:CURRENCY=&amp;VAR:DB_TYPE=&amp;VAR:UNITS=M&amp;VAR:SHS_OUT_TY","PE=&amp;window=popup&amp;width=535&amp;height=425&amp;START_MAXIMIZED=FALSE&amp;Y=120"}</definedName>
    <definedName name="_24__FDSAUDITLINK__" localSheetId="5" hidden="1">{"fdsup://directions/FAT Viewer?action=UPDATE&amp;creator=factSet&amp;DYN_ARGS=true&amp;DOC_NAME=FAT:RGA_ENTRPR_VAL_MV_SOURCE_WINDOW.FAT&amp;VAR:ID1=BBBY&amp;VAR:SDATE=19990507&amp;VAR:FDATE=19990226&amp;VAR:FREQ=DAILY&amp;VAR:RELITEM=&amp;VAR:CURRENCY=&amp;VAR:DB_TYPE=&amp;VAR:UNITS=M&amp;VAR:SHS_OUT_TY","PE=&amp;window=popup&amp;width=535&amp;height=425&amp;START_MAXIMIZED=FALSE&amp;Y=120"}</definedName>
    <definedName name="_24__FDSAUDITLINK__" hidden="1">{"fdsup://directions/FAT Viewer?action=UPDATE&amp;creator=factSet&amp;DYN_ARGS=true&amp;DOC_NAME=FAT:RGA_ENTRPR_VAL_MV_SOURCE_WINDOW.FAT&amp;VAR:ID1=BBBY&amp;VAR:SDATE=19990507&amp;VAR:FDATE=19990226&amp;VAR:FREQ=DAILY&amp;VAR:RELITEM=&amp;VAR:CURRENCY=&amp;VAR:DB_TYPE=&amp;VAR:UNITS=M&amp;VAR:SHS_OUT_TY","PE=&amp;window=popup&amp;width=535&amp;height=425&amp;START_MAXIMIZED=FALSE&amp;Y=120"}</definedName>
    <definedName name="_240__FDSAUDITLINK__" localSheetId="5" hidden="1">{"fdsup://directions/FAT Viewer?action=UPDATE&amp;creator=factSet&amp;DYN_ARGS=true&amp;DOC_NAME=FAT:RGA_ENTRPR_VAL_MV_SOURCE_WINDOW.FAT&amp;VAR:ID1=BBBY&amp;VAR:SDATE=20030627&amp;VAR:FDATE=20030228&amp;VAR:FREQ=DAILY&amp;VAR:RELITEM=&amp;VAR:CURRENCY=&amp;VAR:DB_TYPE=&amp;VAR:UNITS=M&amp;VAR:SHS_OUT_TY","PE=&amp;window=popup&amp;width=535&amp;height=425&amp;START_MAXIMIZED=FALSE&amp;Y=120"}</definedName>
    <definedName name="_240__FDSAUDITLINK__" hidden="1">{"fdsup://directions/FAT Viewer?action=UPDATE&amp;creator=factSet&amp;DYN_ARGS=true&amp;DOC_NAME=FAT:RGA_ENTRPR_VAL_MV_SOURCE_WINDOW.FAT&amp;VAR:ID1=BBBY&amp;VAR:SDATE=20030627&amp;VAR:FDATE=20030228&amp;VAR:FREQ=DAILY&amp;VAR:RELITEM=&amp;VAR:CURRENCY=&amp;VAR:DB_TYPE=&amp;VAR:UNITS=M&amp;VAR:SHS_OUT_TY","PE=&amp;window=popup&amp;width=535&amp;height=425&amp;START_MAXIMIZED=FALSE&amp;Y=120"}</definedName>
    <definedName name="_241__FDSAUDITLINK__" localSheetId="5" hidden="1">{"fdsup://directions/FAT Viewer?action=UPDATE&amp;creator=factSet&amp;DYN_ARGS=true&amp;DOC_NAME=FAT:RGA_ENTRPR_VAL_MV_SOURCE_WINDOW.FAT&amp;VAR:ID1=BBBY&amp;VAR:SDATE=20030703&amp;VAR:FDATE=20030228&amp;VAR:FREQ=DAILY&amp;VAR:RELITEM=&amp;VAR:CURRENCY=&amp;VAR:DB_TYPE=&amp;VAR:UNITS=M&amp;VAR:SHS_OUT_TY","PE=&amp;window=popup&amp;width=535&amp;height=425&amp;START_MAXIMIZED=FALSE&amp;Y=120"}</definedName>
    <definedName name="_241__FDSAUDITLINK__" hidden="1">{"fdsup://directions/FAT Viewer?action=UPDATE&amp;creator=factSet&amp;DYN_ARGS=true&amp;DOC_NAME=FAT:RGA_ENTRPR_VAL_MV_SOURCE_WINDOW.FAT&amp;VAR:ID1=BBBY&amp;VAR:SDATE=20030703&amp;VAR:FDATE=20030228&amp;VAR:FREQ=DAILY&amp;VAR:RELITEM=&amp;VAR:CURRENCY=&amp;VAR:DB_TYPE=&amp;VAR:UNITS=M&amp;VAR:SHS_OUT_TY","PE=&amp;window=popup&amp;width=535&amp;height=425&amp;START_MAXIMIZED=FALSE&amp;Y=120"}</definedName>
    <definedName name="_242__FDSAUDITLINK__" localSheetId="5" hidden="1">{"fdsup://directions/FAT Viewer?action=UPDATE&amp;creator=factSet&amp;DYN_ARGS=true&amp;DOC_NAME=FAT:RGA_ENTRPR_VAL_MV_SOURCE_WINDOW.FAT&amp;VAR:ID1=BBBY&amp;VAR:SDATE=20030711&amp;VAR:FDATE=20030228&amp;VAR:FREQ=DAILY&amp;VAR:RELITEM=&amp;VAR:CURRENCY=&amp;VAR:DB_TYPE=&amp;VAR:UNITS=M&amp;VAR:SHS_OUT_TY","PE=&amp;window=popup&amp;width=535&amp;height=425&amp;START_MAXIMIZED=FALSE&amp;Y=120"}</definedName>
    <definedName name="_242__FDSAUDITLINK__" hidden="1">{"fdsup://directions/FAT Viewer?action=UPDATE&amp;creator=factSet&amp;DYN_ARGS=true&amp;DOC_NAME=FAT:RGA_ENTRPR_VAL_MV_SOURCE_WINDOW.FAT&amp;VAR:ID1=BBBY&amp;VAR:SDATE=20030711&amp;VAR:FDATE=20030228&amp;VAR:FREQ=DAILY&amp;VAR:RELITEM=&amp;VAR:CURRENCY=&amp;VAR:DB_TYPE=&amp;VAR:UNITS=M&amp;VAR:SHS_OUT_TY","PE=&amp;window=popup&amp;width=535&amp;height=425&amp;START_MAXIMIZED=FALSE&amp;Y=120"}</definedName>
    <definedName name="_243__FDSAUDITLINK__" localSheetId="5" hidden="1">{"fdsup://directions/FAT Viewer?action=UPDATE&amp;creator=factSet&amp;DYN_ARGS=true&amp;DOC_NAME=FAT:RGA_ENTRPR_VAL_MV_SOURCE_WINDOW.FAT&amp;VAR:ID1=BBBY&amp;VAR:SDATE=20030718&amp;VAR:FDATE=20030228&amp;VAR:FREQ=DAILY&amp;VAR:RELITEM=&amp;VAR:CURRENCY=&amp;VAR:DB_TYPE=&amp;VAR:UNITS=M&amp;VAR:SHS_OUT_TY","PE=&amp;window=popup&amp;width=535&amp;height=425&amp;START_MAXIMIZED=FALSE&amp;Y=120"}</definedName>
    <definedName name="_243__FDSAUDITLINK__" hidden="1">{"fdsup://directions/FAT Viewer?action=UPDATE&amp;creator=factSet&amp;DYN_ARGS=true&amp;DOC_NAME=FAT:RGA_ENTRPR_VAL_MV_SOURCE_WINDOW.FAT&amp;VAR:ID1=BBBY&amp;VAR:SDATE=20030718&amp;VAR:FDATE=20030228&amp;VAR:FREQ=DAILY&amp;VAR:RELITEM=&amp;VAR:CURRENCY=&amp;VAR:DB_TYPE=&amp;VAR:UNITS=M&amp;VAR:SHS_OUT_TY","PE=&amp;window=popup&amp;width=535&amp;height=425&amp;START_MAXIMIZED=FALSE&amp;Y=120"}</definedName>
    <definedName name="_244__FDSAUDITLINK__" localSheetId="5" hidden="1">{"fdsup://directions/FAT Viewer?action=UPDATE&amp;creator=factSet&amp;DYN_ARGS=true&amp;DOC_NAME=FAT:RGA_ENTRPR_VAL_MV_SOURCE_WINDOW.FAT&amp;VAR:ID1=BBBY&amp;VAR:SDATE=20030725&amp;VAR:FDATE=20030228&amp;VAR:FREQ=DAILY&amp;VAR:RELITEM=&amp;VAR:CURRENCY=&amp;VAR:DB_TYPE=&amp;VAR:UNITS=M&amp;VAR:SHS_OUT_TY","PE=&amp;window=popup&amp;width=535&amp;height=425&amp;START_MAXIMIZED=FALSE&amp;Y=120"}</definedName>
    <definedName name="_244__FDSAUDITLINK__" hidden="1">{"fdsup://directions/FAT Viewer?action=UPDATE&amp;creator=factSet&amp;DYN_ARGS=true&amp;DOC_NAME=FAT:RGA_ENTRPR_VAL_MV_SOURCE_WINDOW.FAT&amp;VAR:ID1=BBBY&amp;VAR:SDATE=20030725&amp;VAR:FDATE=20030228&amp;VAR:FREQ=DAILY&amp;VAR:RELITEM=&amp;VAR:CURRENCY=&amp;VAR:DB_TYPE=&amp;VAR:UNITS=M&amp;VAR:SHS_OUT_TY","PE=&amp;window=popup&amp;width=535&amp;height=425&amp;START_MAXIMIZED=FALSE&amp;Y=120"}</definedName>
    <definedName name="_245__FDSAUDITLINK__" localSheetId="5" hidden="1">{"fdsup://directions/FAT Viewer?action=UPDATE&amp;creator=factSet&amp;DYN_ARGS=true&amp;DOC_NAME=FAT:RGA_ENTRPR_VAL_MV_SOURCE_WINDOW.FAT&amp;VAR:ID1=BBBY&amp;VAR:SDATE=20030801&amp;VAR:FDATE=20030228&amp;VAR:FREQ=DAILY&amp;VAR:RELITEM=&amp;VAR:CURRENCY=&amp;VAR:DB_TYPE=&amp;VAR:UNITS=M&amp;VAR:SHS_OUT_TY","PE=&amp;window=popup&amp;width=535&amp;height=425&amp;START_MAXIMIZED=FALSE&amp;Y=120"}</definedName>
    <definedName name="_245__FDSAUDITLINK__" hidden="1">{"fdsup://directions/FAT Viewer?action=UPDATE&amp;creator=factSet&amp;DYN_ARGS=true&amp;DOC_NAME=FAT:RGA_ENTRPR_VAL_MV_SOURCE_WINDOW.FAT&amp;VAR:ID1=BBBY&amp;VAR:SDATE=20030801&amp;VAR:FDATE=20030228&amp;VAR:FREQ=DAILY&amp;VAR:RELITEM=&amp;VAR:CURRENCY=&amp;VAR:DB_TYPE=&amp;VAR:UNITS=M&amp;VAR:SHS_OUT_TY","PE=&amp;window=popup&amp;width=535&amp;height=425&amp;START_MAXIMIZED=FALSE&amp;Y=120"}</definedName>
    <definedName name="_246__FDSAUDITLINK__" localSheetId="5" hidden="1">{"fdsup://directions/FAT Viewer?action=UPDATE&amp;creator=factSet&amp;DYN_ARGS=true&amp;DOC_NAME=FAT:RGA_ENTRPR_VAL_MV_SOURCE_WINDOW.FAT&amp;VAR:ID1=BBBY&amp;VAR:SDATE=20030808&amp;VAR:FDATE=20030228&amp;VAR:FREQ=DAILY&amp;VAR:RELITEM=&amp;VAR:CURRENCY=&amp;VAR:DB_TYPE=&amp;VAR:UNITS=M&amp;VAR:SHS_OUT_TY","PE=&amp;window=popup&amp;width=535&amp;height=425&amp;START_MAXIMIZED=FALSE&amp;Y=120"}</definedName>
    <definedName name="_246__FDSAUDITLINK__" hidden="1">{"fdsup://directions/FAT Viewer?action=UPDATE&amp;creator=factSet&amp;DYN_ARGS=true&amp;DOC_NAME=FAT:RGA_ENTRPR_VAL_MV_SOURCE_WINDOW.FAT&amp;VAR:ID1=BBBY&amp;VAR:SDATE=20030808&amp;VAR:FDATE=20030228&amp;VAR:FREQ=DAILY&amp;VAR:RELITEM=&amp;VAR:CURRENCY=&amp;VAR:DB_TYPE=&amp;VAR:UNITS=M&amp;VAR:SHS_OUT_TY","PE=&amp;window=popup&amp;width=535&amp;height=425&amp;START_MAXIMIZED=FALSE&amp;Y=120"}</definedName>
    <definedName name="_247__FDSAUDITLINK__" localSheetId="5" hidden="1">{"fdsup://directions/FAT Viewer?action=UPDATE&amp;creator=factSet&amp;DYN_ARGS=true&amp;DOC_NAME=FAT:RGA_ENTRPR_VAL_MV_SOURCE_WINDOW.FAT&amp;VAR:ID1=BBBY&amp;VAR:SDATE=20030815&amp;VAR:FDATE=20030228&amp;VAR:FREQ=DAILY&amp;VAR:RELITEM=&amp;VAR:CURRENCY=&amp;VAR:DB_TYPE=&amp;VAR:UNITS=M&amp;VAR:SHS_OUT_TY","PE=&amp;window=popup&amp;width=535&amp;height=425&amp;START_MAXIMIZED=FALSE&amp;Y=120"}</definedName>
    <definedName name="_247__FDSAUDITLINK__" hidden="1">{"fdsup://directions/FAT Viewer?action=UPDATE&amp;creator=factSet&amp;DYN_ARGS=true&amp;DOC_NAME=FAT:RGA_ENTRPR_VAL_MV_SOURCE_WINDOW.FAT&amp;VAR:ID1=BBBY&amp;VAR:SDATE=20030815&amp;VAR:FDATE=20030228&amp;VAR:FREQ=DAILY&amp;VAR:RELITEM=&amp;VAR:CURRENCY=&amp;VAR:DB_TYPE=&amp;VAR:UNITS=M&amp;VAR:SHS_OUT_TY","PE=&amp;window=popup&amp;width=535&amp;height=425&amp;START_MAXIMIZED=FALSE&amp;Y=120"}</definedName>
    <definedName name="_248__FDSAUDITLINK__" localSheetId="5" hidden="1">{"fdsup://directions/FAT Viewer?action=UPDATE&amp;creator=factSet&amp;DYN_ARGS=true&amp;DOC_NAME=FAT:RGA_ENTRPR_VAL_MV_SOURCE_WINDOW.FAT&amp;VAR:ID1=BBBY&amp;VAR:SDATE=20030822&amp;VAR:FDATE=20030228&amp;VAR:FREQ=DAILY&amp;VAR:RELITEM=&amp;VAR:CURRENCY=&amp;VAR:DB_TYPE=&amp;VAR:UNITS=M&amp;VAR:SHS_OUT_TY","PE=&amp;window=popup&amp;width=535&amp;height=425&amp;START_MAXIMIZED=FALSE&amp;Y=120"}</definedName>
    <definedName name="_248__FDSAUDITLINK__" hidden="1">{"fdsup://directions/FAT Viewer?action=UPDATE&amp;creator=factSet&amp;DYN_ARGS=true&amp;DOC_NAME=FAT:RGA_ENTRPR_VAL_MV_SOURCE_WINDOW.FAT&amp;VAR:ID1=BBBY&amp;VAR:SDATE=20030822&amp;VAR:FDATE=20030228&amp;VAR:FREQ=DAILY&amp;VAR:RELITEM=&amp;VAR:CURRENCY=&amp;VAR:DB_TYPE=&amp;VAR:UNITS=M&amp;VAR:SHS_OUT_TY","PE=&amp;window=popup&amp;width=535&amp;height=425&amp;START_MAXIMIZED=FALSE&amp;Y=120"}</definedName>
    <definedName name="_249__FDSAUDITLINK__" localSheetId="5" hidden="1">{"fdsup://directions/FAT Viewer?action=UPDATE&amp;creator=factSet&amp;DYN_ARGS=true&amp;DOC_NAME=FAT:RGA_ENTRPR_VAL_MV_SOURCE_WINDOW.FAT&amp;VAR:ID1=BBBY&amp;VAR:SDATE=20030829&amp;VAR:FDATE=20030228&amp;VAR:FREQ=DAILY&amp;VAR:RELITEM=&amp;VAR:CURRENCY=&amp;VAR:DB_TYPE=&amp;VAR:UNITS=M&amp;VAR:SHS_OUT_TY","PE=&amp;window=popup&amp;width=535&amp;height=425&amp;START_MAXIMIZED=FALSE&amp;Y=120"}</definedName>
    <definedName name="_249__FDSAUDITLINK__" hidden="1">{"fdsup://directions/FAT Viewer?action=UPDATE&amp;creator=factSet&amp;DYN_ARGS=true&amp;DOC_NAME=FAT:RGA_ENTRPR_VAL_MV_SOURCE_WINDOW.FAT&amp;VAR:ID1=BBBY&amp;VAR:SDATE=20030829&amp;VAR:FDATE=20030228&amp;VAR:FREQ=DAILY&amp;VAR:RELITEM=&amp;VAR:CURRENCY=&amp;VAR:DB_TYPE=&amp;VAR:UNITS=M&amp;VAR:SHS_OUT_TY","PE=&amp;window=popup&amp;width=535&amp;height=425&amp;START_MAXIMIZED=FALSE&amp;Y=120"}</definedName>
    <definedName name="_25__FDSAUDITLINK__" localSheetId="5" hidden="1">{"fdsup://directions/FAT Viewer?action=UPDATE&amp;creator=factSet&amp;DYN_ARGS=true&amp;DOC_NAME=FAT:RGA_ENTRPR_VAL_MV_SOURCE_WINDOW.FAT&amp;VAR:ID1=BBBY&amp;VAR:SDATE=19990514&amp;VAR:FDATE=19990226&amp;VAR:FREQ=DAILY&amp;VAR:RELITEM=&amp;VAR:CURRENCY=&amp;VAR:DB_TYPE=&amp;VAR:UNITS=M&amp;VAR:SHS_OUT_TY","PE=&amp;window=popup&amp;width=535&amp;height=425&amp;START_MAXIMIZED=FALSE&amp;Y=120"}</definedName>
    <definedName name="_25__FDSAUDITLINK__" hidden="1">{"fdsup://directions/FAT Viewer?action=UPDATE&amp;creator=factSet&amp;DYN_ARGS=true&amp;DOC_NAME=FAT:RGA_ENTRPR_VAL_MV_SOURCE_WINDOW.FAT&amp;VAR:ID1=BBBY&amp;VAR:SDATE=19990514&amp;VAR:FDATE=19990226&amp;VAR:FREQ=DAILY&amp;VAR:RELITEM=&amp;VAR:CURRENCY=&amp;VAR:DB_TYPE=&amp;VAR:UNITS=M&amp;VAR:SHS_OUT_TY","PE=&amp;window=popup&amp;width=535&amp;height=425&amp;START_MAXIMIZED=FALSE&amp;Y=120"}</definedName>
    <definedName name="_250__FDSAUDITLINK__" localSheetId="5" hidden="1">{"fdsup://directions/FAT Viewer?action=UPDATE&amp;creator=factSet&amp;DYN_ARGS=true&amp;DOC_NAME=FAT:RGA_ENTRPR_VAL_MV_SOURCE_WINDOW.FAT&amp;VAR:ID1=BBBY&amp;VAR:SDATE=20030905&amp;VAR:FDATE=20030228&amp;VAR:FREQ=DAILY&amp;VAR:RELITEM=&amp;VAR:CURRENCY=&amp;VAR:DB_TYPE=&amp;VAR:UNITS=M&amp;VAR:SHS_OUT_TY","PE=&amp;window=popup&amp;width=535&amp;height=425&amp;START_MAXIMIZED=FALSE&amp;Y=120"}</definedName>
    <definedName name="_250__FDSAUDITLINK__" hidden="1">{"fdsup://directions/FAT Viewer?action=UPDATE&amp;creator=factSet&amp;DYN_ARGS=true&amp;DOC_NAME=FAT:RGA_ENTRPR_VAL_MV_SOURCE_WINDOW.FAT&amp;VAR:ID1=BBBY&amp;VAR:SDATE=20030905&amp;VAR:FDATE=20030228&amp;VAR:FREQ=DAILY&amp;VAR:RELITEM=&amp;VAR:CURRENCY=&amp;VAR:DB_TYPE=&amp;VAR:UNITS=M&amp;VAR:SHS_OUT_TY","PE=&amp;window=popup&amp;width=535&amp;height=425&amp;START_MAXIMIZED=FALSE&amp;Y=120"}</definedName>
    <definedName name="_251__FDSAUDITLINK__" localSheetId="5" hidden="1">{"fdsup://directions/FAT Viewer?action=UPDATE&amp;creator=factSet&amp;DYN_ARGS=true&amp;DOC_NAME=FAT:RGA_ENTRPR_VAL_MV_SOURCE_WINDOW.FAT&amp;VAR:ID1=BBBY&amp;VAR:SDATE=20030912&amp;VAR:FDATE=20030228&amp;VAR:FREQ=DAILY&amp;VAR:RELITEM=&amp;VAR:CURRENCY=&amp;VAR:DB_TYPE=&amp;VAR:UNITS=M&amp;VAR:SHS_OUT_TY","PE=&amp;window=popup&amp;width=535&amp;height=425&amp;START_MAXIMIZED=FALSE&amp;Y=120"}</definedName>
    <definedName name="_251__FDSAUDITLINK__" hidden="1">{"fdsup://directions/FAT Viewer?action=UPDATE&amp;creator=factSet&amp;DYN_ARGS=true&amp;DOC_NAME=FAT:RGA_ENTRPR_VAL_MV_SOURCE_WINDOW.FAT&amp;VAR:ID1=BBBY&amp;VAR:SDATE=20030912&amp;VAR:FDATE=20030228&amp;VAR:FREQ=DAILY&amp;VAR:RELITEM=&amp;VAR:CURRENCY=&amp;VAR:DB_TYPE=&amp;VAR:UNITS=M&amp;VAR:SHS_OUT_TY","PE=&amp;window=popup&amp;width=535&amp;height=425&amp;START_MAXIMIZED=FALSE&amp;Y=120"}</definedName>
    <definedName name="_252__FDSAUDITLINK__" localSheetId="5" hidden="1">{"fdsup://directions/FAT Viewer?action=UPDATE&amp;creator=factSet&amp;DYN_ARGS=true&amp;DOC_NAME=FAT:RGA_ENTRPR_VAL_MV_SOURCE_WINDOW.FAT&amp;VAR:ID1=BBBY&amp;VAR:SDATE=20030919&amp;VAR:FDATE=20030228&amp;VAR:FREQ=DAILY&amp;VAR:RELITEM=&amp;VAR:CURRENCY=&amp;VAR:DB_TYPE=&amp;VAR:UNITS=M&amp;VAR:SHS_OUT_TY","PE=&amp;window=popup&amp;width=535&amp;height=425&amp;START_MAXIMIZED=FALSE&amp;Y=120"}</definedName>
    <definedName name="_252__FDSAUDITLINK__" hidden="1">{"fdsup://directions/FAT Viewer?action=UPDATE&amp;creator=factSet&amp;DYN_ARGS=true&amp;DOC_NAME=FAT:RGA_ENTRPR_VAL_MV_SOURCE_WINDOW.FAT&amp;VAR:ID1=BBBY&amp;VAR:SDATE=20030919&amp;VAR:FDATE=20030228&amp;VAR:FREQ=DAILY&amp;VAR:RELITEM=&amp;VAR:CURRENCY=&amp;VAR:DB_TYPE=&amp;VAR:UNITS=M&amp;VAR:SHS_OUT_TY","PE=&amp;window=popup&amp;width=535&amp;height=425&amp;START_MAXIMIZED=FALSE&amp;Y=120"}</definedName>
    <definedName name="_253__FDSAUDITLINK__" localSheetId="5" hidden="1">{"fdsup://directions/FAT Viewer?action=UPDATE&amp;creator=factSet&amp;DYN_ARGS=true&amp;DOC_NAME=FAT:RGA_ENTRPR_VAL_MV_SOURCE_WINDOW.FAT&amp;VAR:ID1=BBBY&amp;VAR:SDATE=20030926&amp;VAR:FDATE=20030228&amp;VAR:FREQ=DAILY&amp;VAR:RELITEM=&amp;VAR:CURRENCY=&amp;VAR:DB_TYPE=&amp;VAR:UNITS=M&amp;VAR:SHS_OUT_TY","PE=&amp;window=popup&amp;width=535&amp;height=425&amp;START_MAXIMIZED=FALSE&amp;Y=120"}</definedName>
    <definedName name="_253__FDSAUDITLINK__" hidden="1">{"fdsup://directions/FAT Viewer?action=UPDATE&amp;creator=factSet&amp;DYN_ARGS=true&amp;DOC_NAME=FAT:RGA_ENTRPR_VAL_MV_SOURCE_WINDOW.FAT&amp;VAR:ID1=BBBY&amp;VAR:SDATE=20030926&amp;VAR:FDATE=20030228&amp;VAR:FREQ=DAILY&amp;VAR:RELITEM=&amp;VAR:CURRENCY=&amp;VAR:DB_TYPE=&amp;VAR:UNITS=M&amp;VAR:SHS_OUT_TY","PE=&amp;window=popup&amp;width=535&amp;height=425&amp;START_MAXIMIZED=FALSE&amp;Y=120"}</definedName>
    <definedName name="_254__FDSAUDITLINK__" localSheetId="5" hidden="1">{"fdsup://directions/FAT Viewer?action=UPDATE&amp;creator=factSet&amp;DYN_ARGS=true&amp;DOC_NAME=FAT:RGA_ENTRPR_VAL_MV_SOURCE_WINDOW.FAT&amp;VAR:ID1=BBBY&amp;VAR:SDATE=20031003&amp;VAR:FDATE=20030228&amp;VAR:FREQ=DAILY&amp;VAR:RELITEM=&amp;VAR:CURRENCY=&amp;VAR:DB_TYPE=&amp;VAR:UNITS=M&amp;VAR:SHS_OUT_TY","PE=&amp;window=popup&amp;width=535&amp;height=425&amp;START_MAXIMIZED=FALSE&amp;Y=120"}</definedName>
    <definedName name="_254__FDSAUDITLINK__" hidden="1">{"fdsup://directions/FAT Viewer?action=UPDATE&amp;creator=factSet&amp;DYN_ARGS=true&amp;DOC_NAME=FAT:RGA_ENTRPR_VAL_MV_SOURCE_WINDOW.FAT&amp;VAR:ID1=BBBY&amp;VAR:SDATE=20031003&amp;VAR:FDATE=20030228&amp;VAR:FREQ=DAILY&amp;VAR:RELITEM=&amp;VAR:CURRENCY=&amp;VAR:DB_TYPE=&amp;VAR:UNITS=M&amp;VAR:SHS_OUT_TY","PE=&amp;window=popup&amp;width=535&amp;height=425&amp;START_MAXIMIZED=FALSE&amp;Y=120"}</definedName>
    <definedName name="_255__FDSAUDITLINK__" localSheetId="5" hidden="1">{"fdsup://directions/FAT Viewer?action=UPDATE&amp;creator=factSet&amp;DYN_ARGS=true&amp;DOC_NAME=FAT:RGA_ENTRPR_VAL_MV_SOURCE_WINDOW.FAT&amp;VAR:ID1=BBBY&amp;VAR:SDATE=20031010&amp;VAR:FDATE=20030228&amp;VAR:FREQ=DAILY&amp;VAR:RELITEM=&amp;VAR:CURRENCY=&amp;VAR:DB_TYPE=&amp;VAR:UNITS=M&amp;VAR:SHS_OUT_TY","PE=&amp;window=popup&amp;width=535&amp;height=425&amp;START_MAXIMIZED=FALSE&amp;Y=120"}</definedName>
    <definedName name="_255__FDSAUDITLINK__" hidden="1">{"fdsup://directions/FAT Viewer?action=UPDATE&amp;creator=factSet&amp;DYN_ARGS=true&amp;DOC_NAME=FAT:RGA_ENTRPR_VAL_MV_SOURCE_WINDOW.FAT&amp;VAR:ID1=BBBY&amp;VAR:SDATE=20031010&amp;VAR:FDATE=20030228&amp;VAR:FREQ=DAILY&amp;VAR:RELITEM=&amp;VAR:CURRENCY=&amp;VAR:DB_TYPE=&amp;VAR:UNITS=M&amp;VAR:SHS_OUT_TY","PE=&amp;window=popup&amp;width=535&amp;height=425&amp;START_MAXIMIZED=FALSE&amp;Y=120"}</definedName>
    <definedName name="_256__FDSAUDITLINK__" localSheetId="5" hidden="1">{"fdsup://directions/FAT Viewer?action=UPDATE&amp;creator=factSet&amp;DYN_ARGS=true&amp;DOC_NAME=FAT:RGA_ENTRPR_VAL_MV_SOURCE_WINDOW.FAT&amp;VAR:ID1=BBBY&amp;VAR:SDATE=20031017&amp;VAR:FDATE=20030228&amp;VAR:FREQ=DAILY&amp;VAR:RELITEM=&amp;VAR:CURRENCY=&amp;VAR:DB_TYPE=&amp;VAR:UNITS=M&amp;VAR:SHS_OUT_TY","PE=&amp;window=popup&amp;width=535&amp;height=425&amp;START_MAXIMIZED=FALSE&amp;Y=120"}</definedName>
    <definedName name="_256__FDSAUDITLINK__" hidden="1">{"fdsup://directions/FAT Viewer?action=UPDATE&amp;creator=factSet&amp;DYN_ARGS=true&amp;DOC_NAME=FAT:RGA_ENTRPR_VAL_MV_SOURCE_WINDOW.FAT&amp;VAR:ID1=BBBY&amp;VAR:SDATE=20031017&amp;VAR:FDATE=20030228&amp;VAR:FREQ=DAILY&amp;VAR:RELITEM=&amp;VAR:CURRENCY=&amp;VAR:DB_TYPE=&amp;VAR:UNITS=M&amp;VAR:SHS_OUT_TY","PE=&amp;window=popup&amp;width=535&amp;height=425&amp;START_MAXIMIZED=FALSE&amp;Y=120"}</definedName>
    <definedName name="_257__FDSAUDITLINK__" localSheetId="5" hidden="1">{"fdsup://directions/FAT Viewer?action=UPDATE&amp;creator=factSet&amp;DYN_ARGS=true&amp;DOC_NAME=FAT:RGA_ENTRPR_VAL_MV_SOURCE_WINDOW.FAT&amp;VAR:ID1=BBBY&amp;VAR:SDATE=20031024&amp;VAR:FDATE=20030228&amp;VAR:FREQ=DAILY&amp;VAR:RELITEM=&amp;VAR:CURRENCY=&amp;VAR:DB_TYPE=&amp;VAR:UNITS=M&amp;VAR:SHS_OUT_TY","PE=&amp;window=popup&amp;width=535&amp;height=425&amp;START_MAXIMIZED=FALSE&amp;Y=120"}</definedName>
    <definedName name="_257__FDSAUDITLINK__" hidden="1">{"fdsup://directions/FAT Viewer?action=UPDATE&amp;creator=factSet&amp;DYN_ARGS=true&amp;DOC_NAME=FAT:RGA_ENTRPR_VAL_MV_SOURCE_WINDOW.FAT&amp;VAR:ID1=BBBY&amp;VAR:SDATE=20031024&amp;VAR:FDATE=20030228&amp;VAR:FREQ=DAILY&amp;VAR:RELITEM=&amp;VAR:CURRENCY=&amp;VAR:DB_TYPE=&amp;VAR:UNITS=M&amp;VAR:SHS_OUT_TY","PE=&amp;window=popup&amp;width=535&amp;height=425&amp;START_MAXIMIZED=FALSE&amp;Y=120"}</definedName>
    <definedName name="_258__FDSAUDITLINK__" localSheetId="5" hidden="1">{"fdsup://directions/FAT Viewer?action=UPDATE&amp;creator=factSet&amp;DYN_ARGS=true&amp;DOC_NAME=FAT:RGA_ENTRPR_VAL_MV_SOURCE_WINDOW.FAT&amp;VAR:ID1=BBBY&amp;VAR:SDATE=20031031&amp;VAR:FDATE=20030228&amp;VAR:FREQ=DAILY&amp;VAR:RELITEM=&amp;VAR:CURRENCY=&amp;VAR:DB_TYPE=&amp;VAR:UNITS=M&amp;VAR:SHS_OUT_TY","PE=&amp;window=popup&amp;width=535&amp;height=425&amp;START_MAXIMIZED=FALSE&amp;Y=120"}</definedName>
    <definedName name="_258__FDSAUDITLINK__" hidden="1">{"fdsup://directions/FAT Viewer?action=UPDATE&amp;creator=factSet&amp;DYN_ARGS=true&amp;DOC_NAME=FAT:RGA_ENTRPR_VAL_MV_SOURCE_WINDOW.FAT&amp;VAR:ID1=BBBY&amp;VAR:SDATE=20031031&amp;VAR:FDATE=20030228&amp;VAR:FREQ=DAILY&amp;VAR:RELITEM=&amp;VAR:CURRENCY=&amp;VAR:DB_TYPE=&amp;VAR:UNITS=M&amp;VAR:SHS_OUT_TY","PE=&amp;window=popup&amp;width=535&amp;height=425&amp;START_MAXIMIZED=FALSE&amp;Y=120"}</definedName>
    <definedName name="_259__FDSAUDITLINK__" localSheetId="5" hidden="1">{"fdsup://directions/FAT Viewer?action=UPDATE&amp;creator=factSet&amp;DYN_ARGS=true&amp;DOC_NAME=FAT:RGA_ENTRPR_VAL_MV_SOURCE_WINDOW.FAT&amp;VAR:ID1=BBBY&amp;VAR:SDATE=20031107&amp;VAR:FDATE=20030228&amp;VAR:FREQ=DAILY&amp;VAR:RELITEM=&amp;VAR:CURRENCY=&amp;VAR:DB_TYPE=&amp;VAR:UNITS=M&amp;VAR:SHS_OUT_TY","PE=&amp;window=popup&amp;width=535&amp;height=425&amp;START_MAXIMIZED=FALSE&amp;Y=120"}</definedName>
    <definedName name="_259__FDSAUDITLINK__" hidden="1">{"fdsup://directions/FAT Viewer?action=UPDATE&amp;creator=factSet&amp;DYN_ARGS=true&amp;DOC_NAME=FAT:RGA_ENTRPR_VAL_MV_SOURCE_WINDOW.FAT&amp;VAR:ID1=BBBY&amp;VAR:SDATE=20031107&amp;VAR:FDATE=20030228&amp;VAR:FREQ=DAILY&amp;VAR:RELITEM=&amp;VAR:CURRENCY=&amp;VAR:DB_TYPE=&amp;VAR:UNITS=M&amp;VAR:SHS_OUT_TY","PE=&amp;window=popup&amp;width=535&amp;height=425&amp;START_MAXIMIZED=FALSE&amp;Y=120"}</definedName>
    <definedName name="_26__FDSAUDITLINK__" localSheetId="5" hidden="1">{"fdsup://directions/FAT Viewer?action=UPDATE&amp;creator=factSet&amp;DYN_ARGS=true&amp;DOC_NAME=FAT:RGA_ENTRPR_VAL_MV_SOURCE_WINDOW.FAT&amp;VAR:ID1=BBBY&amp;VAR:SDATE=19990521&amp;VAR:FDATE=19990226&amp;VAR:FREQ=DAILY&amp;VAR:RELITEM=&amp;VAR:CURRENCY=&amp;VAR:DB_TYPE=&amp;VAR:UNITS=M&amp;VAR:SHS_OUT_TY","PE=&amp;window=popup&amp;width=535&amp;height=425&amp;START_MAXIMIZED=FALSE&amp;Y=120"}</definedName>
    <definedName name="_26__FDSAUDITLINK__" hidden="1">{"fdsup://directions/FAT Viewer?action=UPDATE&amp;creator=factSet&amp;DYN_ARGS=true&amp;DOC_NAME=FAT:RGA_ENTRPR_VAL_MV_SOURCE_WINDOW.FAT&amp;VAR:ID1=BBBY&amp;VAR:SDATE=19990521&amp;VAR:FDATE=19990226&amp;VAR:FREQ=DAILY&amp;VAR:RELITEM=&amp;VAR:CURRENCY=&amp;VAR:DB_TYPE=&amp;VAR:UNITS=M&amp;VAR:SHS_OUT_TY","PE=&amp;window=popup&amp;width=535&amp;height=425&amp;START_MAXIMIZED=FALSE&amp;Y=120"}</definedName>
    <definedName name="_260__FDSAUDITLINK__" localSheetId="5" hidden="1">{"fdsup://directions/FAT Viewer?action=UPDATE&amp;creator=factSet&amp;DYN_ARGS=true&amp;DOC_NAME=FAT:RGA_ENTRPR_VAL_MV_SOURCE_WINDOW.FAT&amp;VAR:ID1=BBBY&amp;VAR:SDATE=20031114&amp;VAR:FDATE=20030228&amp;VAR:FREQ=DAILY&amp;VAR:RELITEM=&amp;VAR:CURRENCY=&amp;VAR:DB_TYPE=&amp;VAR:UNITS=M&amp;VAR:SHS_OUT_TY","PE=&amp;window=popup&amp;width=535&amp;height=425&amp;START_MAXIMIZED=FALSE&amp;Y=120"}</definedName>
    <definedName name="_260__FDSAUDITLINK__" hidden="1">{"fdsup://directions/FAT Viewer?action=UPDATE&amp;creator=factSet&amp;DYN_ARGS=true&amp;DOC_NAME=FAT:RGA_ENTRPR_VAL_MV_SOURCE_WINDOW.FAT&amp;VAR:ID1=BBBY&amp;VAR:SDATE=20031114&amp;VAR:FDATE=20030228&amp;VAR:FREQ=DAILY&amp;VAR:RELITEM=&amp;VAR:CURRENCY=&amp;VAR:DB_TYPE=&amp;VAR:UNITS=M&amp;VAR:SHS_OUT_TY","PE=&amp;window=popup&amp;width=535&amp;height=425&amp;START_MAXIMIZED=FALSE&amp;Y=120"}</definedName>
    <definedName name="_261__FDSAUDITLINK__" localSheetId="5" hidden="1">{"fdsup://directions/FAT Viewer?action=UPDATE&amp;creator=factSet&amp;DYN_ARGS=true&amp;DOC_NAME=FAT:RGA_ENTRPR_VAL_MV_SOURCE_WINDOW.FAT&amp;VAR:ID1=BBBY&amp;VAR:SDATE=20031121&amp;VAR:FDATE=20030228&amp;VAR:FREQ=DAILY&amp;VAR:RELITEM=&amp;VAR:CURRENCY=&amp;VAR:DB_TYPE=&amp;VAR:UNITS=M&amp;VAR:SHS_OUT_TY","PE=&amp;window=popup&amp;width=535&amp;height=425&amp;START_MAXIMIZED=FALSE&amp;Y=120"}</definedName>
    <definedName name="_261__FDSAUDITLINK__" hidden="1">{"fdsup://directions/FAT Viewer?action=UPDATE&amp;creator=factSet&amp;DYN_ARGS=true&amp;DOC_NAME=FAT:RGA_ENTRPR_VAL_MV_SOURCE_WINDOW.FAT&amp;VAR:ID1=BBBY&amp;VAR:SDATE=20031121&amp;VAR:FDATE=20030228&amp;VAR:FREQ=DAILY&amp;VAR:RELITEM=&amp;VAR:CURRENCY=&amp;VAR:DB_TYPE=&amp;VAR:UNITS=M&amp;VAR:SHS_OUT_TY","PE=&amp;window=popup&amp;width=535&amp;height=425&amp;START_MAXIMIZED=FALSE&amp;Y=120"}</definedName>
    <definedName name="_262__FDSAUDITLINK__" localSheetId="5" hidden="1">{"fdsup://directions/FAT Viewer?action=UPDATE&amp;creator=factSet&amp;DYN_ARGS=true&amp;DOC_NAME=FAT:RGA_ENTRPR_VAL_MV_SOURCE_WINDOW.FAT&amp;VAR:ID1=BBBY&amp;VAR:SDATE=20031128&amp;VAR:FDATE=20030228&amp;VAR:FREQ=DAILY&amp;VAR:RELITEM=&amp;VAR:CURRENCY=&amp;VAR:DB_TYPE=&amp;VAR:UNITS=M&amp;VAR:SHS_OUT_TY","PE=&amp;window=popup&amp;width=535&amp;height=425&amp;START_MAXIMIZED=FALSE&amp;Y=120"}</definedName>
    <definedName name="_262__FDSAUDITLINK__" hidden="1">{"fdsup://directions/FAT Viewer?action=UPDATE&amp;creator=factSet&amp;DYN_ARGS=true&amp;DOC_NAME=FAT:RGA_ENTRPR_VAL_MV_SOURCE_WINDOW.FAT&amp;VAR:ID1=BBBY&amp;VAR:SDATE=20031128&amp;VAR:FDATE=20030228&amp;VAR:FREQ=DAILY&amp;VAR:RELITEM=&amp;VAR:CURRENCY=&amp;VAR:DB_TYPE=&amp;VAR:UNITS=M&amp;VAR:SHS_OUT_TY","PE=&amp;window=popup&amp;width=535&amp;height=425&amp;START_MAXIMIZED=FALSE&amp;Y=120"}</definedName>
    <definedName name="_263__FDSAUDITLINK__" localSheetId="5" hidden="1">{"fdsup://directions/FAT Viewer?action=UPDATE&amp;creator=factSet&amp;DYN_ARGS=true&amp;DOC_NAME=FAT:RGA_ENTRPR_VAL_MV_SOURCE_WINDOW.FAT&amp;VAR:ID1=BBBY&amp;VAR:SDATE=20031205&amp;VAR:FDATE=20030228&amp;VAR:FREQ=DAILY&amp;VAR:RELITEM=&amp;VAR:CURRENCY=&amp;VAR:DB_TYPE=&amp;VAR:UNITS=M&amp;VAR:SHS_OUT_TY","PE=&amp;window=popup&amp;width=535&amp;height=425&amp;START_MAXIMIZED=FALSE&amp;Y=120"}</definedName>
    <definedName name="_263__FDSAUDITLINK__" hidden="1">{"fdsup://directions/FAT Viewer?action=UPDATE&amp;creator=factSet&amp;DYN_ARGS=true&amp;DOC_NAME=FAT:RGA_ENTRPR_VAL_MV_SOURCE_WINDOW.FAT&amp;VAR:ID1=BBBY&amp;VAR:SDATE=20031205&amp;VAR:FDATE=20030228&amp;VAR:FREQ=DAILY&amp;VAR:RELITEM=&amp;VAR:CURRENCY=&amp;VAR:DB_TYPE=&amp;VAR:UNITS=M&amp;VAR:SHS_OUT_TY","PE=&amp;window=popup&amp;width=535&amp;height=425&amp;START_MAXIMIZED=FALSE&amp;Y=120"}</definedName>
    <definedName name="_264__FDSAUDITLINK__" localSheetId="5" hidden="1">{"fdsup://directions/FAT Viewer?action=UPDATE&amp;creator=factSet&amp;DYN_ARGS=true&amp;DOC_NAME=FAT:RGA_ENTRPR_VAL_MV_SOURCE_WINDOW.FAT&amp;VAR:ID1=BBBY&amp;VAR:SDATE=20031212&amp;VAR:FDATE=20030228&amp;VAR:FREQ=DAILY&amp;VAR:RELITEM=&amp;VAR:CURRENCY=&amp;VAR:DB_TYPE=&amp;VAR:UNITS=M&amp;VAR:SHS_OUT_TY","PE=&amp;window=popup&amp;width=535&amp;height=425&amp;START_MAXIMIZED=FALSE&amp;Y=120"}</definedName>
    <definedName name="_264__FDSAUDITLINK__" hidden="1">{"fdsup://directions/FAT Viewer?action=UPDATE&amp;creator=factSet&amp;DYN_ARGS=true&amp;DOC_NAME=FAT:RGA_ENTRPR_VAL_MV_SOURCE_WINDOW.FAT&amp;VAR:ID1=BBBY&amp;VAR:SDATE=20031212&amp;VAR:FDATE=20030228&amp;VAR:FREQ=DAILY&amp;VAR:RELITEM=&amp;VAR:CURRENCY=&amp;VAR:DB_TYPE=&amp;VAR:UNITS=M&amp;VAR:SHS_OUT_TY","PE=&amp;window=popup&amp;width=535&amp;height=425&amp;START_MAXIMIZED=FALSE&amp;Y=120"}</definedName>
    <definedName name="_265__FDSAUDITLINK__" localSheetId="5" hidden="1">{"fdsup://directions/FAT Viewer?action=UPDATE&amp;creator=factSet&amp;DYN_ARGS=true&amp;DOC_NAME=FAT:RGA_ENTRPR_VAL_MV_SOURCE_WINDOW.FAT&amp;VAR:ID1=BBBY&amp;VAR:SDATE=20031219&amp;VAR:FDATE=20030228&amp;VAR:FREQ=DAILY&amp;VAR:RELITEM=&amp;VAR:CURRENCY=&amp;VAR:DB_TYPE=&amp;VAR:UNITS=M&amp;VAR:SHS_OUT_TY","PE=&amp;window=popup&amp;width=535&amp;height=425&amp;START_MAXIMIZED=FALSE&amp;Y=120"}</definedName>
    <definedName name="_265__FDSAUDITLINK__" hidden="1">{"fdsup://directions/FAT Viewer?action=UPDATE&amp;creator=factSet&amp;DYN_ARGS=true&amp;DOC_NAME=FAT:RGA_ENTRPR_VAL_MV_SOURCE_WINDOW.FAT&amp;VAR:ID1=BBBY&amp;VAR:SDATE=20031219&amp;VAR:FDATE=20030228&amp;VAR:FREQ=DAILY&amp;VAR:RELITEM=&amp;VAR:CURRENCY=&amp;VAR:DB_TYPE=&amp;VAR:UNITS=M&amp;VAR:SHS_OUT_TY","PE=&amp;window=popup&amp;width=535&amp;height=425&amp;START_MAXIMIZED=FALSE&amp;Y=120"}</definedName>
    <definedName name="_266__FDSAUDITLINK__" localSheetId="5" hidden="1">{"fdsup://directions/FAT Viewer?action=UPDATE&amp;creator=factSet&amp;DYN_ARGS=true&amp;DOC_NAME=FAT:RGA_ENTRPR_VAL_MV_SOURCE_WINDOW.FAT&amp;VAR:ID1=BBBY&amp;VAR:SDATE=20031226&amp;VAR:FDATE=20030228&amp;VAR:FREQ=DAILY&amp;VAR:RELITEM=&amp;VAR:CURRENCY=&amp;VAR:DB_TYPE=&amp;VAR:UNITS=M&amp;VAR:SHS_OUT_TY","PE=&amp;window=popup&amp;width=535&amp;height=425&amp;START_MAXIMIZED=FALSE&amp;Y=120"}</definedName>
    <definedName name="_266__FDSAUDITLINK__" hidden="1">{"fdsup://directions/FAT Viewer?action=UPDATE&amp;creator=factSet&amp;DYN_ARGS=true&amp;DOC_NAME=FAT:RGA_ENTRPR_VAL_MV_SOURCE_WINDOW.FAT&amp;VAR:ID1=BBBY&amp;VAR:SDATE=20031226&amp;VAR:FDATE=20030228&amp;VAR:FREQ=DAILY&amp;VAR:RELITEM=&amp;VAR:CURRENCY=&amp;VAR:DB_TYPE=&amp;VAR:UNITS=M&amp;VAR:SHS_OUT_TY","PE=&amp;window=popup&amp;width=535&amp;height=425&amp;START_MAXIMIZED=FALSE&amp;Y=120"}</definedName>
    <definedName name="_267__FDSAUDITLINK__" localSheetId="5" hidden="1">{"fdsup://directions/FAT Viewer?action=UPDATE&amp;creator=factSet&amp;DYN_ARGS=true&amp;DOC_NAME=FAT:RGA_ENTRPR_VAL_MV_SOURCE_WINDOW.FAT&amp;VAR:ID1=BBBY&amp;VAR:SDATE=20040102&amp;VAR:FDATE=20030228&amp;VAR:FREQ=DAILY&amp;VAR:RELITEM=&amp;VAR:CURRENCY=&amp;VAR:DB_TYPE=&amp;VAR:UNITS=M&amp;VAR:SHS_OUT_TY","PE=&amp;window=popup&amp;width=535&amp;height=425&amp;START_MAXIMIZED=FALSE&amp;Y=120"}</definedName>
    <definedName name="_267__FDSAUDITLINK__" hidden="1">{"fdsup://directions/FAT Viewer?action=UPDATE&amp;creator=factSet&amp;DYN_ARGS=true&amp;DOC_NAME=FAT:RGA_ENTRPR_VAL_MV_SOURCE_WINDOW.FAT&amp;VAR:ID1=BBBY&amp;VAR:SDATE=20040102&amp;VAR:FDATE=20030228&amp;VAR:FREQ=DAILY&amp;VAR:RELITEM=&amp;VAR:CURRENCY=&amp;VAR:DB_TYPE=&amp;VAR:UNITS=M&amp;VAR:SHS_OUT_TY","PE=&amp;window=popup&amp;width=535&amp;height=425&amp;START_MAXIMIZED=FALSE&amp;Y=120"}</definedName>
    <definedName name="_268__FDSAUDITLINK__" localSheetId="5" hidden="1">{"fdsup://directions/FAT Viewer?action=UPDATE&amp;creator=factSet&amp;DYN_ARGS=true&amp;DOC_NAME=FAT:RGA_ENTRPR_VAL_MV_SOURCE_WINDOW.FAT&amp;VAR:ID1=BBBY&amp;VAR:SDATE=20040109&amp;VAR:FDATE=20030228&amp;VAR:FREQ=DAILY&amp;VAR:RELITEM=&amp;VAR:CURRENCY=&amp;VAR:DB_TYPE=&amp;VAR:UNITS=M&amp;VAR:SHS_OUT_TY","PE=&amp;window=popup&amp;width=535&amp;height=425&amp;START_MAXIMIZED=FALSE&amp;Y=120"}</definedName>
    <definedName name="_268__FDSAUDITLINK__" hidden="1">{"fdsup://directions/FAT Viewer?action=UPDATE&amp;creator=factSet&amp;DYN_ARGS=true&amp;DOC_NAME=FAT:RGA_ENTRPR_VAL_MV_SOURCE_WINDOW.FAT&amp;VAR:ID1=BBBY&amp;VAR:SDATE=20040109&amp;VAR:FDATE=20030228&amp;VAR:FREQ=DAILY&amp;VAR:RELITEM=&amp;VAR:CURRENCY=&amp;VAR:DB_TYPE=&amp;VAR:UNITS=M&amp;VAR:SHS_OUT_TY","PE=&amp;window=popup&amp;width=535&amp;height=425&amp;START_MAXIMIZED=FALSE&amp;Y=120"}</definedName>
    <definedName name="_269__FDSAUDITLINK__" localSheetId="5" hidden="1">{"fdsup://directions/FAT Viewer?action=UPDATE&amp;creator=factSet&amp;DYN_ARGS=true&amp;DOC_NAME=FAT:RGA_ENTRPR_VAL_MV_SOURCE_WINDOW.FAT&amp;VAR:ID1=BBBY&amp;VAR:SDATE=20040116&amp;VAR:FDATE=20030228&amp;VAR:FREQ=DAILY&amp;VAR:RELITEM=&amp;VAR:CURRENCY=&amp;VAR:DB_TYPE=&amp;VAR:UNITS=M&amp;VAR:SHS_OUT_TY","PE=&amp;window=popup&amp;width=535&amp;height=425&amp;START_MAXIMIZED=FALSE&amp;Y=120"}</definedName>
    <definedName name="_269__FDSAUDITLINK__" hidden="1">{"fdsup://directions/FAT Viewer?action=UPDATE&amp;creator=factSet&amp;DYN_ARGS=true&amp;DOC_NAME=FAT:RGA_ENTRPR_VAL_MV_SOURCE_WINDOW.FAT&amp;VAR:ID1=BBBY&amp;VAR:SDATE=20040116&amp;VAR:FDATE=20030228&amp;VAR:FREQ=DAILY&amp;VAR:RELITEM=&amp;VAR:CURRENCY=&amp;VAR:DB_TYPE=&amp;VAR:UNITS=M&amp;VAR:SHS_OUT_TY","PE=&amp;window=popup&amp;width=535&amp;height=425&amp;START_MAXIMIZED=FALSE&amp;Y=120"}</definedName>
    <definedName name="_27__FDSAUDITLINK__" localSheetId="5" hidden="1">{"fdsup://directions/FAT Viewer?action=UPDATE&amp;creator=factSet&amp;DYN_ARGS=true&amp;DOC_NAME=FAT:RGA_ENTRPR_VAL_MV_SOURCE_WINDOW.FAT&amp;VAR:ID1=BBBY&amp;VAR:SDATE=19990528&amp;VAR:FDATE=19990226&amp;VAR:FREQ=DAILY&amp;VAR:RELITEM=&amp;VAR:CURRENCY=&amp;VAR:DB_TYPE=&amp;VAR:UNITS=M&amp;VAR:SHS_OUT_TY","PE=&amp;window=popup&amp;width=535&amp;height=425&amp;START_MAXIMIZED=FALSE&amp;Y=120"}</definedName>
    <definedName name="_27__FDSAUDITLINK__" hidden="1">{"fdsup://directions/FAT Viewer?action=UPDATE&amp;creator=factSet&amp;DYN_ARGS=true&amp;DOC_NAME=FAT:RGA_ENTRPR_VAL_MV_SOURCE_WINDOW.FAT&amp;VAR:ID1=BBBY&amp;VAR:SDATE=19990528&amp;VAR:FDATE=19990226&amp;VAR:FREQ=DAILY&amp;VAR:RELITEM=&amp;VAR:CURRENCY=&amp;VAR:DB_TYPE=&amp;VAR:UNITS=M&amp;VAR:SHS_OUT_TY","PE=&amp;window=popup&amp;width=535&amp;height=425&amp;START_MAXIMIZED=FALSE&amp;Y=120"}</definedName>
    <definedName name="_270__FDSAUDITLINK__" localSheetId="5" hidden="1">{"fdsup://directions/FAT Viewer?action=UPDATE&amp;creator=factSet&amp;DYN_ARGS=true&amp;DOC_NAME=FAT:RGA_ENTRPR_VAL_MV_SOURCE_WINDOW.FAT&amp;VAR:ID1=BBBY&amp;VAR:SDATE=20040123&amp;VAR:FDATE=20030228&amp;VAR:FREQ=DAILY&amp;VAR:RELITEM=&amp;VAR:CURRENCY=&amp;VAR:DB_TYPE=&amp;VAR:UNITS=M&amp;VAR:SHS_OUT_TY","PE=&amp;window=popup&amp;width=535&amp;height=425&amp;START_MAXIMIZED=FALSE&amp;Y=120"}</definedName>
    <definedName name="_270__FDSAUDITLINK__" hidden="1">{"fdsup://directions/FAT Viewer?action=UPDATE&amp;creator=factSet&amp;DYN_ARGS=true&amp;DOC_NAME=FAT:RGA_ENTRPR_VAL_MV_SOURCE_WINDOW.FAT&amp;VAR:ID1=BBBY&amp;VAR:SDATE=20040123&amp;VAR:FDATE=20030228&amp;VAR:FREQ=DAILY&amp;VAR:RELITEM=&amp;VAR:CURRENCY=&amp;VAR:DB_TYPE=&amp;VAR:UNITS=M&amp;VAR:SHS_OUT_TY","PE=&amp;window=popup&amp;width=535&amp;height=425&amp;START_MAXIMIZED=FALSE&amp;Y=120"}</definedName>
    <definedName name="_271__FDSAUDITLINK__" localSheetId="5" hidden="1">{"fdsup://directions/FAT Viewer?action=UPDATE&amp;creator=factSet&amp;DYN_ARGS=true&amp;DOC_NAME=FAT:RGA_ENTRPR_VAL_MV_SOURCE_WINDOW.FAT&amp;VAR:ID1=BBBY&amp;VAR:SDATE=20040130&amp;VAR:FDATE=20030228&amp;VAR:FREQ=DAILY&amp;VAR:RELITEM=&amp;VAR:CURRENCY=&amp;VAR:DB_TYPE=&amp;VAR:UNITS=M&amp;VAR:SHS_OUT_TY","PE=&amp;window=popup&amp;width=535&amp;height=425&amp;START_MAXIMIZED=FALSE&amp;Y=120"}</definedName>
    <definedName name="_271__FDSAUDITLINK__" hidden="1">{"fdsup://directions/FAT Viewer?action=UPDATE&amp;creator=factSet&amp;DYN_ARGS=true&amp;DOC_NAME=FAT:RGA_ENTRPR_VAL_MV_SOURCE_WINDOW.FAT&amp;VAR:ID1=BBBY&amp;VAR:SDATE=20040130&amp;VAR:FDATE=20030228&amp;VAR:FREQ=DAILY&amp;VAR:RELITEM=&amp;VAR:CURRENCY=&amp;VAR:DB_TYPE=&amp;VAR:UNITS=M&amp;VAR:SHS_OUT_TY","PE=&amp;window=popup&amp;width=535&amp;height=425&amp;START_MAXIMIZED=FALSE&amp;Y=120"}</definedName>
    <definedName name="_272__FDSAUDITLINK__" localSheetId="5" hidden="1">{"fdsup://directions/FAT Viewer?action=UPDATE&amp;creator=factSet&amp;DYN_ARGS=true&amp;DOC_NAME=FAT:RGA_ENTRPR_VAL_MV_SOURCE_WINDOW.FAT&amp;VAR:ID1=BBBY&amp;VAR:SDATE=20040206&amp;VAR:FDATE=20030228&amp;VAR:FREQ=DAILY&amp;VAR:RELITEM=&amp;VAR:CURRENCY=&amp;VAR:DB_TYPE=&amp;VAR:UNITS=M&amp;VAR:SHS_OUT_TY","PE=&amp;window=popup&amp;width=535&amp;height=425&amp;START_MAXIMIZED=FALSE&amp;Y=120"}</definedName>
    <definedName name="_272__FDSAUDITLINK__" hidden="1">{"fdsup://directions/FAT Viewer?action=UPDATE&amp;creator=factSet&amp;DYN_ARGS=true&amp;DOC_NAME=FAT:RGA_ENTRPR_VAL_MV_SOURCE_WINDOW.FAT&amp;VAR:ID1=BBBY&amp;VAR:SDATE=20040206&amp;VAR:FDATE=20030228&amp;VAR:FREQ=DAILY&amp;VAR:RELITEM=&amp;VAR:CURRENCY=&amp;VAR:DB_TYPE=&amp;VAR:UNITS=M&amp;VAR:SHS_OUT_TY","PE=&amp;window=popup&amp;width=535&amp;height=425&amp;START_MAXIMIZED=FALSE&amp;Y=120"}</definedName>
    <definedName name="_273__FDSAUDITLINK__" localSheetId="5" hidden="1">{"fdsup://directions/FAT Viewer?action=UPDATE&amp;creator=factSet&amp;DYN_ARGS=true&amp;DOC_NAME=FAT:RGA_ENTRPR_VAL_MV_SOURCE_WINDOW.FAT&amp;VAR:ID1=BBBY&amp;VAR:SDATE=20040213&amp;VAR:FDATE=20030228&amp;VAR:FREQ=DAILY&amp;VAR:RELITEM=&amp;VAR:CURRENCY=&amp;VAR:DB_TYPE=&amp;VAR:UNITS=M&amp;VAR:SHS_OUT_TY","PE=&amp;window=popup&amp;width=535&amp;height=425&amp;START_MAXIMIZED=FALSE&amp;Y=120"}</definedName>
    <definedName name="_273__FDSAUDITLINK__" hidden="1">{"fdsup://directions/FAT Viewer?action=UPDATE&amp;creator=factSet&amp;DYN_ARGS=true&amp;DOC_NAME=FAT:RGA_ENTRPR_VAL_MV_SOURCE_WINDOW.FAT&amp;VAR:ID1=BBBY&amp;VAR:SDATE=20040213&amp;VAR:FDATE=20030228&amp;VAR:FREQ=DAILY&amp;VAR:RELITEM=&amp;VAR:CURRENCY=&amp;VAR:DB_TYPE=&amp;VAR:UNITS=M&amp;VAR:SHS_OUT_TY","PE=&amp;window=popup&amp;width=535&amp;height=425&amp;START_MAXIMIZED=FALSE&amp;Y=120"}</definedName>
    <definedName name="_274__FDSAUDITLINK__" localSheetId="5" hidden="1">{"fdsup://directions/FAT Viewer?action=UPDATE&amp;creator=factSet&amp;DYN_ARGS=true&amp;DOC_NAME=FAT:RGA_ENTRPR_VAL_MV_SOURCE_WINDOW.FAT&amp;VAR:ID1=BBBY&amp;VAR:SDATE=20040220&amp;VAR:FDATE=20030228&amp;VAR:FREQ=DAILY&amp;VAR:RELITEM=&amp;VAR:CURRENCY=&amp;VAR:DB_TYPE=&amp;VAR:UNITS=M&amp;VAR:SHS_OUT_TY","PE=&amp;window=popup&amp;width=535&amp;height=425&amp;START_MAXIMIZED=FALSE&amp;Y=120"}</definedName>
    <definedName name="_274__FDSAUDITLINK__" hidden="1">{"fdsup://directions/FAT Viewer?action=UPDATE&amp;creator=factSet&amp;DYN_ARGS=true&amp;DOC_NAME=FAT:RGA_ENTRPR_VAL_MV_SOURCE_WINDOW.FAT&amp;VAR:ID1=BBBY&amp;VAR:SDATE=20040220&amp;VAR:FDATE=20030228&amp;VAR:FREQ=DAILY&amp;VAR:RELITEM=&amp;VAR:CURRENCY=&amp;VAR:DB_TYPE=&amp;VAR:UNITS=M&amp;VAR:SHS_OUT_TY","PE=&amp;window=popup&amp;width=535&amp;height=425&amp;START_MAXIMIZED=FALSE&amp;Y=120"}</definedName>
    <definedName name="_275__FDSAUDITLINK__" localSheetId="5" hidden="1">{"fdsup://directions/FAT Viewer?action=UPDATE&amp;creator=factSet&amp;DYN_ARGS=true&amp;DOC_NAME=FAT:RGA_ENTRPR_VAL_MV_SOURCE_WINDOW.FAT&amp;VAR:ID1=BBBY&amp;VAR:SDATE=20040227&amp;VAR:FDATE=20040227&amp;VAR:FREQ=DAILY&amp;VAR:RELITEM=&amp;VAR:CURRENCY=&amp;VAR:DB_TYPE=&amp;VAR:UNITS=M&amp;VAR:SHS_OUT_TY","PE=&amp;window=popup&amp;width=535&amp;height=425&amp;START_MAXIMIZED=FALSE&amp;Y=120"}</definedName>
    <definedName name="_275__FDSAUDITLINK__" hidden="1">{"fdsup://directions/FAT Viewer?action=UPDATE&amp;creator=factSet&amp;DYN_ARGS=true&amp;DOC_NAME=FAT:RGA_ENTRPR_VAL_MV_SOURCE_WINDOW.FAT&amp;VAR:ID1=BBBY&amp;VAR:SDATE=20040227&amp;VAR:FDATE=20040227&amp;VAR:FREQ=DAILY&amp;VAR:RELITEM=&amp;VAR:CURRENCY=&amp;VAR:DB_TYPE=&amp;VAR:UNITS=M&amp;VAR:SHS_OUT_TY","PE=&amp;window=popup&amp;width=535&amp;height=425&amp;START_MAXIMIZED=FALSE&amp;Y=120"}</definedName>
    <definedName name="_276__FDSAUDITLINK__" localSheetId="5" hidden="1">{"fdsup://directions/FAT Viewer?action=UPDATE&amp;creator=factSet&amp;DYN_ARGS=true&amp;DOC_NAME=FAT:RGA_ENTRPR_VAL_MV_SOURCE_WINDOW.FAT&amp;VAR:ID1=BBBY&amp;VAR:SDATE=20040305&amp;VAR:FDATE=20040227&amp;VAR:FREQ=DAILY&amp;VAR:RELITEM=&amp;VAR:CURRENCY=&amp;VAR:DB_TYPE=&amp;VAR:UNITS=M&amp;VAR:SHS_OUT_TY","PE=&amp;window=popup&amp;width=535&amp;height=425&amp;START_MAXIMIZED=FALSE&amp;Y=120"}</definedName>
    <definedName name="_276__FDSAUDITLINK__" hidden="1">{"fdsup://directions/FAT Viewer?action=UPDATE&amp;creator=factSet&amp;DYN_ARGS=true&amp;DOC_NAME=FAT:RGA_ENTRPR_VAL_MV_SOURCE_WINDOW.FAT&amp;VAR:ID1=BBBY&amp;VAR:SDATE=20040305&amp;VAR:FDATE=20040227&amp;VAR:FREQ=DAILY&amp;VAR:RELITEM=&amp;VAR:CURRENCY=&amp;VAR:DB_TYPE=&amp;VAR:UNITS=M&amp;VAR:SHS_OUT_TY","PE=&amp;window=popup&amp;width=535&amp;height=425&amp;START_MAXIMIZED=FALSE&amp;Y=120"}</definedName>
    <definedName name="_277__FDSAUDITLINK__" localSheetId="5" hidden="1">{"fdsup://directions/FAT Viewer?action=UPDATE&amp;creator=factSet&amp;DYN_ARGS=true&amp;DOC_NAME=FAT:RGA_ENTRPR_VAL_MV_SOURCE_WINDOW.FAT&amp;VAR:ID1=BBBY&amp;VAR:SDATE=20040312&amp;VAR:FDATE=20040227&amp;VAR:FREQ=DAILY&amp;VAR:RELITEM=&amp;VAR:CURRENCY=&amp;VAR:DB_TYPE=&amp;VAR:UNITS=M&amp;VAR:SHS_OUT_TY","PE=&amp;window=popup&amp;width=535&amp;height=425&amp;START_MAXIMIZED=FALSE&amp;Y=120"}</definedName>
    <definedName name="_277__FDSAUDITLINK__" hidden="1">{"fdsup://directions/FAT Viewer?action=UPDATE&amp;creator=factSet&amp;DYN_ARGS=true&amp;DOC_NAME=FAT:RGA_ENTRPR_VAL_MV_SOURCE_WINDOW.FAT&amp;VAR:ID1=BBBY&amp;VAR:SDATE=20040312&amp;VAR:FDATE=20040227&amp;VAR:FREQ=DAILY&amp;VAR:RELITEM=&amp;VAR:CURRENCY=&amp;VAR:DB_TYPE=&amp;VAR:UNITS=M&amp;VAR:SHS_OUT_TY","PE=&amp;window=popup&amp;width=535&amp;height=425&amp;START_MAXIMIZED=FALSE&amp;Y=120"}</definedName>
    <definedName name="_278__FDSAUDITLINK__" localSheetId="5" hidden="1">{"fdsup://directions/FAT Viewer?action=UPDATE&amp;creator=factSet&amp;DYN_ARGS=true&amp;DOC_NAME=FAT:RGA_ENTRPR_VAL_MV_SOURCE_WINDOW.FAT&amp;VAR:ID1=BBBY&amp;VAR:SDATE=20040319&amp;VAR:FDATE=20040227&amp;VAR:FREQ=DAILY&amp;VAR:RELITEM=&amp;VAR:CURRENCY=&amp;VAR:DB_TYPE=&amp;VAR:UNITS=M&amp;VAR:SHS_OUT_TY","PE=&amp;window=popup&amp;width=535&amp;height=425&amp;START_MAXIMIZED=FALSE&amp;Y=120"}</definedName>
    <definedName name="_278__FDSAUDITLINK__" hidden="1">{"fdsup://directions/FAT Viewer?action=UPDATE&amp;creator=factSet&amp;DYN_ARGS=true&amp;DOC_NAME=FAT:RGA_ENTRPR_VAL_MV_SOURCE_WINDOW.FAT&amp;VAR:ID1=BBBY&amp;VAR:SDATE=20040319&amp;VAR:FDATE=20040227&amp;VAR:FREQ=DAILY&amp;VAR:RELITEM=&amp;VAR:CURRENCY=&amp;VAR:DB_TYPE=&amp;VAR:UNITS=M&amp;VAR:SHS_OUT_TY","PE=&amp;window=popup&amp;width=535&amp;height=425&amp;START_MAXIMIZED=FALSE&amp;Y=120"}</definedName>
    <definedName name="_279__FDSAUDITLINK__" localSheetId="5" hidden="1">{"fdsup://directions/FAT Viewer?action=UPDATE&amp;creator=factSet&amp;DYN_ARGS=true&amp;DOC_NAME=FAT:RGA_ENTRPR_VAL_MV_SOURCE_WINDOW.FAT&amp;VAR:ID1=BBBY&amp;VAR:SDATE=20040326&amp;VAR:FDATE=20040227&amp;VAR:FREQ=DAILY&amp;VAR:RELITEM=&amp;VAR:CURRENCY=&amp;VAR:DB_TYPE=&amp;VAR:UNITS=M&amp;VAR:SHS_OUT_TY","PE=&amp;window=popup&amp;width=535&amp;height=425&amp;START_MAXIMIZED=FALSE&amp;Y=120"}</definedName>
    <definedName name="_279__FDSAUDITLINK__" hidden="1">{"fdsup://directions/FAT Viewer?action=UPDATE&amp;creator=factSet&amp;DYN_ARGS=true&amp;DOC_NAME=FAT:RGA_ENTRPR_VAL_MV_SOURCE_WINDOW.FAT&amp;VAR:ID1=BBBY&amp;VAR:SDATE=20040326&amp;VAR:FDATE=20040227&amp;VAR:FREQ=DAILY&amp;VAR:RELITEM=&amp;VAR:CURRENCY=&amp;VAR:DB_TYPE=&amp;VAR:UNITS=M&amp;VAR:SHS_OUT_TY","PE=&amp;window=popup&amp;width=535&amp;height=425&amp;START_MAXIMIZED=FALSE&amp;Y=120"}</definedName>
    <definedName name="_28__FDSAUDITLINK__" localSheetId="5" hidden="1">{"fdsup://directions/FAT Viewer?action=UPDATE&amp;creator=factSet&amp;DYN_ARGS=true&amp;DOC_NAME=FAT:RGA_ENTRPR_VAL_MV_SOURCE_WINDOW.FAT&amp;VAR:ID1=BBBY&amp;VAR:SDATE=19990604&amp;VAR:FDATE=19990226&amp;VAR:FREQ=DAILY&amp;VAR:RELITEM=&amp;VAR:CURRENCY=&amp;VAR:DB_TYPE=&amp;VAR:UNITS=M&amp;VAR:SHS_OUT_TY","PE=&amp;window=popup&amp;width=535&amp;height=425&amp;START_MAXIMIZED=FALSE&amp;Y=120"}</definedName>
    <definedName name="_28__FDSAUDITLINK__" hidden="1">{"fdsup://directions/FAT Viewer?action=UPDATE&amp;creator=factSet&amp;DYN_ARGS=true&amp;DOC_NAME=FAT:RGA_ENTRPR_VAL_MV_SOURCE_WINDOW.FAT&amp;VAR:ID1=BBBY&amp;VAR:SDATE=19990604&amp;VAR:FDATE=19990226&amp;VAR:FREQ=DAILY&amp;VAR:RELITEM=&amp;VAR:CURRENCY=&amp;VAR:DB_TYPE=&amp;VAR:UNITS=M&amp;VAR:SHS_OUT_TY","PE=&amp;window=popup&amp;width=535&amp;height=425&amp;START_MAXIMIZED=FALSE&amp;Y=120"}</definedName>
    <definedName name="_280__FDSAUDITLINK__" localSheetId="5" hidden="1">{"fdsup://directions/FAT Viewer?action=UPDATE&amp;creator=factSet&amp;DYN_ARGS=true&amp;DOC_NAME=FAT:RGA_ENTRPR_VAL_MV_SOURCE_WINDOW.FAT&amp;VAR:ID1=BBBY&amp;VAR:SDATE=20040402&amp;VAR:FDATE=20040227&amp;VAR:FREQ=DAILY&amp;VAR:RELITEM=&amp;VAR:CURRENCY=&amp;VAR:DB_TYPE=&amp;VAR:UNITS=M&amp;VAR:SHS_OUT_TY","PE=&amp;window=popup&amp;width=535&amp;height=425&amp;START_MAXIMIZED=FALSE&amp;Y=120"}</definedName>
    <definedName name="_280__FDSAUDITLINK__" hidden="1">{"fdsup://directions/FAT Viewer?action=UPDATE&amp;creator=factSet&amp;DYN_ARGS=true&amp;DOC_NAME=FAT:RGA_ENTRPR_VAL_MV_SOURCE_WINDOW.FAT&amp;VAR:ID1=BBBY&amp;VAR:SDATE=20040402&amp;VAR:FDATE=20040227&amp;VAR:FREQ=DAILY&amp;VAR:RELITEM=&amp;VAR:CURRENCY=&amp;VAR:DB_TYPE=&amp;VAR:UNITS=M&amp;VAR:SHS_OUT_TY","PE=&amp;window=popup&amp;width=535&amp;height=425&amp;START_MAXIMIZED=FALSE&amp;Y=120"}</definedName>
    <definedName name="_281__FDSAUDITLINK__" localSheetId="5" hidden="1">{"fdsup://directions/FAT Viewer?action=UPDATE&amp;creator=factSet&amp;DYN_ARGS=true&amp;DOC_NAME=FAT:RGA_ENTRPR_VAL_MV_SOURCE_WINDOW.FAT&amp;VAR:ID1=BBBY&amp;VAR:SDATE=20040408&amp;VAR:FDATE=20040227&amp;VAR:FREQ=DAILY&amp;VAR:RELITEM=&amp;VAR:CURRENCY=&amp;VAR:DB_TYPE=&amp;VAR:UNITS=M&amp;VAR:SHS_OUT_TY","PE=&amp;window=popup&amp;width=535&amp;height=425&amp;START_MAXIMIZED=FALSE&amp;Y=120"}</definedName>
    <definedName name="_281__FDSAUDITLINK__" hidden="1">{"fdsup://directions/FAT Viewer?action=UPDATE&amp;creator=factSet&amp;DYN_ARGS=true&amp;DOC_NAME=FAT:RGA_ENTRPR_VAL_MV_SOURCE_WINDOW.FAT&amp;VAR:ID1=BBBY&amp;VAR:SDATE=20040408&amp;VAR:FDATE=20040227&amp;VAR:FREQ=DAILY&amp;VAR:RELITEM=&amp;VAR:CURRENCY=&amp;VAR:DB_TYPE=&amp;VAR:UNITS=M&amp;VAR:SHS_OUT_TY","PE=&amp;window=popup&amp;width=535&amp;height=425&amp;START_MAXIMIZED=FALSE&amp;Y=120"}</definedName>
    <definedName name="_282__FDSAUDITLINK__" localSheetId="5" hidden="1">{"fdsup://directions/FAT Viewer?action=UPDATE&amp;creator=factSet&amp;DYN_ARGS=true&amp;DOC_NAME=FAT:RGA_ENTRPR_VAL_MV_SOURCE_WINDOW.FAT&amp;VAR:ID1=BBBY&amp;VAR:SDATE=20040416&amp;VAR:FDATE=20040227&amp;VAR:FREQ=DAILY&amp;VAR:RELITEM=&amp;VAR:CURRENCY=&amp;VAR:DB_TYPE=&amp;VAR:UNITS=M&amp;VAR:SHS_OUT_TY","PE=&amp;window=popup&amp;width=535&amp;height=425&amp;START_MAXIMIZED=FALSE&amp;Y=120"}</definedName>
    <definedName name="_282__FDSAUDITLINK__" hidden="1">{"fdsup://directions/FAT Viewer?action=UPDATE&amp;creator=factSet&amp;DYN_ARGS=true&amp;DOC_NAME=FAT:RGA_ENTRPR_VAL_MV_SOURCE_WINDOW.FAT&amp;VAR:ID1=BBBY&amp;VAR:SDATE=20040416&amp;VAR:FDATE=20040227&amp;VAR:FREQ=DAILY&amp;VAR:RELITEM=&amp;VAR:CURRENCY=&amp;VAR:DB_TYPE=&amp;VAR:UNITS=M&amp;VAR:SHS_OUT_TY","PE=&amp;window=popup&amp;width=535&amp;height=425&amp;START_MAXIMIZED=FALSE&amp;Y=120"}</definedName>
    <definedName name="_283__FDSAUDITLINK__" localSheetId="5" hidden="1">{"fdsup://directions/FAT Viewer?action=UPDATE&amp;creator=factSet&amp;DYN_ARGS=true&amp;DOC_NAME=FAT:RGA_ENTRPR_VAL_MV_SOURCE_WINDOW.FAT&amp;VAR:ID1=BBBY&amp;VAR:SDATE=20040423&amp;VAR:FDATE=20040227&amp;VAR:FREQ=DAILY&amp;VAR:RELITEM=&amp;VAR:CURRENCY=&amp;VAR:DB_TYPE=&amp;VAR:UNITS=M&amp;VAR:SHS_OUT_TY","PE=&amp;window=popup&amp;width=535&amp;height=425&amp;START_MAXIMIZED=FALSE&amp;Y=120"}</definedName>
    <definedName name="_283__FDSAUDITLINK__" hidden="1">{"fdsup://directions/FAT Viewer?action=UPDATE&amp;creator=factSet&amp;DYN_ARGS=true&amp;DOC_NAME=FAT:RGA_ENTRPR_VAL_MV_SOURCE_WINDOW.FAT&amp;VAR:ID1=BBBY&amp;VAR:SDATE=20040423&amp;VAR:FDATE=20040227&amp;VAR:FREQ=DAILY&amp;VAR:RELITEM=&amp;VAR:CURRENCY=&amp;VAR:DB_TYPE=&amp;VAR:UNITS=M&amp;VAR:SHS_OUT_TY","PE=&amp;window=popup&amp;width=535&amp;height=425&amp;START_MAXIMIZED=FALSE&amp;Y=120"}</definedName>
    <definedName name="_284__FDSAUDITLINK__" localSheetId="5" hidden="1">{"fdsup://directions/FAT Viewer?action=UPDATE&amp;creator=factSet&amp;DYN_ARGS=true&amp;DOC_NAME=FAT:RGA_ENTRPR_VAL_MV_SOURCE_WINDOW.FAT&amp;VAR:ID1=BBBY&amp;VAR:SDATE=20040430&amp;VAR:FDATE=20040227&amp;VAR:FREQ=DAILY&amp;VAR:RELITEM=&amp;VAR:CURRENCY=&amp;VAR:DB_TYPE=&amp;VAR:UNITS=M&amp;VAR:SHS_OUT_TY","PE=&amp;window=popup&amp;width=535&amp;height=425&amp;START_MAXIMIZED=FALSE&amp;Y=120"}</definedName>
    <definedName name="_284__FDSAUDITLINK__" hidden="1">{"fdsup://directions/FAT Viewer?action=UPDATE&amp;creator=factSet&amp;DYN_ARGS=true&amp;DOC_NAME=FAT:RGA_ENTRPR_VAL_MV_SOURCE_WINDOW.FAT&amp;VAR:ID1=BBBY&amp;VAR:SDATE=20040430&amp;VAR:FDATE=20040227&amp;VAR:FREQ=DAILY&amp;VAR:RELITEM=&amp;VAR:CURRENCY=&amp;VAR:DB_TYPE=&amp;VAR:UNITS=M&amp;VAR:SHS_OUT_TY","PE=&amp;window=popup&amp;width=535&amp;height=425&amp;START_MAXIMIZED=FALSE&amp;Y=120"}</definedName>
    <definedName name="_285__FDSAUDITLINK__" localSheetId="5" hidden="1">{"fdsup://directions/FAT Viewer?action=UPDATE&amp;creator=factSet&amp;DYN_ARGS=true&amp;DOC_NAME=FAT:RGA_ENTRPR_VAL_MV_SOURCE_WINDOW.FAT&amp;VAR:ID1=BBBY&amp;VAR:SDATE=20040507&amp;VAR:FDATE=20040227&amp;VAR:FREQ=DAILY&amp;VAR:RELITEM=&amp;VAR:CURRENCY=&amp;VAR:DB_TYPE=&amp;VAR:UNITS=M&amp;VAR:SHS_OUT_TY","PE=&amp;window=popup&amp;width=535&amp;height=425&amp;START_MAXIMIZED=FALSE&amp;Y=120"}</definedName>
    <definedName name="_285__FDSAUDITLINK__" hidden="1">{"fdsup://directions/FAT Viewer?action=UPDATE&amp;creator=factSet&amp;DYN_ARGS=true&amp;DOC_NAME=FAT:RGA_ENTRPR_VAL_MV_SOURCE_WINDOW.FAT&amp;VAR:ID1=BBBY&amp;VAR:SDATE=20040507&amp;VAR:FDATE=20040227&amp;VAR:FREQ=DAILY&amp;VAR:RELITEM=&amp;VAR:CURRENCY=&amp;VAR:DB_TYPE=&amp;VAR:UNITS=M&amp;VAR:SHS_OUT_TY","PE=&amp;window=popup&amp;width=535&amp;height=425&amp;START_MAXIMIZED=FALSE&amp;Y=120"}</definedName>
    <definedName name="_286__FDSAUDITLINK__" localSheetId="5" hidden="1">{"fdsup://directions/FAT Viewer?action=UPDATE&amp;creator=factSet&amp;DYN_ARGS=true&amp;DOC_NAME=FAT:RGA_ENTRPR_VAL_MV_SOURCE_WINDOW.FAT&amp;VAR:ID1=BBBY&amp;VAR:SDATE=20040514&amp;VAR:FDATE=20040227&amp;VAR:FREQ=DAILY&amp;VAR:RELITEM=&amp;VAR:CURRENCY=&amp;VAR:DB_TYPE=&amp;VAR:UNITS=M&amp;VAR:SHS_OUT_TY","PE=&amp;window=popup&amp;width=535&amp;height=425&amp;START_MAXIMIZED=FALSE&amp;Y=120"}</definedName>
    <definedName name="_286__FDSAUDITLINK__" hidden="1">{"fdsup://directions/FAT Viewer?action=UPDATE&amp;creator=factSet&amp;DYN_ARGS=true&amp;DOC_NAME=FAT:RGA_ENTRPR_VAL_MV_SOURCE_WINDOW.FAT&amp;VAR:ID1=BBBY&amp;VAR:SDATE=20040514&amp;VAR:FDATE=20040227&amp;VAR:FREQ=DAILY&amp;VAR:RELITEM=&amp;VAR:CURRENCY=&amp;VAR:DB_TYPE=&amp;VAR:UNITS=M&amp;VAR:SHS_OUT_TY","PE=&amp;window=popup&amp;width=535&amp;height=425&amp;START_MAXIMIZED=FALSE&amp;Y=120"}</definedName>
    <definedName name="_287__FDSAUDITLINK__" localSheetId="5" hidden="1">{"fdsup://directions/FAT Viewer?action=UPDATE&amp;creator=factSet&amp;DYN_ARGS=true&amp;DOC_NAME=FAT:RGA_ENTRPR_VAL_MV_SOURCE_WINDOW.FAT&amp;VAR:ID1=BBBY&amp;VAR:SDATE=20040521&amp;VAR:FDATE=20040227&amp;VAR:FREQ=DAILY&amp;VAR:RELITEM=&amp;VAR:CURRENCY=&amp;VAR:DB_TYPE=&amp;VAR:UNITS=M&amp;VAR:SHS_OUT_TY","PE=&amp;window=popup&amp;width=535&amp;height=425&amp;START_MAXIMIZED=FALSE&amp;Y=120"}</definedName>
    <definedName name="_287__FDSAUDITLINK__" hidden="1">{"fdsup://directions/FAT Viewer?action=UPDATE&amp;creator=factSet&amp;DYN_ARGS=true&amp;DOC_NAME=FAT:RGA_ENTRPR_VAL_MV_SOURCE_WINDOW.FAT&amp;VAR:ID1=BBBY&amp;VAR:SDATE=20040521&amp;VAR:FDATE=20040227&amp;VAR:FREQ=DAILY&amp;VAR:RELITEM=&amp;VAR:CURRENCY=&amp;VAR:DB_TYPE=&amp;VAR:UNITS=M&amp;VAR:SHS_OUT_TY","PE=&amp;window=popup&amp;width=535&amp;height=425&amp;START_MAXIMIZED=FALSE&amp;Y=120"}</definedName>
    <definedName name="_288__FDSAUDITLINK__" localSheetId="5" hidden="1">{"fdsup://directions/FAT Viewer?action=UPDATE&amp;creator=factSet&amp;DYN_ARGS=true&amp;DOC_NAME=FAT:RGA_ENTRPR_VAL_MV_SOURCE_WINDOW.FAT&amp;VAR:ID1=BBBY&amp;VAR:SDATE=20040528&amp;VAR:FDATE=20040227&amp;VAR:FREQ=DAILY&amp;VAR:RELITEM=&amp;VAR:CURRENCY=&amp;VAR:DB_TYPE=&amp;VAR:UNITS=M&amp;VAR:SHS_OUT_TY","PE=&amp;window=popup&amp;width=535&amp;height=425&amp;START_MAXIMIZED=FALSE&amp;Y=120"}</definedName>
    <definedName name="_288__FDSAUDITLINK__" hidden="1">{"fdsup://directions/FAT Viewer?action=UPDATE&amp;creator=factSet&amp;DYN_ARGS=true&amp;DOC_NAME=FAT:RGA_ENTRPR_VAL_MV_SOURCE_WINDOW.FAT&amp;VAR:ID1=BBBY&amp;VAR:SDATE=20040528&amp;VAR:FDATE=20040227&amp;VAR:FREQ=DAILY&amp;VAR:RELITEM=&amp;VAR:CURRENCY=&amp;VAR:DB_TYPE=&amp;VAR:UNITS=M&amp;VAR:SHS_OUT_TY","PE=&amp;window=popup&amp;width=535&amp;height=425&amp;START_MAXIMIZED=FALSE&amp;Y=120"}</definedName>
    <definedName name="_289__FDSAUDITLINK__" localSheetId="5" hidden="1">{"fdsup://directions/FAT Viewer?action=UPDATE&amp;creator=factSet&amp;DYN_ARGS=true&amp;DOC_NAME=FAT:RGA_ENTRPR_VAL_MV_SOURCE_WINDOW.FAT&amp;VAR:ID1=BBBY&amp;VAR:SDATE=20040604&amp;VAR:FDATE=20040227&amp;VAR:FREQ=DAILY&amp;VAR:RELITEM=&amp;VAR:CURRENCY=&amp;VAR:DB_TYPE=&amp;VAR:UNITS=M&amp;VAR:SHS_OUT_TY","PE=&amp;window=popup&amp;width=535&amp;height=425&amp;START_MAXIMIZED=FALSE&amp;Y=120"}</definedName>
    <definedName name="_289__FDSAUDITLINK__" hidden="1">{"fdsup://directions/FAT Viewer?action=UPDATE&amp;creator=factSet&amp;DYN_ARGS=true&amp;DOC_NAME=FAT:RGA_ENTRPR_VAL_MV_SOURCE_WINDOW.FAT&amp;VAR:ID1=BBBY&amp;VAR:SDATE=20040604&amp;VAR:FDATE=20040227&amp;VAR:FREQ=DAILY&amp;VAR:RELITEM=&amp;VAR:CURRENCY=&amp;VAR:DB_TYPE=&amp;VAR:UNITS=M&amp;VAR:SHS_OUT_TY","PE=&amp;window=popup&amp;width=535&amp;height=425&amp;START_MAXIMIZED=FALSE&amp;Y=120"}</definedName>
    <definedName name="_29__FDSAUDITLINK__" localSheetId="5" hidden="1">{"fdsup://directions/FAT Viewer?action=UPDATE&amp;creator=factSet&amp;DYN_ARGS=true&amp;DOC_NAME=FAT:RGA_ENTRPR_VAL_MV_SOURCE_WINDOW.FAT&amp;VAR:ID1=BBBY&amp;VAR:SDATE=19990611&amp;VAR:FDATE=19990226&amp;VAR:FREQ=DAILY&amp;VAR:RELITEM=&amp;VAR:CURRENCY=&amp;VAR:DB_TYPE=&amp;VAR:UNITS=M&amp;VAR:SHS_OUT_TY","PE=&amp;window=popup&amp;width=535&amp;height=425&amp;START_MAXIMIZED=FALSE&amp;Y=120"}</definedName>
    <definedName name="_29__FDSAUDITLINK__" hidden="1">{"fdsup://directions/FAT Viewer?action=UPDATE&amp;creator=factSet&amp;DYN_ARGS=true&amp;DOC_NAME=FAT:RGA_ENTRPR_VAL_MV_SOURCE_WINDOW.FAT&amp;VAR:ID1=BBBY&amp;VAR:SDATE=19990611&amp;VAR:FDATE=19990226&amp;VAR:FREQ=DAILY&amp;VAR:RELITEM=&amp;VAR:CURRENCY=&amp;VAR:DB_TYPE=&amp;VAR:UNITS=M&amp;VAR:SHS_OUT_TY","PE=&amp;window=popup&amp;width=535&amp;height=425&amp;START_MAXIMIZED=FALSE&amp;Y=120"}</definedName>
    <definedName name="_290__FDSAUDITLINK__" localSheetId="5" hidden="1">{"fdsup://directions/FAT Viewer?action=UPDATE&amp;creator=factSet&amp;DYN_ARGS=true&amp;DOC_NAME=FAT:RGA_ENTRPR_VAL_MV_SOURCE_WINDOW.FAT&amp;VAR:ID1=BBBY&amp;VAR:SDATE=20040610&amp;VAR:FDATE=20040227&amp;VAR:FREQ=DAILY&amp;VAR:RELITEM=&amp;VAR:CURRENCY=&amp;VAR:DB_TYPE=&amp;VAR:UNITS=M&amp;VAR:SHS_OUT_TY","PE=&amp;window=popup&amp;width=535&amp;height=425&amp;START_MAXIMIZED=FALSE&amp;Y=120"}</definedName>
    <definedName name="_290__FDSAUDITLINK__" hidden="1">{"fdsup://directions/FAT Viewer?action=UPDATE&amp;creator=factSet&amp;DYN_ARGS=true&amp;DOC_NAME=FAT:RGA_ENTRPR_VAL_MV_SOURCE_WINDOW.FAT&amp;VAR:ID1=BBBY&amp;VAR:SDATE=20040610&amp;VAR:FDATE=20040227&amp;VAR:FREQ=DAILY&amp;VAR:RELITEM=&amp;VAR:CURRENCY=&amp;VAR:DB_TYPE=&amp;VAR:UNITS=M&amp;VAR:SHS_OUT_TY","PE=&amp;window=popup&amp;width=535&amp;height=425&amp;START_MAXIMIZED=FALSE&amp;Y=120"}</definedName>
    <definedName name="_291__FDSAUDITLINK__" localSheetId="5" hidden="1">{"fdsup://directions/FAT Viewer?action=UPDATE&amp;creator=factSet&amp;DYN_ARGS=true&amp;DOC_NAME=FAT:RGA_ENTRPR_VAL_MV_SOURCE_WINDOW.FAT&amp;VAR:ID1=BBBY&amp;VAR:SDATE=20040618&amp;VAR:FDATE=20040227&amp;VAR:FREQ=DAILY&amp;VAR:RELITEM=&amp;VAR:CURRENCY=&amp;VAR:DB_TYPE=&amp;VAR:UNITS=M&amp;VAR:SHS_OUT_TY","PE=&amp;window=popup&amp;width=535&amp;height=425&amp;START_MAXIMIZED=FALSE&amp;Y=120"}</definedName>
    <definedName name="_291__FDSAUDITLINK__" hidden="1">{"fdsup://directions/FAT Viewer?action=UPDATE&amp;creator=factSet&amp;DYN_ARGS=true&amp;DOC_NAME=FAT:RGA_ENTRPR_VAL_MV_SOURCE_WINDOW.FAT&amp;VAR:ID1=BBBY&amp;VAR:SDATE=20040618&amp;VAR:FDATE=20040227&amp;VAR:FREQ=DAILY&amp;VAR:RELITEM=&amp;VAR:CURRENCY=&amp;VAR:DB_TYPE=&amp;VAR:UNITS=M&amp;VAR:SHS_OUT_TY","PE=&amp;window=popup&amp;width=535&amp;height=425&amp;START_MAXIMIZED=FALSE&amp;Y=120"}</definedName>
    <definedName name="_292__FDSAUDITLINK__" localSheetId="5" hidden="1">{"fdsup://directions/FAT Viewer?action=UPDATE&amp;creator=factSet&amp;DYN_ARGS=true&amp;DOC_NAME=FAT:RGA_ENTRPR_VAL_MV_SOURCE_WINDOW.FAT&amp;VAR:ID1=BBBY&amp;VAR:SDATE=20040625&amp;VAR:FDATE=20040227&amp;VAR:FREQ=DAILY&amp;VAR:RELITEM=&amp;VAR:CURRENCY=&amp;VAR:DB_TYPE=&amp;VAR:UNITS=M&amp;VAR:SHS_OUT_TY","PE=&amp;window=popup&amp;width=535&amp;height=425&amp;START_MAXIMIZED=FALSE&amp;Y=120"}</definedName>
    <definedName name="_292__FDSAUDITLINK__" hidden="1">{"fdsup://directions/FAT Viewer?action=UPDATE&amp;creator=factSet&amp;DYN_ARGS=true&amp;DOC_NAME=FAT:RGA_ENTRPR_VAL_MV_SOURCE_WINDOW.FAT&amp;VAR:ID1=BBBY&amp;VAR:SDATE=20040625&amp;VAR:FDATE=20040227&amp;VAR:FREQ=DAILY&amp;VAR:RELITEM=&amp;VAR:CURRENCY=&amp;VAR:DB_TYPE=&amp;VAR:UNITS=M&amp;VAR:SHS_OUT_TY","PE=&amp;window=popup&amp;width=535&amp;height=425&amp;START_MAXIMIZED=FALSE&amp;Y=120"}</definedName>
    <definedName name="_293__FDSAUDITLINK__" localSheetId="5" hidden="1">{"fdsup://directions/FAT Viewer?action=UPDATE&amp;creator=factSet&amp;DYN_ARGS=true&amp;DOC_NAME=FAT:RGA_ENTRPR_VAL_MV_SOURCE_WINDOW.FAT&amp;VAR:ID1=BBBY&amp;VAR:SDATE=20040702&amp;VAR:FDATE=20040227&amp;VAR:FREQ=DAILY&amp;VAR:RELITEM=&amp;VAR:CURRENCY=&amp;VAR:DB_TYPE=&amp;VAR:UNITS=M&amp;VAR:SHS_OUT_TY","PE=&amp;window=popup&amp;width=535&amp;height=425&amp;START_MAXIMIZED=FALSE&amp;Y=120"}</definedName>
    <definedName name="_293__FDSAUDITLINK__" hidden="1">{"fdsup://directions/FAT Viewer?action=UPDATE&amp;creator=factSet&amp;DYN_ARGS=true&amp;DOC_NAME=FAT:RGA_ENTRPR_VAL_MV_SOURCE_WINDOW.FAT&amp;VAR:ID1=BBBY&amp;VAR:SDATE=20040702&amp;VAR:FDATE=20040227&amp;VAR:FREQ=DAILY&amp;VAR:RELITEM=&amp;VAR:CURRENCY=&amp;VAR:DB_TYPE=&amp;VAR:UNITS=M&amp;VAR:SHS_OUT_TY","PE=&amp;window=popup&amp;width=535&amp;height=425&amp;START_MAXIMIZED=FALSE&amp;Y=120"}</definedName>
    <definedName name="_294__FDSAUDITLINK__" localSheetId="5" hidden="1">{"fdsup://directions/FAT Viewer?action=UPDATE&amp;creator=factSet&amp;DYN_ARGS=true&amp;DOC_NAME=FAT:RGA_ENTRPR_VAL_MV_SOURCE_WINDOW.FAT&amp;VAR:ID1=BBBY&amp;VAR:SDATE=20040709&amp;VAR:FDATE=20040227&amp;VAR:FREQ=DAILY&amp;VAR:RELITEM=&amp;VAR:CURRENCY=&amp;VAR:DB_TYPE=&amp;VAR:UNITS=M&amp;VAR:SHS_OUT_TY","PE=&amp;window=popup&amp;width=535&amp;height=425&amp;START_MAXIMIZED=FALSE&amp;Y=120"}</definedName>
    <definedName name="_294__FDSAUDITLINK__" hidden="1">{"fdsup://directions/FAT Viewer?action=UPDATE&amp;creator=factSet&amp;DYN_ARGS=true&amp;DOC_NAME=FAT:RGA_ENTRPR_VAL_MV_SOURCE_WINDOW.FAT&amp;VAR:ID1=BBBY&amp;VAR:SDATE=20040709&amp;VAR:FDATE=20040227&amp;VAR:FREQ=DAILY&amp;VAR:RELITEM=&amp;VAR:CURRENCY=&amp;VAR:DB_TYPE=&amp;VAR:UNITS=M&amp;VAR:SHS_OUT_TY","PE=&amp;window=popup&amp;width=535&amp;height=425&amp;START_MAXIMIZED=FALSE&amp;Y=120"}</definedName>
    <definedName name="_295__FDSAUDITLINK__" localSheetId="5" hidden="1">{"fdsup://directions/FAT Viewer?action=UPDATE&amp;creator=factSet&amp;DYN_ARGS=true&amp;DOC_NAME=FAT:RGA_ENTRPR_VAL_MV_SOURCE_WINDOW.FAT&amp;VAR:ID1=BBBY&amp;VAR:SDATE=20040716&amp;VAR:FDATE=20040227&amp;VAR:FREQ=DAILY&amp;VAR:RELITEM=&amp;VAR:CURRENCY=&amp;VAR:DB_TYPE=&amp;VAR:UNITS=M&amp;VAR:SHS_OUT_TY","PE=&amp;window=popup&amp;width=535&amp;height=425&amp;START_MAXIMIZED=FALSE&amp;Y=120"}</definedName>
    <definedName name="_295__FDSAUDITLINK__" hidden="1">{"fdsup://directions/FAT Viewer?action=UPDATE&amp;creator=factSet&amp;DYN_ARGS=true&amp;DOC_NAME=FAT:RGA_ENTRPR_VAL_MV_SOURCE_WINDOW.FAT&amp;VAR:ID1=BBBY&amp;VAR:SDATE=20040716&amp;VAR:FDATE=20040227&amp;VAR:FREQ=DAILY&amp;VAR:RELITEM=&amp;VAR:CURRENCY=&amp;VAR:DB_TYPE=&amp;VAR:UNITS=M&amp;VAR:SHS_OUT_TY","PE=&amp;window=popup&amp;width=535&amp;height=425&amp;START_MAXIMIZED=FALSE&amp;Y=120"}</definedName>
    <definedName name="_296__FDSAUDITLINK__" localSheetId="5" hidden="1">{"fdsup://directions/FAT Viewer?action=UPDATE&amp;creator=factSet&amp;DYN_ARGS=true&amp;DOC_NAME=FAT:RGA_ENTRPR_VAL_MV_SOURCE_WINDOW.FAT&amp;VAR:ID1=BBBY&amp;VAR:SDATE=20040723&amp;VAR:FDATE=20040227&amp;VAR:FREQ=DAILY&amp;VAR:RELITEM=&amp;VAR:CURRENCY=&amp;VAR:DB_TYPE=&amp;VAR:UNITS=M&amp;VAR:SHS_OUT_TY","PE=&amp;window=popup&amp;width=535&amp;height=425&amp;START_MAXIMIZED=FALSE&amp;Y=120"}</definedName>
    <definedName name="_296__FDSAUDITLINK__" hidden="1">{"fdsup://directions/FAT Viewer?action=UPDATE&amp;creator=factSet&amp;DYN_ARGS=true&amp;DOC_NAME=FAT:RGA_ENTRPR_VAL_MV_SOURCE_WINDOW.FAT&amp;VAR:ID1=BBBY&amp;VAR:SDATE=20040723&amp;VAR:FDATE=20040227&amp;VAR:FREQ=DAILY&amp;VAR:RELITEM=&amp;VAR:CURRENCY=&amp;VAR:DB_TYPE=&amp;VAR:UNITS=M&amp;VAR:SHS_OUT_TY","PE=&amp;window=popup&amp;width=535&amp;height=425&amp;START_MAXIMIZED=FALSE&amp;Y=120"}</definedName>
    <definedName name="_297__FDSAUDITLINK__" localSheetId="5" hidden="1">{"fdsup://directions/FAT Viewer?action=UPDATE&amp;creator=factSet&amp;DYN_ARGS=true&amp;DOC_NAME=FAT:RGA_ENTRPR_VAL_MV_SOURCE_WINDOW.FAT&amp;VAR:ID1=BBBY&amp;VAR:SDATE=20040730&amp;VAR:FDATE=20040227&amp;VAR:FREQ=DAILY&amp;VAR:RELITEM=&amp;VAR:CURRENCY=&amp;VAR:DB_TYPE=&amp;VAR:UNITS=M&amp;VAR:SHS_OUT_TY","PE=&amp;window=popup&amp;width=535&amp;height=425&amp;START_MAXIMIZED=FALSE&amp;Y=120"}</definedName>
    <definedName name="_297__FDSAUDITLINK__" hidden="1">{"fdsup://directions/FAT Viewer?action=UPDATE&amp;creator=factSet&amp;DYN_ARGS=true&amp;DOC_NAME=FAT:RGA_ENTRPR_VAL_MV_SOURCE_WINDOW.FAT&amp;VAR:ID1=BBBY&amp;VAR:SDATE=20040730&amp;VAR:FDATE=20040227&amp;VAR:FREQ=DAILY&amp;VAR:RELITEM=&amp;VAR:CURRENCY=&amp;VAR:DB_TYPE=&amp;VAR:UNITS=M&amp;VAR:SHS_OUT_TY","PE=&amp;window=popup&amp;width=535&amp;height=425&amp;START_MAXIMIZED=FALSE&amp;Y=120"}</definedName>
    <definedName name="_298__FDSAUDITLINK__" localSheetId="5" hidden="1">{"fdsup://directions/FAT Viewer?action=UPDATE&amp;creator=factSet&amp;DYN_ARGS=true&amp;DOC_NAME=FAT:RGA_ENTRPR_VAL_MV_SOURCE_WINDOW.FAT&amp;VAR:ID1=BBBY&amp;VAR:SDATE=20040806&amp;VAR:FDATE=20040227&amp;VAR:FREQ=DAILY&amp;VAR:RELITEM=&amp;VAR:CURRENCY=&amp;VAR:DB_TYPE=&amp;VAR:UNITS=M&amp;VAR:SHS_OUT_TY","PE=&amp;window=popup&amp;width=535&amp;height=425&amp;START_MAXIMIZED=FALSE&amp;Y=120"}</definedName>
    <definedName name="_298__FDSAUDITLINK__" hidden="1">{"fdsup://directions/FAT Viewer?action=UPDATE&amp;creator=factSet&amp;DYN_ARGS=true&amp;DOC_NAME=FAT:RGA_ENTRPR_VAL_MV_SOURCE_WINDOW.FAT&amp;VAR:ID1=BBBY&amp;VAR:SDATE=20040806&amp;VAR:FDATE=20040227&amp;VAR:FREQ=DAILY&amp;VAR:RELITEM=&amp;VAR:CURRENCY=&amp;VAR:DB_TYPE=&amp;VAR:UNITS=M&amp;VAR:SHS_OUT_TY","PE=&amp;window=popup&amp;width=535&amp;height=425&amp;START_MAXIMIZED=FALSE&amp;Y=120"}</definedName>
    <definedName name="_299__FDSAUDITLINK__" localSheetId="5" hidden="1">{"fdsup://directions/FAT Viewer?action=UPDATE&amp;creator=factSet&amp;DYN_ARGS=true&amp;DOC_NAME=FAT:RGA_ENTRPR_VAL_MV_SOURCE_WINDOW.FAT&amp;VAR:ID1=BBBY&amp;VAR:SDATE=20040813&amp;VAR:FDATE=20040227&amp;VAR:FREQ=DAILY&amp;VAR:RELITEM=&amp;VAR:CURRENCY=&amp;VAR:DB_TYPE=&amp;VAR:UNITS=M&amp;VAR:SHS_OUT_TY","PE=&amp;window=popup&amp;width=535&amp;height=425&amp;START_MAXIMIZED=FALSE&amp;Y=120"}</definedName>
    <definedName name="_299__FDSAUDITLINK__" hidden="1">{"fdsup://directions/FAT Viewer?action=UPDATE&amp;creator=factSet&amp;DYN_ARGS=true&amp;DOC_NAME=FAT:RGA_ENTRPR_VAL_MV_SOURCE_WINDOW.FAT&amp;VAR:ID1=BBBY&amp;VAR:SDATE=20040813&amp;VAR:FDATE=20040227&amp;VAR:FREQ=DAILY&amp;VAR:RELITEM=&amp;VAR:CURRENCY=&amp;VAR:DB_TYPE=&amp;VAR:UNITS=M&amp;VAR:SHS_OUT_TY","PE=&amp;window=popup&amp;width=535&amp;height=425&amp;START_MAXIMIZED=FALSE&amp;Y=120"}</definedName>
    <definedName name="_3__FDSAUDITLINK__" localSheetId="5" hidden="1">{"fdsup://directions/FAT Viewer?action=UPDATE&amp;creator=factSet&amp;DYN_ARGS=true&amp;DOC_NAME=FAT:RGA_ENTRPR_VAL_MV_SOURCE_WINDOW.FAT&amp;VAR:ID1=BBBY&amp;VAR:SDATE=19981211&amp;VAR:FDATE=19980227&amp;VAR:FREQ=DAILY&amp;VAR:RELITEM=&amp;VAR:CURRENCY=&amp;VAR:DB_TYPE=&amp;VAR:UNITS=M&amp;VAR:SHS_OUT_TY","PE=&amp;window=popup&amp;width=535&amp;height=425&amp;START_MAXIMIZED=FALSE&amp;Y=120"}</definedName>
    <definedName name="_3__FDSAUDITLINK__" hidden="1">{"fdsup://directions/FAT Viewer?action=UPDATE&amp;creator=factSet&amp;DYN_ARGS=true&amp;DOC_NAME=FAT:RGA_ENTRPR_VAL_MV_SOURCE_WINDOW.FAT&amp;VAR:ID1=BBBY&amp;VAR:SDATE=19981211&amp;VAR:FDATE=19980227&amp;VAR:FREQ=DAILY&amp;VAR:RELITEM=&amp;VAR:CURRENCY=&amp;VAR:DB_TYPE=&amp;VAR:UNITS=M&amp;VAR:SHS_OUT_TY","PE=&amp;window=popup&amp;width=535&amp;height=425&amp;START_MAXIMIZED=FALSE&amp;Y=120"}</definedName>
    <definedName name="_30__FDSAUDITLINK__" localSheetId="5" hidden="1">{"fdsup://directions/FAT Viewer?action=UPDATE&amp;creator=factSet&amp;DYN_ARGS=true&amp;DOC_NAME=FAT:RGA_ENTRPR_VAL_MV_SOURCE_WINDOW.FAT&amp;VAR:ID1=BBBY&amp;VAR:SDATE=19990618&amp;VAR:FDATE=19990226&amp;VAR:FREQ=DAILY&amp;VAR:RELITEM=&amp;VAR:CURRENCY=&amp;VAR:DB_TYPE=&amp;VAR:UNITS=M&amp;VAR:SHS_OUT_TY","PE=&amp;window=popup&amp;width=535&amp;height=425&amp;START_MAXIMIZED=FALSE&amp;Y=120"}</definedName>
    <definedName name="_30__FDSAUDITLINK__" hidden="1">{"fdsup://directions/FAT Viewer?action=UPDATE&amp;creator=factSet&amp;DYN_ARGS=true&amp;DOC_NAME=FAT:RGA_ENTRPR_VAL_MV_SOURCE_WINDOW.FAT&amp;VAR:ID1=BBBY&amp;VAR:SDATE=19990618&amp;VAR:FDATE=19990226&amp;VAR:FREQ=DAILY&amp;VAR:RELITEM=&amp;VAR:CURRENCY=&amp;VAR:DB_TYPE=&amp;VAR:UNITS=M&amp;VAR:SHS_OUT_TY","PE=&amp;window=popup&amp;width=535&amp;height=425&amp;START_MAXIMIZED=FALSE&amp;Y=120"}</definedName>
    <definedName name="_300__FDSAUDITLINK__" localSheetId="5" hidden="1">{"fdsup://directions/FAT Viewer?action=UPDATE&amp;creator=factSet&amp;DYN_ARGS=true&amp;DOC_NAME=FAT:RGA_ENTRPR_VAL_MV_SOURCE_WINDOW.FAT&amp;VAR:ID1=BBBY&amp;VAR:SDATE=20040820&amp;VAR:FDATE=20040227&amp;VAR:FREQ=DAILY&amp;VAR:RELITEM=&amp;VAR:CURRENCY=&amp;VAR:DB_TYPE=&amp;VAR:UNITS=M&amp;VAR:SHS_OUT_TY","PE=&amp;window=popup&amp;width=535&amp;height=425&amp;START_MAXIMIZED=FALSE&amp;Y=120"}</definedName>
    <definedName name="_300__FDSAUDITLINK__" hidden="1">{"fdsup://directions/FAT Viewer?action=UPDATE&amp;creator=factSet&amp;DYN_ARGS=true&amp;DOC_NAME=FAT:RGA_ENTRPR_VAL_MV_SOURCE_WINDOW.FAT&amp;VAR:ID1=BBBY&amp;VAR:SDATE=20040820&amp;VAR:FDATE=20040227&amp;VAR:FREQ=DAILY&amp;VAR:RELITEM=&amp;VAR:CURRENCY=&amp;VAR:DB_TYPE=&amp;VAR:UNITS=M&amp;VAR:SHS_OUT_TY","PE=&amp;window=popup&amp;width=535&amp;height=425&amp;START_MAXIMIZED=FALSE&amp;Y=120"}</definedName>
    <definedName name="_301__FDSAUDITLINK__" localSheetId="5" hidden="1">{"fdsup://directions/FAT Viewer?action=UPDATE&amp;creator=factSet&amp;DYN_ARGS=true&amp;DOC_NAME=FAT:RGA_ENTRPR_VAL_MV_SOURCE_WINDOW.FAT&amp;VAR:ID1=BBBY&amp;VAR:SDATE=20040827&amp;VAR:FDATE=20040227&amp;VAR:FREQ=DAILY&amp;VAR:RELITEM=&amp;VAR:CURRENCY=&amp;VAR:DB_TYPE=&amp;VAR:UNITS=M&amp;VAR:SHS_OUT_TY","PE=&amp;window=popup&amp;width=535&amp;height=425&amp;START_MAXIMIZED=FALSE&amp;Y=120"}</definedName>
    <definedName name="_301__FDSAUDITLINK__" hidden="1">{"fdsup://directions/FAT Viewer?action=UPDATE&amp;creator=factSet&amp;DYN_ARGS=true&amp;DOC_NAME=FAT:RGA_ENTRPR_VAL_MV_SOURCE_WINDOW.FAT&amp;VAR:ID1=BBBY&amp;VAR:SDATE=20040827&amp;VAR:FDATE=20040227&amp;VAR:FREQ=DAILY&amp;VAR:RELITEM=&amp;VAR:CURRENCY=&amp;VAR:DB_TYPE=&amp;VAR:UNITS=M&amp;VAR:SHS_OUT_TY","PE=&amp;window=popup&amp;width=535&amp;height=425&amp;START_MAXIMIZED=FALSE&amp;Y=120"}</definedName>
    <definedName name="_302__FDSAUDITLINK__" localSheetId="5" hidden="1">{"fdsup://directions/FAT Viewer?action=UPDATE&amp;creator=factSet&amp;DYN_ARGS=true&amp;DOC_NAME=FAT:RGA_ENTRPR_VAL_MV_SOURCE_WINDOW.FAT&amp;VAR:ID1=BBBY&amp;VAR:SDATE=20040903&amp;VAR:FDATE=20040227&amp;VAR:FREQ=DAILY&amp;VAR:RELITEM=&amp;VAR:CURRENCY=&amp;VAR:DB_TYPE=&amp;VAR:UNITS=M&amp;VAR:SHS_OUT_TY","PE=&amp;window=popup&amp;width=535&amp;height=425&amp;START_MAXIMIZED=FALSE&amp;Y=120"}</definedName>
    <definedName name="_302__FDSAUDITLINK__" hidden="1">{"fdsup://directions/FAT Viewer?action=UPDATE&amp;creator=factSet&amp;DYN_ARGS=true&amp;DOC_NAME=FAT:RGA_ENTRPR_VAL_MV_SOURCE_WINDOW.FAT&amp;VAR:ID1=BBBY&amp;VAR:SDATE=20040903&amp;VAR:FDATE=20040227&amp;VAR:FREQ=DAILY&amp;VAR:RELITEM=&amp;VAR:CURRENCY=&amp;VAR:DB_TYPE=&amp;VAR:UNITS=M&amp;VAR:SHS_OUT_TY","PE=&amp;window=popup&amp;width=535&amp;height=425&amp;START_MAXIMIZED=FALSE&amp;Y=120"}</definedName>
    <definedName name="_303__FDSAUDITLINK__" localSheetId="5" hidden="1">{"fdsup://directions/FAT Viewer?action=UPDATE&amp;creator=factSet&amp;DYN_ARGS=true&amp;DOC_NAME=FAT:RGA_ENTRPR_VAL_MV_SOURCE_WINDOW.FAT&amp;VAR:ID1=BBBY&amp;VAR:SDATE=20040910&amp;VAR:FDATE=20040227&amp;VAR:FREQ=DAILY&amp;VAR:RELITEM=&amp;VAR:CURRENCY=&amp;VAR:DB_TYPE=&amp;VAR:UNITS=M&amp;VAR:SHS_OUT_TY","PE=&amp;window=popup&amp;width=535&amp;height=425&amp;START_MAXIMIZED=FALSE&amp;Y=120"}</definedName>
    <definedName name="_303__FDSAUDITLINK__" hidden="1">{"fdsup://directions/FAT Viewer?action=UPDATE&amp;creator=factSet&amp;DYN_ARGS=true&amp;DOC_NAME=FAT:RGA_ENTRPR_VAL_MV_SOURCE_WINDOW.FAT&amp;VAR:ID1=BBBY&amp;VAR:SDATE=20040910&amp;VAR:FDATE=20040227&amp;VAR:FREQ=DAILY&amp;VAR:RELITEM=&amp;VAR:CURRENCY=&amp;VAR:DB_TYPE=&amp;VAR:UNITS=M&amp;VAR:SHS_OUT_TY","PE=&amp;window=popup&amp;width=535&amp;height=425&amp;START_MAXIMIZED=FALSE&amp;Y=120"}</definedName>
    <definedName name="_304__FDSAUDITLINK__" localSheetId="5" hidden="1">{"fdsup://directions/FAT Viewer?action=UPDATE&amp;creator=factSet&amp;DYN_ARGS=true&amp;DOC_NAME=FAT:RGA_ENTRPR_VAL_MV_SOURCE_WINDOW.FAT&amp;VAR:ID1=BBBY&amp;VAR:SDATE=20040917&amp;VAR:FDATE=20040227&amp;VAR:FREQ=DAILY&amp;VAR:RELITEM=&amp;VAR:CURRENCY=&amp;VAR:DB_TYPE=&amp;VAR:UNITS=M&amp;VAR:SHS_OUT_TY","PE=&amp;window=popup&amp;width=535&amp;height=425&amp;START_MAXIMIZED=FALSE&amp;Y=120"}</definedName>
    <definedName name="_304__FDSAUDITLINK__" hidden="1">{"fdsup://directions/FAT Viewer?action=UPDATE&amp;creator=factSet&amp;DYN_ARGS=true&amp;DOC_NAME=FAT:RGA_ENTRPR_VAL_MV_SOURCE_WINDOW.FAT&amp;VAR:ID1=BBBY&amp;VAR:SDATE=20040917&amp;VAR:FDATE=20040227&amp;VAR:FREQ=DAILY&amp;VAR:RELITEM=&amp;VAR:CURRENCY=&amp;VAR:DB_TYPE=&amp;VAR:UNITS=M&amp;VAR:SHS_OUT_TY","PE=&amp;window=popup&amp;width=535&amp;height=425&amp;START_MAXIMIZED=FALSE&amp;Y=120"}</definedName>
    <definedName name="_305__FDSAUDITLINK__" localSheetId="5" hidden="1">{"fdsup://directions/FAT Viewer?action=UPDATE&amp;creator=factSet&amp;DYN_ARGS=true&amp;DOC_NAME=FAT:RGA_ENTRPR_VAL_MV_SOURCE_WINDOW.FAT&amp;VAR:ID1=BBBY&amp;VAR:SDATE=20040924&amp;VAR:FDATE=20040227&amp;VAR:FREQ=DAILY&amp;VAR:RELITEM=&amp;VAR:CURRENCY=&amp;VAR:DB_TYPE=&amp;VAR:UNITS=M&amp;VAR:SHS_OUT_TY","PE=&amp;window=popup&amp;width=535&amp;height=425&amp;START_MAXIMIZED=FALSE&amp;Y=120"}</definedName>
    <definedName name="_305__FDSAUDITLINK__" hidden="1">{"fdsup://directions/FAT Viewer?action=UPDATE&amp;creator=factSet&amp;DYN_ARGS=true&amp;DOC_NAME=FAT:RGA_ENTRPR_VAL_MV_SOURCE_WINDOW.FAT&amp;VAR:ID1=BBBY&amp;VAR:SDATE=20040924&amp;VAR:FDATE=20040227&amp;VAR:FREQ=DAILY&amp;VAR:RELITEM=&amp;VAR:CURRENCY=&amp;VAR:DB_TYPE=&amp;VAR:UNITS=M&amp;VAR:SHS_OUT_TY","PE=&amp;window=popup&amp;width=535&amp;height=425&amp;START_MAXIMIZED=FALSE&amp;Y=120"}</definedName>
    <definedName name="_306__FDSAUDITLINK__" localSheetId="5" hidden="1">{"fdsup://directions/FAT Viewer?action=UPDATE&amp;creator=factSet&amp;DYN_ARGS=true&amp;DOC_NAME=FAT:RGA_ENTRPR_VAL_MV_SOURCE_WINDOW.FAT&amp;VAR:ID1=BBBY&amp;VAR:SDATE=20041001&amp;VAR:FDATE=20040227&amp;VAR:FREQ=DAILY&amp;VAR:RELITEM=&amp;VAR:CURRENCY=&amp;VAR:DB_TYPE=&amp;VAR:UNITS=M&amp;VAR:SHS_OUT_TY","PE=&amp;window=popup&amp;width=535&amp;height=425&amp;START_MAXIMIZED=FALSE&amp;Y=120"}</definedName>
    <definedName name="_306__FDSAUDITLINK__" hidden="1">{"fdsup://directions/FAT Viewer?action=UPDATE&amp;creator=factSet&amp;DYN_ARGS=true&amp;DOC_NAME=FAT:RGA_ENTRPR_VAL_MV_SOURCE_WINDOW.FAT&amp;VAR:ID1=BBBY&amp;VAR:SDATE=20041001&amp;VAR:FDATE=20040227&amp;VAR:FREQ=DAILY&amp;VAR:RELITEM=&amp;VAR:CURRENCY=&amp;VAR:DB_TYPE=&amp;VAR:UNITS=M&amp;VAR:SHS_OUT_TY","PE=&amp;window=popup&amp;width=535&amp;height=425&amp;START_MAXIMIZED=FALSE&amp;Y=120"}</definedName>
    <definedName name="_307__FDSAUDITLINK__" localSheetId="5" hidden="1">{"fdsup://directions/FAT Viewer?action=UPDATE&amp;creator=factSet&amp;DYN_ARGS=true&amp;DOC_NAME=FAT:RGA_ENTRPR_VAL_MV_SOURCE_WINDOW.FAT&amp;VAR:ID1=BBBY&amp;VAR:SDATE=20041008&amp;VAR:FDATE=20040227&amp;VAR:FREQ=DAILY&amp;VAR:RELITEM=&amp;VAR:CURRENCY=&amp;VAR:DB_TYPE=&amp;VAR:UNITS=M&amp;VAR:SHS_OUT_TY","PE=&amp;window=popup&amp;width=535&amp;height=425&amp;START_MAXIMIZED=FALSE&amp;Y=120"}</definedName>
    <definedName name="_307__FDSAUDITLINK__" hidden="1">{"fdsup://directions/FAT Viewer?action=UPDATE&amp;creator=factSet&amp;DYN_ARGS=true&amp;DOC_NAME=FAT:RGA_ENTRPR_VAL_MV_SOURCE_WINDOW.FAT&amp;VAR:ID1=BBBY&amp;VAR:SDATE=20041008&amp;VAR:FDATE=20040227&amp;VAR:FREQ=DAILY&amp;VAR:RELITEM=&amp;VAR:CURRENCY=&amp;VAR:DB_TYPE=&amp;VAR:UNITS=M&amp;VAR:SHS_OUT_TY","PE=&amp;window=popup&amp;width=535&amp;height=425&amp;START_MAXIMIZED=FALSE&amp;Y=120"}</definedName>
    <definedName name="_308__FDSAUDITLINK__" localSheetId="5" hidden="1">{"fdsup://directions/FAT Viewer?action=UPDATE&amp;creator=factSet&amp;DYN_ARGS=true&amp;DOC_NAME=FAT:RGA_ENTRPR_VAL_MV_SOURCE_WINDOW.FAT&amp;VAR:ID1=BBBY&amp;VAR:SDATE=20041015&amp;VAR:FDATE=20040227&amp;VAR:FREQ=DAILY&amp;VAR:RELITEM=&amp;VAR:CURRENCY=&amp;VAR:DB_TYPE=&amp;VAR:UNITS=M&amp;VAR:SHS_OUT_TY","PE=&amp;window=popup&amp;width=535&amp;height=425&amp;START_MAXIMIZED=FALSE&amp;Y=120"}</definedName>
    <definedName name="_308__FDSAUDITLINK__" hidden="1">{"fdsup://directions/FAT Viewer?action=UPDATE&amp;creator=factSet&amp;DYN_ARGS=true&amp;DOC_NAME=FAT:RGA_ENTRPR_VAL_MV_SOURCE_WINDOW.FAT&amp;VAR:ID1=BBBY&amp;VAR:SDATE=20041015&amp;VAR:FDATE=20040227&amp;VAR:FREQ=DAILY&amp;VAR:RELITEM=&amp;VAR:CURRENCY=&amp;VAR:DB_TYPE=&amp;VAR:UNITS=M&amp;VAR:SHS_OUT_TY","PE=&amp;window=popup&amp;width=535&amp;height=425&amp;START_MAXIMIZED=FALSE&amp;Y=120"}</definedName>
    <definedName name="_309__FDSAUDITLINK__" localSheetId="5" hidden="1">{"fdsup://directions/FAT Viewer?action=UPDATE&amp;creator=factSet&amp;DYN_ARGS=true&amp;DOC_NAME=FAT:RGA_ENTRPR_VAL_MV_SOURCE_WINDOW.FAT&amp;VAR:ID1=BBBY&amp;VAR:SDATE=20041022&amp;VAR:FDATE=20040227&amp;VAR:FREQ=DAILY&amp;VAR:RELITEM=&amp;VAR:CURRENCY=&amp;VAR:DB_TYPE=&amp;VAR:UNITS=M&amp;VAR:SHS_OUT_TY","PE=&amp;window=popup&amp;width=535&amp;height=425&amp;START_MAXIMIZED=FALSE&amp;Y=120"}</definedName>
    <definedName name="_309__FDSAUDITLINK__" hidden="1">{"fdsup://directions/FAT Viewer?action=UPDATE&amp;creator=factSet&amp;DYN_ARGS=true&amp;DOC_NAME=FAT:RGA_ENTRPR_VAL_MV_SOURCE_WINDOW.FAT&amp;VAR:ID1=BBBY&amp;VAR:SDATE=20041022&amp;VAR:FDATE=20040227&amp;VAR:FREQ=DAILY&amp;VAR:RELITEM=&amp;VAR:CURRENCY=&amp;VAR:DB_TYPE=&amp;VAR:UNITS=M&amp;VAR:SHS_OUT_TY","PE=&amp;window=popup&amp;width=535&amp;height=425&amp;START_MAXIMIZED=FALSE&amp;Y=120"}</definedName>
    <definedName name="_31__FDSAUDITLINK__" localSheetId="5" hidden="1">{"fdsup://directions/FAT Viewer?action=UPDATE&amp;creator=factSet&amp;DYN_ARGS=true&amp;DOC_NAME=FAT:RGA_ENTRPR_VAL_MV_SOURCE_WINDOW.FAT&amp;VAR:ID1=BBBY&amp;VAR:SDATE=19990625&amp;VAR:FDATE=19990226&amp;VAR:FREQ=DAILY&amp;VAR:RELITEM=&amp;VAR:CURRENCY=&amp;VAR:DB_TYPE=&amp;VAR:UNITS=M&amp;VAR:SHS_OUT_TY","PE=&amp;window=popup&amp;width=535&amp;height=425&amp;START_MAXIMIZED=FALSE&amp;Y=120"}</definedName>
    <definedName name="_31__FDSAUDITLINK__" hidden="1">{"fdsup://directions/FAT Viewer?action=UPDATE&amp;creator=factSet&amp;DYN_ARGS=true&amp;DOC_NAME=FAT:RGA_ENTRPR_VAL_MV_SOURCE_WINDOW.FAT&amp;VAR:ID1=BBBY&amp;VAR:SDATE=19990625&amp;VAR:FDATE=19990226&amp;VAR:FREQ=DAILY&amp;VAR:RELITEM=&amp;VAR:CURRENCY=&amp;VAR:DB_TYPE=&amp;VAR:UNITS=M&amp;VAR:SHS_OUT_TY","PE=&amp;window=popup&amp;width=535&amp;height=425&amp;START_MAXIMIZED=FALSE&amp;Y=120"}</definedName>
    <definedName name="_310__FDSAUDITLINK__" localSheetId="5" hidden="1">{"fdsup://directions/FAT Viewer?action=UPDATE&amp;creator=factSet&amp;DYN_ARGS=true&amp;DOC_NAME=FAT:RGA_ENTRPR_VAL_MV_SOURCE_WINDOW.FAT&amp;VAR:ID1=BBBY&amp;VAR:SDATE=20041029&amp;VAR:FDATE=20040227&amp;VAR:FREQ=DAILY&amp;VAR:RELITEM=&amp;VAR:CURRENCY=&amp;VAR:DB_TYPE=&amp;VAR:UNITS=M&amp;VAR:SHS_OUT_TY","PE=&amp;window=popup&amp;width=535&amp;height=425&amp;START_MAXIMIZED=FALSE&amp;Y=120"}</definedName>
    <definedName name="_310__FDSAUDITLINK__" hidden="1">{"fdsup://directions/FAT Viewer?action=UPDATE&amp;creator=factSet&amp;DYN_ARGS=true&amp;DOC_NAME=FAT:RGA_ENTRPR_VAL_MV_SOURCE_WINDOW.FAT&amp;VAR:ID1=BBBY&amp;VAR:SDATE=20041029&amp;VAR:FDATE=20040227&amp;VAR:FREQ=DAILY&amp;VAR:RELITEM=&amp;VAR:CURRENCY=&amp;VAR:DB_TYPE=&amp;VAR:UNITS=M&amp;VAR:SHS_OUT_TY","PE=&amp;window=popup&amp;width=535&amp;height=425&amp;START_MAXIMIZED=FALSE&amp;Y=120"}</definedName>
    <definedName name="_311__FDSAUDITLINK__" localSheetId="5" hidden="1">{"fdsup://directions/FAT Viewer?action=UPDATE&amp;creator=factSet&amp;DYN_ARGS=true&amp;DOC_NAME=FAT:RGA_ENTRPR_VAL_MV_SOURCE_WINDOW.FAT&amp;VAR:ID1=BBBY&amp;VAR:SDATE=20041105&amp;VAR:FDATE=20040227&amp;VAR:FREQ=DAILY&amp;VAR:RELITEM=&amp;VAR:CURRENCY=&amp;VAR:DB_TYPE=&amp;VAR:UNITS=M&amp;VAR:SHS_OUT_TY","PE=&amp;window=popup&amp;width=535&amp;height=425&amp;START_MAXIMIZED=FALSE&amp;Y=120"}</definedName>
    <definedName name="_311__FDSAUDITLINK__" hidden="1">{"fdsup://directions/FAT Viewer?action=UPDATE&amp;creator=factSet&amp;DYN_ARGS=true&amp;DOC_NAME=FAT:RGA_ENTRPR_VAL_MV_SOURCE_WINDOW.FAT&amp;VAR:ID1=BBBY&amp;VAR:SDATE=20041105&amp;VAR:FDATE=20040227&amp;VAR:FREQ=DAILY&amp;VAR:RELITEM=&amp;VAR:CURRENCY=&amp;VAR:DB_TYPE=&amp;VAR:UNITS=M&amp;VAR:SHS_OUT_TY","PE=&amp;window=popup&amp;width=535&amp;height=425&amp;START_MAXIMIZED=FALSE&amp;Y=120"}</definedName>
    <definedName name="_312__FDSAUDITLINK__" localSheetId="5" hidden="1">{"fdsup://directions/FAT Viewer?action=UPDATE&amp;creator=factSet&amp;DYN_ARGS=true&amp;DOC_NAME=FAT:RGA_ENTRPR_VAL_MV_SOURCE_WINDOW.FAT&amp;VAR:ID1=BBBY&amp;VAR:SDATE=20041112&amp;VAR:FDATE=20040227&amp;VAR:FREQ=DAILY&amp;VAR:RELITEM=&amp;VAR:CURRENCY=&amp;VAR:DB_TYPE=&amp;VAR:UNITS=M&amp;VAR:SHS_OUT_TY","PE=&amp;window=popup&amp;width=535&amp;height=425&amp;START_MAXIMIZED=FALSE&amp;Y=120"}</definedName>
    <definedName name="_312__FDSAUDITLINK__" hidden="1">{"fdsup://directions/FAT Viewer?action=UPDATE&amp;creator=factSet&amp;DYN_ARGS=true&amp;DOC_NAME=FAT:RGA_ENTRPR_VAL_MV_SOURCE_WINDOW.FAT&amp;VAR:ID1=BBBY&amp;VAR:SDATE=20041112&amp;VAR:FDATE=20040227&amp;VAR:FREQ=DAILY&amp;VAR:RELITEM=&amp;VAR:CURRENCY=&amp;VAR:DB_TYPE=&amp;VAR:UNITS=M&amp;VAR:SHS_OUT_TY","PE=&amp;window=popup&amp;width=535&amp;height=425&amp;START_MAXIMIZED=FALSE&amp;Y=120"}</definedName>
    <definedName name="_313__FDSAUDITLINK__" localSheetId="5" hidden="1">{"fdsup://directions/FAT Viewer?action=UPDATE&amp;creator=factSet&amp;DYN_ARGS=true&amp;DOC_NAME=FAT:RGA_ENTRPR_VAL_MV_SOURCE_WINDOW.FAT&amp;VAR:ID1=BBBY&amp;VAR:SDATE=20041119&amp;VAR:FDATE=20040227&amp;VAR:FREQ=DAILY&amp;VAR:RELITEM=&amp;VAR:CURRENCY=&amp;VAR:DB_TYPE=&amp;VAR:UNITS=M&amp;VAR:SHS_OUT_TY","PE=&amp;window=popup&amp;width=535&amp;height=425&amp;START_MAXIMIZED=FALSE&amp;Y=120"}</definedName>
    <definedName name="_313__FDSAUDITLINK__" hidden="1">{"fdsup://directions/FAT Viewer?action=UPDATE&amp;creator=factSet&amp;DYN_ARGS=true&amp;DOC_NAME=FAT:RGA_ENTRPR_VAL_MV_SOURCE_WINDOW.FAT&amp;VAR:ID1=BBBY&amp;VAR:SDATE=20041119&amp;VAR:FDATE=20040227&amp;VAR:FREQ=DAILY&amp;VAR:RELITEM=&amp;VAR:CURRENCY=&amp;VAR:DB_TYPE=&amp;VAR:UNITS=M&amp;VAR:SHS_OUT_TY","PE=&amp;window=popup&amp;width=535&amp;height=425&amp;START_MAXIMIZED=FALSE&amp;Y=120"}</definedName>
    <definedName name="_314__FDSAUDITLINK__" localSheetId="5" hidden="1">{"fdsup://directions/FAT Viewer?action=UPDATE&amp;creator=factSet&amp;DYN_ARGS=true&amp;DOC_NAME=FAT:RGA_ENTRPR_VAL_MV_SOURCE_WINDOW.FAT&amp;VAR:ID1=BBBY&amp;VAR:SDATE=20041126&amp;VAR:FDATE=20040227&amp;VAR:FREQ=DAILY&amp;VAR:RELITEM=&amp;VAR:CURRENCY=&amp;VAR:DB_TYPE=&amp;VAR:UNITS=M&amp;VAR:SHS_OUT_TY","PE=&amp;window=popup&amp;width=535&amp;height=425&amp;START_MAXIMIZED=FALSE&amp;Y=120"}</definedName>
    <definedName name="_314__FDSAUDITLINK__" hidden="1">{"fdsup://directions/FAT Viewer?action=UPDATE&amp;creator=factSet&amp;DYN_ARGS=true&amp;DOC_NAME=FAT:RGA_ENTRPR_VAL_MV_SOURCE_WINDOW.FAT&amp;VAR:ID1=BBBY&amp;VAR:SDATE=20041126&amp;VAR:FDATE=20040227&amp;VAR:FREQ=DAILY&amp;VAR:RELITEM=&amp;VAR:CURRENCY=&amp;VAR:DB_TYPE=&amp;VAR:UNITS=M&amp;VAR:SHS_OUT_TY","PE=&amp;window=popup&amp;width=535&amp;height=425&amp;START_MAXIMIZED=FALSE&amp;Y=120"}</definedName>
    <definedName name="_315__FDSAUDITLINK__" localSheetId="5" hidden="1">{"fdsup://directions/FAT Viewer?action=UPDATE&amp;creator=factSet&amp;DYN_ARGS=true&amp;DOC_NAME=FAT:RGA_ENTRPR_VAL_MV_SOURCE_WINDOW.FAT&amp;VAR:ID1=BBBY&amp;VAR:SDATE=20041203&amp;VAR:FDATE=20040227&amp;VAR:FREQ=DAILY&amp;VAR:RELITEM=&amp;VAR:CURRENCY=&amp;VAR:DB_TYPE=&amp;VAR:UNITS=M&amp;VAR:SHS_OUT_TY","PE=&amp;window=popup&amp;width=535&amp;height=425&amp;START_MAXIMIZED=FALSE&amp;Y=120"}</definedName>
    <definedName name="_315__FDSAUDITLINK__" hidden="1">{"fdsup://directions/FAT Viewer?action=UPDATE&amp;creator=factSet&amp;DYN_ARGS=true&amp;DOC_NAME=FAT:RGA_ENTRPR_VAL_MV_SOURCE_WINDOW.FAT&amp;VAR:ID1=BBBY&amp;VAR:SDATE=20041203&amp;VAR:FDATE=20040227&amp;VAR:FREQ=DAILY&amp;VAR:RELITEM=&amp;VAR:CURRENCY=&amp;VAR:DB_TYPE=&amp;VAR:UNITS=M&amp;VAR:SHS_OUT_TY","PE=&amp;window=popup&amp;width=535&amp;height=425&amp;START_MAXIMIZED=FALSE&amp;Y=120"}</definedName>
    <definedName name="_316__FDSAUDITLINK__" localSheetId="5" hidden="1">{"fdsup://directions/FAT Viewer?action=UPDATE&amp;creator=factSet&amp;DYN_ARGS=true&amp;DOC_NAME=FAT:RGA_ENTRPR_VAL_MV_SOURCE_WINDOW.FAT&amp;VAR:ID1=BBBY&amp;VAR:SDATE=20041210&amp;VAR:FDATE=20040227&amp;VAR:FREQ=DAILY&amp;VAR:RELITEM=&amp;VAR:CURRENCY=&amp;VAR:DB_TYPE=&amp;VAR:UNITS=M&amp;VAR:SHS_OUT_TY","PE=&amp;window=popup&amp;width=535&amp;height=425&amp;START_MAXIMIZED=FALSE&amp;Y=120"}</definedName>
    <definedName name="_316__FDSAUDITLINK__" hidden="1">{"fdsup://directions/FAT Viewer?action=UPDATE&amp;creator=factSet&amp;DYN_ARGS=true&amp;DOC_NAME=FAT:RGA_ENTRPR_VAL_MV_SOURCE_WINDOW.FAT&amp;VAR:ID1=BBBY&amp;VAR:SDATE=20041210&amp;VAR:FDATE=20040227&amp;VAR:FREQ=DAILY&amp;VAR:RELITEM=&amp;VAR:CURRENCY=&amp;VAR:DB_TYPE=&amp;VAR:UNITS=M&amp;VAR:SHS_OUT_TY","PE=&amp;window=popup&amp;width=535&amp;height=425&amp;START_MAXIMIZED=FALSE&amp;Y=120"}</definedName>
    <definedName name="_317__FDSAUDITLINK__" localSheetId="5" hidden="1">{"fdsup://directions/FAT Viewer?action=UPDATE&amp;creator=factSet&amp;DYN_ARGS=true&amp;DOC_NAME=FAT:RGA_ENTRPR_VAL_MV_SOURCE_WINDOW.FAT&amp;VAR:ID1=BBBY&amp;VAR:SDATE=20041217&amp;VAR:FDATE=20040227&amp;VAR:FREQ=DAILY&amp;VAR:RELITEM=&amp;VAR:CURRENCY=&amp;VAR:DB_TYPE=&amp;VAR:UNITS=M&amp;VAR:SHS_OUT_TY","PE=&amp;window=popup&amp;width=535&amp;height=425&amp;START_MAXIMIZED=FALSE&amp;Y=120"}</definedName>
    <definedName name="_317__FDSAUDITLINK__" hidden="1">{"fdsup://directions/FAT Viewer?action=UPDATE&amp;creator=factSet&amp;DYN_ARGS=true&amp;DOC_NAME=FAT:RGA_ENTRPR_VAL_MV_SOURCE_WINDOW.FAT&amp;VAR:ID1=BBBY&amp;VAR:SDATE=20041217&amp;VAR:FDATE=20040227&amp;VAR:FREQ=DAILY&amp;VAR:RELITEM=&amp;VAR:CURRENCY=&amp;VAR:DB_TYPE=&amp;VAR:UNITS=M&amp;VAR:SHS_OUT_TY","PE=&amp;window=popup&amp;width=535&amp;height=425&amp;START_MAXIMIZED=FALSE&amp;Y=120"}</definedName>
    <definedName name="_318__FDSAUDITLINK__" localSheetId="5" hidden="1">{"fdsup://directions/FAT Viewer?action=UPDATE&amp;creator=factSet&amp;DYN_ARGS=true&amp;DOC_NAME=FAT:RGA_ENTRPR_VAL_MV_SOURCE_WINDOW.FAT&amp;VAR:ID1=BBBY&amp;VAR:SDATE=20041223&amp;VAR:FDATE=20040227&amp;VAR:FREQ=DAILY&amp;VAR:RELITEM=&amp;VAR:CURRENCY=&amp;VAR:DB_TYPE=&amp;VAR:UNITS=M&amp;VAR:SHS_OUT_TY","PE=&amp;window=popup&amp;width=535&amp;height=425&amp;START_MAXIMIZED=FALSE&amp;Y=120"}</definedName>
    <definedName name="_318__FDSAUDITLINK__" hidden="1">{"fdsup://directions/FAT Viewer?action=UPDATE&amp;creator=factSet&amp;DYN_ARGS=true&amp;DOC_NAME=FAT:RGA_ENTRPR_VAL_MV_SOURCE_WINDOW.FAT&amp;VAR:ID1=BBBY&amp;VAR:SDATE=20041223&amp;VAR:FDATE=20040227&amp;VAR:FREQ=DAILY&amp;VAR:RELITEM=&amp;VAR:CURRENCY=&amp;VAR:DB_TYPE=&amp;VAR:UNITS=M&amp;VAR:SHS_OUT_TY","PE=&amp;window=popup&amp;width=535&amp;height=425&amp;START_MAXIMIZED=FALSE&amp;Y=120"}</definedName>
    <definedName name="_319__FDSAUDITLINK__" localSheetId="5" hidden="1">{"fdsup://directions/FAT Viewer?action=UPDATE&amp;creator=factSet&amp;DYN_ARGS=true&amp;DOC_NAME=FAT:RGA_ENTRPR_VAL_MV_SOURCE_WINDOW.FAT&amp;VAR:ID1=BBBY&amp;VAR:SDATE=20041231&amp;VAR:FDATE=20040227&amp;VAR:FREQ=DAILY&amp;VAR:RELITEM=&amp;VAR:CURRENCY=&amp;VAR:DB_TYPE=&amp;VAR:UNITS=M&amp;VAR:SHS_OUT_TY","PE=&amp;window=popup&amp;width=535&amp;height=425&amp;START_MAXIMIZED=FALSE&amp;Y=120"}</definedName>
    <definedName name="_319__FDSAUDITLINK__" hidden="1">{"fdsup://directions/FAT Viewer?action=UPDATE&amp;creator=factSet&amp;DYN_ARGS=true&amp;DOC_NAME=FAT:RGA_ENTRPR_VAL_MV_SOURCE_WINDOW.FAT&amp;VAR:ID1=BBBY&amp;VAR:SDATE=20041231&amp;VAR:FDATE=20040227&amp;VAR:FREQ=DAILY&amp;VAR:RELITEM=&amp;VAR:CURRENCY=&amp;VAR:DB_TYPE=&amp;VAR:UNITS=M&amp;VAR:SHS_OUT_TY","PE=&amp;window=popup&amp;width=535&amp;height=425&amp;START_MAXIMIZED=FALSE&amp;Y=120"}</definedName>
    <definedName name="_32__FDSAUDITLINK__" localSheetId="5" hidden="1">{"fdsup://directions/FAT Viewer?action=UPDATE&amp;creator=factSet&amp;DYN_ARGS=true&amp;DOC_NAME=FAT:RGA_ENTRPR_VAL_MV_SOURCE_WINDOW.FAT&amp;VAR:ID1=BBBY&amp;VAR:SDATE=19990702&amp;VAR:FDATE=19990226&amp;VAR:FREQ=DAILY&amp;VAR:RELITEM=&amp;VAR:CURRENCY=&amp;VAR:DB_TYPE=&amp;VAR:UNITS=M&amp;VAR:SHS_OUT_TY","PE=&amp;window=popup&amp;width=535&amp;height=425&amp;START_MAXIMIZED=FALSE&amp;Y=120"}</definedName>
    <definedName name="_32__FDSAUDITLINK__" hidden="1">{"fdsup://directions/FAT Viewer?action=UPDATE&amp;creator=factSet&amp;DYN_ARGS=true&amp;DOC_NAME=FAT:RGA_ENTRPR_VAL_MV_SOURCE_WINDOW.FAT&amp;VAR:ID1=BBBY&amp;VAR:SDATE=19990702&amp;VAR:FDATE=19990226&amp;VAR:FREQ=DAILY&amp;VAR:RELITEM=&amp;VAR:CURRENCY=&amp;VAR:DB_TYPE=&amp;VAR:UNITS=M&amp;VAR:SHS_OUT_TY","PE=&amp;window=popup&amp;width=535&amp;height=425&amp;START_MAXIMIZED=FALSE&amp;Y=120"}</definedName>
    <definedName name="_320__FDSAUDITLINK__" localSheetId="5" hidden="1">{"fdsup://directions/FAT Viewer?action=UPDATE&amp;creator=factSet&amp;DYN_ARGS=true&amp;DOC_NAME=FAT:RGA_ENTRPR_VAL_MV_SOURCE_WINDOW.FAT&amp;VAR:ID1=BBBY&amp;VAR:SDATE=20050107&amp;VAR:FDATE=20040227&amp;VAR:FREQ=DAILY&amp;VAR:RELITEM=&amp;VAR:CURRENCY=&amp;VAR:DB_TYPE=&amp;VAR:UNITS=M&amp;VAR:SHS_OUT_TY","PE=&amp;window=popup&amp;width=535&amp;height=425&amp;START_MAXIMIZED=FALSE&amp;Y=120"}</definedName>
    <definedName name="_320__FDSAUDITLINK__" hidden="1">{"fdsup://directions/FAT Viewer?action=UPDATE&amp;creator=factSet&amp;DYN_ARGS=true&amp;DOC_NAME=FAT:RGA_ENTRPR_VAL_MV_SOURCE_WINDOW.FAT&amp;VAR:ID1=BBBY&amp;VAR:SDATE=20050107&amp;VAR:FDATE=20040227&amp;VAR:FREQ=DAILY&amp;VAR:RELITEM=&amp;VAR:CURRENCY=&amp;VAR:DB_TYPE=&amp;VAR:UNITS=M&amp;VAR:SHS_OUT_TY","PE=&amp;window=popup&amp;width=535&amp;height=425&amp;START_MAXIMIZED=FALSE&amp;Y=120"}</definedName>
    <definedName name="_321__FDSAUDITLINK__" localSheetId="5" hidden="1">{"fdsup://directions/FAT Viewer?action=UPDATE&amp;creator=factSet&amp;DYN_ARGS=true&amp;DOC_NAME=FAT:RGA_ENTRPR_VAL_MV_SOURCE_WINDOW.FAT&amp;VAR:ID1=BBBY&amp;VAR:SDATE=20050114&amp;VAR:FDATE=20040227&amp;VAR:FREQ=DAILY&amp;VAR:RELITEM=&amp;VAR:CURRENCY=&amp;VAR:DB_TYPE=&amp;VAR:UNITS=M&amp;VAR:SHS_OUT_TY","PE=&amp;window=popup&amp;width=535&amp;height=425&amp;START_MAXIMIZED=FALSE&amp;Y=120"}</definedName>
    <definedName name="_321__FDSAUDITLINK__" hidden="1">{"fdsup://directions/FAT Viewer?action=UPDATE&amp;creator=factSet&amp;DYN_ARGS=true&amp;DOC_NAME=FAT:RGA_ENTRPR_VAL_MV_SOURCE_WINDOW.FAT&amp;VAR:ID1=BBBY&amp;VAR:SDATE=20050114&amp;VAR:FDATE=20040227&amp;VAR:FREQ=DAILY&amp;VAR:RELITEM=&amp;VAR:CURRENCY=&amp;VAR:DB_TYPE=&amp;VAR:UNITS=M&amp;VAR:SHS_OUT_TY","PE=&amp;window=popup&amp;width=535&amp;height=425&amp;START_MAXIMIZED=FALSE&amp;Y=120"}</definedName>
    <definedName name="_322__FDSAUDITLINK__" localSheetId="5" hidden="1">{"fdsup://directions/FAT Viewer?action=UPDATE&amp;creator=factSet&amp;DYN_ARGS=true&amp;DOC_NAME=FAT:RGA_ENTRPR_VAL_MV_SOURCE_WINDOW.FAT&amp;VAR:ID1=BBBY&amp;VAR:SDATE=20050121&amp;VAR:FDATE=20040227&amp;VAR:FREQ=DAILY&amp;VAR:RELITEM=&amp;VAR:CURRENCY=&amp;VAR:DB_TYPE=&amp;VAR:UNITS=M&amp;VAR:SHS_OUT_TY","PE=&amp;window=popup&amp;width=535&amp;height=425&amp;START_MAXIMIZED=FALSE&amp;Y=120"}</definedName>
    <definedName name="_322__FDSAUDITLINK__" hidden="1">{"fdsup://directions/FAT Viewer?action=UPDATE&amp;creator=factSet&amp;DYN_ARGS=true&amp;DOC_NAME=FAT:RGA_ENTRPR_VAL_MV_SOURCE_WINDOW.FAT&amp;VAR:ID1=BBBY&amp;VAR:SDATE=20050121&amp;VAR:FDATE=20040227&amp;VAR:FREQ=DAILY&amp;VAR:RELITEM=&amp;VAR:CURRENCY=&amp;VAR:DB_TYPE=&amp;VAR:UNITS=M&amp;VAR:SHS_OUT_TY","PE=&amp;window=popup&amp;width=535&amp;height=425&amp;START_MAXIMIZED=FALSE&amp;Y=120"}</definedName>
    <definedName name="_323__FDSAUDITLINK__" localSheetId="5" hidden="1">{"fdsup://directions/FAT Viewer?action=UPDATE&amp;creator=factSet&amp;DYN_ARGS=true&amp;DOC_NAME=FAT:RGA_ENTRPR_VAL_MV_SOURCE_WINDOW.FAT&amp;VAR:ID1=BBBY&amp;VAR:SDATE=20050128&amp;VAR:FDATE=20040227&amp;VAR:FREQ=DAILY&amp;VAR:RELITEM=&amp;VAR:CURRENCY=&amp;VAR:DB_TYPE=&amp;VAR:UNITS=M&amp;VAR:SHS_OUT_TY","PE=&amp;window=popup&amp;width=535&amp;height=425&amp;START_MAXIMIZED=FALSE&amp;Y=120"}</definedName>
    <definedName name="_323__FDSAUDITLINK__" hidden="1">{"fdsup://directions/FAT Viewer?action=UPDATE&amp;creator=factSet&amp;DYN_ARGS=true&amp;DOC_NAME=FAT:RGA_ENTRPR_VAL_MV_SOURCE_WINDOW.FAT&amp;VAR:ID1=BBBY&amp;VAR:SDATE=20050128&amp;VAR:FDATE=20040227&amp;VAR:FREQ=DAILY&amp;VAR:RELITEM=&amp;VAR:CURRENCY=&amp;VAR:DB_TYPE=&amp;VAR:UNITS=M&amp;VAR:SHS_OUT_TY","PE=&amp;window=popup&amp;width=535&amp;height=425&amp;START_MAXIMIZED=FALSE&amp;Y=120"}</definedName>
    <definedName name="_324__FDSAUDITLINK__" localSheetId="5" hidden="1">{"fdsup://directions/FAT Viewer?action=UPDATE&amp;creator=factSet&amp;DYN_ARGS=true&amp;DOC_NAME=FAT:RGA_ENTRPR_VAL_MV_SOURCE_WINDOW.FAT&amp;VAR:ID1=BBBY&amp;VAR:SDATE=20050204&amp;VAR:FDATE=20040227&amp;VAR:FREQ=DAILY&amp;VAR:RELITEM=&amp;VAR:CURRENCY=&amp;VAR:DB_TYPE=&amp;VAR:UNITS=M&amp;VAR:SHS_OUT_TY","PE=&amp;window=popup&amp;width=535&amp;height=425&amp;START_MAXIMIZED=FALSE&amp;Y=120"}</definedName>
    <definedName name="_324__FDSAUDITLINK__" hidden="1">{"fdsup://directions/FAT Viewer?action=UPDATE&amp;creator=factSet&amp;DYN_ARGS=true&amp;DOC_NAME=FAT:RGA_ENTRPR_VAL_MV_SOURCE_WINDOW.FAT&amp;VAR:ID1=BBBY&amp;VAR:SDATE=20050204&amp;VAR:FDATE=20040227&amp;VAR:FREQ=DAILY&amp;VAR:RELITEM=&amp;VAR:CURRENCY=&amp;VAR:DB_TYPE=&amp;VAR:UNITS=M&amp;VAR:SHS_OUT_TY","PE=&amp;window=popup&amp;width=535&amp;height=425&amp;START_MAXIMIZED=FALSE&amp;Y=120"}</definedName>
    <definedName name="_325__FDSAUDITLINK__" localSheetId="5" hidden="1">{"fdsup://directions/FAT Viewer?action=UPDATE&amp;creator=factSet&amp;DYN_ARGS=true&amp;DOC_NAME=FAT:RGA_ENTRPR_VAL_MV_SOURCE_WINDOW.FAT&amp;VAR:ID1=BBBY&amp;VAR:SDATE=20050211&amp;VAR:FDATE=20040227&amp;VAR:FREQ=DAILY&amp;VAR:RELITEM=&amp;VAR:CURRENCY=&amp;VAR:DB_TYPE=&amp;VAR:UNITS=M&amp;VAR:SHS_OUT_TY","PE=&amp;window=popup&amp;width=535&amp;height=425&amp;START_MAXIMIZED=FALSE&amp;Y=120"}</definedName>
    <definedName name="_325__FDSAUDITLINK__" hidden="1">{"fdsup://directions/FAT Viewer?action=UPDATE&amp;creator=factSet&amp;DYN_ARGS=true&amp;DOC_NAME=FAT:RGA_ENTRPR_VAL_MV_SOURCE_WINDOW.FAT&amp;VAR:ID1=BBBY&amp;VAR:SDATE=20050211&amp;VAR:FDATE=20040227&amp;VAR:FREQ=DAILY&amp;VAR:RELITEM=&amp;VAR:CURRENCY=&amp;VAR:DB_TYPE=&amp;VAR:UNITS=M&amp;VAR:SHS_OUT_TY","PE=&amp;window=popup&amp;width=535&amp;height=425&amp;START_MAXIMIZED=FALSE&amp;Y=120"}</definedName>
    <definedName name="_326__FDSAUDITLINK__" localSheetId="5" hidden="1">{"fdsup://directions/FAT Viewer?action=UPDATE&amp;creator=factSet&amp;DYN_ARGS=true&amp;DOC_NAME=FAT:RGA_ENTRPR_VAL_MV_SOURCE_WINDOW.FAT&amp;VAR:ID1=BBBY&amp;VAR:SDATE=20050218&amp;VAR:FDATE=20040227&amp;VAR:FREQ=DAILY&amp;VAR:RELITEM=&amp;VAR:CURRENCY=&amp;VAR:DB_TYPE=&amp;VAR:UNITS=M&amp;VAR:SHS_OUT_TY","PE=&amp;window=popup&amp;width=535&amp;height=425&amp;START_MAXIMIZED=FALSE&amp;Y=120"}</definedName>
    <definedName name="_326__FDSAUDITLINK__" hidden="1">{"fdsup://directions/FAT Viewer?action=UPDATE&amp;creator=factSet&amp;DYN_ARGS=true&amp;DOC_NAME=FAT:RGA_ENTRPR_VAL_MV_SOURCE_WINDOW.FAT&amp;VAR:ID1=BBBY&amp;VAR:SDATE=20050218&amp;VAR:FDATE=20040227&amp;VAR:FREQ=DAILY&amp;VAR:RELITEM=&amp;VAR:CURRENCY=&amp;VAR:DB_TYPE=&amp;VAR:UNITS=M&amp;VAR:SHS_OUT_TY","PE=&amp;window=popup&amp;width=535&amp;height=425&amp;START_MAXIMIZED=FALSE&amp;Y=120"}</definedName>
    <definedName name="_327__FDSAUDITLINK__" localSheetId="5" hidden="1">{"fdsup://directions/FAT Viewer?action=UPDATE&amp;creator=factSet&amp;DYN_ARGS=true&amp;DOC_NAME=FAT:RGA_ENTRPR_VAL_MV_SOURCE_WINDOW.FAT&amp;VAR:ID1=BBBY&amp;VAR:SDATE=20050225&amp;VAR:FDATE=20040227&amp;VAR:FREQ=DAILY&amp;VAR:RELITEM=&amp;VAR:CURRENCY=&amp;VAR:DB_TYPE=&amp;VAR:UNITS=M&amp;VAR:SHS_OUT_TY","PE=&amp;window=popup&amp;width=535&amp;height=425&amp;START_MAXIMIZED=FALSE&amp;Y=120"}</definedName>
    <definedName name="_327__FDSAUDITLINK__" hidden="1">{"fdsup://directions/FAT Viewer?action=UPDATE&amp;creator=factSet&amp;DYN_ARGS=true&amp;DOC_NAME=FAT:RGA_ENTRPR_VAL_MV_SOURCE_WINDOW.FAT&amp;VAR:ID1=BBBY&amp;VAR:SDATE=20050225&amp;VAR:FDATE=20040227&amp;VAR:FREQ=DAILY&amp;VAR:RELITEM=&amp;VAR:CURRENCY=&amp;VAR:DB_TYPE=&amp;VAR:UNITS=M&amp;VAR:SHS_OUT_TY","PE=&amp;window=popup&amp;width=535&amp;height=425&amp;START_MAXIMIZED=FALSE&amp;Y=120"}</definedName>
    <definedName name="_328__FDSAUDITLINK__" localSheetId="5" hidden="1">{"fdsup://directions/FAT Viewer?action=UPDATE&amp;creator=factSet&amp;DYN_ARGS=true&amp;DOC_NAME=FAT:RGA_ENTRPR_VAL_MV_SOURCE_WINDOW.FAT&amp;VAR:ID1=BBBY&amp;VAR:SDATE=20050304&amp;VAR:FDATE=20050228&amp;VAR:FREQ=DAILY&amp;VAR:RELITEM=&amp;VAR:CURRENCY=&amp;VAR:DB_TYPE=&amp;VAR:UNITS=M&amp;VAR:SHS_OUT_TY","PE=&amp;window=popup&amp;width=535&amp;height=425&amp;START_MAXIMIZED=FALSE&amp;Y=120"}</definedName>
    <definedName name="_328__FDSAUDITLINK__" hidden="1">{"fdsup://directions/FAT Viewer?action=UPDATE&amp;creator=factSet&amp;DYN_ARGS=true&amp;DOC_NAME=FAT:RGA_ENTRPR_VAL_MV_SOURCE_WINDOW.FAT&amp;VAR:ID1=BBBY&amp;VAR:SDATE=20050304&amp;VAR:FDATE=20050228&amp;VAR:FREQ=DAILY&amp;VAR:RELITEM=&amp;VAR:CURRENCY=&amp;VAR:DB_TYPE=&amp;VAR:UNITS=M&amp;VAR:SHS_OUT_TY","PE=&amp;window=popup&amp;width=535&amp;height=425&amp;START_MAXIMIZED=FALSE&amp;Y=120"}</definedName>
    <definedName name="_329__FDSAUDITLINK__" localSheetId="5" hidden="1">{"fdsup://directions/FAT Viewer?action=UPDATE&amp;creator=factSet&amp;DYN_ARGS=true&amp;DOC_NAME=FAT:RGA_ENTRPR_VAL_MV_SOURCE_WINDOW.FAT&amp;VAR:ID1=BBBY&amp;VAR:SDATE=20050311&amp;VAR:FDATE=20050228&amp;VAR:FREQ=DAILY&amp;VAR:RELITEM=&amp;VAR:CURRENCY=&amp;VAR:DB_TYPE=&amp;VAR:UNITS=M&amp;VAR:SHS_OUT_TY","PE=&amp;window=popup&amp;width=535&amp;height=425&amp;START_MAXIMIZED=FALSE&amp;Y=120"}</definedName>
    <definedName name="_329__FDSAUDITLINK__" hidden="1">{"fdsup://directions/FAT Viewer?action=UPDATE&amp;creator=factSet&amp;DYN_ARGS=true&amp;DOC_NAME=FAT:RGA_ENTRPR_VAL_MV_SOURCE_WINDOW.FAT&amp;VAR:ID1=BBBY&amp;VAR:SDATE=20050311&amp;VAR:FDATE=20050228&amp;VAR:FREQ=DAILY&amp;VAR:RELITEM=&amp;VAR:CURRENCY=&amp;VAR:DB_TYPE=&amp;VAR:UNITS=M&amp;VAR:SHS_OUT_TY","PE=&amp;window=popup&amp;width=535&amp;height=425&amp;START_MAXIMIZED=FALSE&amp;Y=120"}</definedName>
    <definedName name="_33__FDSAUDITLINK__" localSheetId="5" hidden="1">{"fdsup://directions/FAT Viewer?action=UPDATE&amp;creator=factSet&amp;DYN_ARGS=true&amp;DOC_NAME=FAT:RGA_ENTRPR_VAL_MV_SOURCE_WINDOW.FAT&amp;VAR:ID1=BBBY&amp;VAR:SDATE=19990709&amp;VAR:FDATE=19990226&amp;VAR:FREQ=DAILY&amp;VAR:RELITEM=&amp;VAR:CURRENCY=&amp;VAR:DB_TYPE=&amp;VAR:UNITS=M&amp;VAR:SHS_OUT_TY","PE=&amp;window=popup&amp;width=535&amp;height=425&amp;START_MAXIMIZED=FALSE&amp;Y=120"}</definedName>
    <definedName name="_33__FDSAUDITLINK__" hidden="1">{"fdsup://directions/FAT Viewer?action=UPDATE&amp;creator=factSet&amp;DYN_ARGS=true&amp;DOC_NAME=FAT:RGA_ENTRPR_VAL_MV_SOURCE_WINDOW.FAT&amp;VAR:ID1=BBBY&amp;VAR:SDATE=19990709&amp;VAR:FDATE=19990226&amp;VAR:FREQ=DAILY&amp;VAR:RELITEM=&amp;VAR:CURRENCY=&amp;VAR:DB_TYPE=&amp;VAR:UNITS=M&amp;VAR:SHS_OUT_TY","PE=&amp;window=popup&amp;width=535&amp;height=425&amp;START_MAXIMIZED=FALSE&amp;Y=120"}</definedName>
    <definedName name="_330__FDSAUDITLINK__" localSheetId="5" hidden="1">{"fdsup://directions/FAT Viewer?action=UPDATE&amp;creator=factSet&amp;DYN_ARGS=true&amp;DOC_NAME=FAT:RGA_ENTRPR_VAL_MV_SOURCE_WINDOW.FAT&amp;VAR:ID1=BBBY&amp;VAR:SDATE=20050318&amp;VAR:FDATE=20050228&amp;VAR:FREQ=DAILY&amp;VAR:RELITEM=&amp;VAR:CURRENCY=&amp;VAR:DB_TYPE=&amp;VAR:UNITS=M&amp;VAR:SHS_OUT_TY","PE=&amp;window=popup&amp;width=535&amp;height=425&amp;START_MAXIMIZED=FALSE&amp;Y=120"}</definedName>
    <definedName name="_330__FDSAUDITLINK__" hidden="1">{"fdsup://directions/FAT Viewer?action=UPDATE&amp;creator=factSet&amp;DYN_ARGS=true&amp;DOC_NAME=FAT:RGA_ENTRPR_VAL_MV_SOURCE_WINDOW.FAT&amp;VAR:ID1=BBBY&amp;VAR:SDATE=20050318&amp;VAR:FDATE=20050228&amp;VAR:FREQ=DAILY&amp;VAR:RELITEM=&amp;VAR:CURRENCY=&amp;VAR:DB_TYPE=&amp;VAR:UNITS=M&amp;VAR:SHS_OUT_TY","PE=&amp;window=popup&amp;width=535&amp;height=425&amp;START_MAXIMIZED=FALSE&amp;Y=120"}</definedName>
    <definedName name="_331__FDSAUDITLINK__" localSheetId="5" hidden="1">{"fdsup://directions/FAT Viewer?action=UPDATE&amp;creator=factSet&amp;DYN_ARGS=true&amp;DOC_NAME=FAT:RGA_ENTRPR_VAL_MV_SOURCE_WINDOW.FAT&amp;VAR:ID1=BBBY&amp;VAR:SDATE=20050324&amp;VAR:FDATE=20050228&amp;VAR:FREQ=DAILY&amp;VAR:RELITEM=&amp;VAR:CURRENCY=&amp;VAR:DB_TYPE=&amp;VAR:UNITS=M&amp;VAR:SHS_OUT_TY","PE=&amp;window=popup&amp;width=535&amp;height=425&amp;START_MAXIMIZED=FALSE&amp;Y=120"}</definedName>
    <definedName name="_331__FDSAUDITLINK__" hidden="1">{"fdsup://directions/FAT Viewer?action=UPDATE&amp;creator=factSet&amp;DYN_ARGS=true&amp;DOC_NAME=FAT:RGA_ENTRPR_VAL_MV_SOURCE_WINDOW.FAT&amp;VAR:ID1=BBBY&amp;VAR:SDATE=20050324&amp;VAR:FDATE=20050228&amp;VAR:FREQ=DAILY&amp;VAR:RELITEM=&amp;VAR:CURRENCY=&amp;VAR:DB_TYPE=&amp;VAR:UNITS=M&amp;VAR:SHS_OUT_TY","PE=&amp;window=popup&amp;width=535&amp;height=425&amp;START_MAXIMIZED=FALSE&amp;Y=120"}</definedName>
    <definedName name="_332__FDSAUDITLINK__" localSheetId="5" hidden="1">{"fdsup://directions/FAT Viewer?action=UPDATE&amp;creator=factSet&amp;DYN_ARGS=true&amp;DOC_NAME=FAT:RGA_ENTRPR_VAL_MV_SOURCE_WINDOW.FAT&amp;VAR:ID1=BBBY&amp;VAR:SDATE=20050401&amp;VAR:FDATE=20050228&amp;VAR:FREQ=DAILY&amp;VAR:RELITEM=&amp;VAR:CURRENCY=&amp;VAR:DB_TYPE=&amp;VAR:UNITS=M&amp;VAR:SHS_OUT_TY","PE=&amp;window=popup&amp;width=535&amp;height=425&amp;START_MAXIMIZED=FALSE&amp;Y=120"}</definedName>
    <definedName name="_332__FDSAUDITLINK__" hidden="1">{"fdsup://directions/FAT Viewer?action=UPDATE&amp;creator=factSet&amp;DYN_ARGS=true&amp;DOC_NAME=FAT:RGA_ENTRPR_VAL_MV_SOURCE_WINDOW.FAT&amp;VAR:ID1=BBBY&amp;VAR:SDATE=20050401&amp;VAR:FDATE=20050228&amp;VAR:FREQ=DAILY&amp;VAR:RELITEM=&amp;VAR:CURRENCY=&amp;VAR:DB_TYPE=&amp;VAR:UNITS=M&amp;VAR:SHS_OUT_TY","PE=&amp;window=popup&amp;width=535&amp;height=425&amp;START_MAXIMIZED=FALSE&amp;Y=120"}</definedName>
    <definedName name="_333__FDSAUDITLINK__" localSheetId="5" hidden="1">{"fdsup://directions/FAT Viewer?action=UPDATE&amp;creator=factSet&amp;DYN_ARGS=true&amp;DOC_NAME=FAT:RGA_ENTRPR_VAL_MV_SOURCE_WINDOW.FAT&amp;VAR:ID1=BBBY&amp;VAR:SDATE=20050408&amp;VAR:FDATE=20050228&amp;VAR:FREQ=DAILY&amp;VAR:RELITEM=&amp;VAR:CURRENCY=&amp;VAR:DB_TYPE=&amp;VAR:UNITS=M&amp;VAR:SHS_OUT_TY","PE=&amp;window=popup&amp;width=535&amp;height=425&amp;START_MAXIMIZED=FALSE&amp;Y=120"}</definedName>
    <definedName name="_333__FDSAUDITLINK__" hidden="1">{"fdsup://directions/FAT Viewer?action=UPDATE&amp;creator=factSet&amp;DYN_ARGS=true&amp;DOC_NAME=FAT:RGA_ENTRPR_VAL_MV_SOURCE_WINDOW.FAT&amp;VAR:ID1=BBBY&amp;VAR:SDATE=20050408&amp;VAR:FDATE=20050228&amp;VAR:FREQ=DAILY&amp;VAR:RELITEM=&amp;VAR:CURRENCY=&amp;VAR:DB_TYPE=&amp;VAR:UNITS=M&amp;VAR:SHS_OUT_TY","PE=&amp;window=popup&amp;width=535&amp;height=425&amp;START_MAXIMIZED=FALSE&amp;Y=120"}</definedName>
    <definedName name="_334__FDSAUDITLINK__" localSheetId="5" hidden="1">{"fdsup://directions/FAT Viewer?action=UPDATE&amp;creator=factSet&amp;DYN_ARGS=true&amp;DOC_NAME=FAT:RGA_ENTRPR_VAL_MV_SOURCE_WINDOW.FAT&amp;VAR:ID1=BBBY&amp;VAR:SDATE=20050415&amp;VAR:FDATE=20050228&amp;VAR:FREQ=DAILY&amp;VAR:RELITEM=&amp;VAR:CURRENCY=&amp;VAR:DB_TYPE=&amp;VAR:UNITS=M&amp;VAR:SHS_OUT_TY","PE=&amp;window=popup&amp;width=535&amp;height=425&amp;START_MAXIMIZED=FALSE&amp;Y=120"}</definedName>
    <definedName name="_334__FDSAUDITLINK__" hidden="1">{"fdsup://directions/FAT Viewer?action=UPDATE&amp;creator=factSet&amp;DYN_ARGS=true&amp;DOC_NAME=FAT:RGA_ENTRPR_VAL_MV_SOURCE_WINDOW.FAT&amp;VAR:ID1=BBBY&amp;VAR:SDATE=20050415&amp;VAR:FDATE=20050228&amp;VAR:FREQ=DAILY&amp;VAR:RELITEM=&amp;VAR:CURRENCY=&amp;VAR:DB_TYPE=&amp;VAR:UNITS=M&amp;VAR:SHS_OUT_TY","PE=&amp;window=popup&amp;width=535&amp;height=425&amp;START_MAXIMIZED=FALSE&amp;Y=120"}</definedName>
    <definedName name="_335__FDSAUDITLINK__" localSheetId="5" hidden="1">{"fdsup://directions/FAT Viewer?action=UPDATE&amp;creator=factSet&amp;DYN_ARGS=true&amp;DOC_NAME=FAT:RGA_ENTRPR_VAL_MV_SOURCE_WINDOW.FAT&amp;VAR:ID1=BBBY&amp;VAR:SDATE=20050422&amp;VAR:FDATE=20050228&amp;VAR:FREQ=DAILY&amp;VAR:RELITEM=&amp;VAR:CURRENCY=&amp;VAR:DB_TYPE=&amp;VAR:UNITS=M&amp;VAR:SHS_OUT_TY","PE=&amp;window=popup&amp;width=535&amp;height=425&amp;START_MAXIMIZED=FALSE&amp;Y=120"}</definedName>
    <definedName name="_335__FDSAUDITLINK__" hidden="1">{"fdsup://directions/FAT Viewer?action=UPDATE&amp;creator=factSet&amp;DYN_ARGS=true&amp;DOC_NAME=FAT:RGA_ENTRPR_VAL_MV_SOURCE_WINDOW.FAT&amp;VAR:ID1=BBBY&amp;VAR:SDATE=20050422&amp;VAR:FDATE=20050228&amp;VAR:FREQ=DAILY&amp;VAR:RELITEM=&amp;VAR:CURRENCY=&amp;VAR:DB_TYPE=&amp;VAR:UNITS=M&amp;VAR:SHS_OUT_TY","PE=&amp;window=popup&amp;width=535&amp;height=425&amp;START_MAXIMIZED=FALSE&amp;Y=120"}</definedName>
    <definedName name="_336__FDSAUDITLINK__" localSheetId="5" hidden="1">{"fdsup://directions/FAT Viewer?action=UPDATE&amp;creator=factSet&amp;DYN_ARGS=true&amp;DOC_NAME=FAT:RGA_ENTRPR_VAL_MV_SOURCE_WINDOW.FAT&amp;VAR:ID1=BBBY&amp;VAR:SDATE=20050429&amp;VAR:FDATE=20050228&amp;VAR:FREQ=DAILY&amp;VAR:RELITEM=&amp;VAR:CURRENCY=&amp;VAR:DB_TYPE=&amp;VAR:UNITS=M&amp;VAR:SHS_OUT_TY","PE=&amp;window=popup&amp;width=535&amp;height=425&amp;START_MAXIMIZED=FALSE&amp;Y=120"}</definedName>
    <definedName name="_336__FDSAUDITLINK__" hidden="1">{"fdsup://directions/FAT Viewer?action=UPDATE&amp;creator=factSet&amp;DYN_ARGS=true&amp;DOC_NAME=FAT:RGA_ENTRPR_VAL_MV_SOURCE_WINDOW.FAT&amp;VAR:ID1=BBBY&amp;VAR:SDATE=20050429&amp;VAR:FDATE=20050228&amp;VAR:FREQ=DAILY&amp;VAR:RELITEM=&amp;VAR:CURRENCY=&amp;VAR:DB_TYPE=&amp;VAR:UNITS=M&amp;VAR:SHS_OUT_TY","PE=&amp;window=popup&amp;width=535&amp;height=425&amp;START_MAXIMIZED=FALSE&amp;Y=120"}</definedName>
    <definedName name="_337__FDSAUDITLINK__" localSheetId="5" hidden="1">{"fdsup://directions/FAT Viewer?action=UPDATE&amp;creator=factSet&amp;DYN_ARGS=true&amp;DOC_NAME=FAT:RGA_ENTRPR_VAL_MV_SOURCE_WINDOW.FAT&amp;VAR:ID1=BBBY&amp;VAR:SDATE=20050506&amp;VAR:FDATE=20050228&amp;VAR:FREQ=DAILY&amp;VAR:RELITEM=&amp;VAR:CURRENCY=&amp;VAR:DB_TYPE=&amp;VAR:UNITS=M&amp;VAR:SHS_OUT_TY","PE=&amp;window=popup&amp;width=535&amp;height=425&amp;START_MAXIMIZED=FALSE&amp;Y=120"}</definedName>
    <definedName name="_337__FDSAUDITLINK__" hidden="1">{"fdsup://directions/FAT Viewer?action=UPDATE&amp;creator=factSet&amp;DYN_ARGS=true&amp;DOC_NAME=FAT:RGA_ENTRPR_VAL_MV_SOURCE_WINDOW.FAT&amp;VAR:ID1=BBBY&amp;VAR:SDATE=20050506&amp;VAR:FDATE=20050228&amp;VAR:FREQ=DAILY&amp;VAR:RELITEM=&amp;VAR:CURRENCY=&amp;VAR:DB_TYPE=&amp;VAR:UNITS=M&amp;VAR:SHS_OUT_TY","PE=&amp;window=popup&amp;width=535&amp;height=425&amp;START_MAXIMIZED=FALSE&amp;Y=120"}</definedName>
    <definedName name="_338__FDSAUDITLINK__" localSheetId="5" hidden="1">{"fdsup://directions/FAT Viewer?action=UPDATE&amp;creator=factSet&amp;DYN_ARGS=true&amp;DOC_NAME=FAT:RGA_ENTRPR_VAL_MV_SOURCE_WINDOW.FAT&amp;VAR:ID1=BBBY&amp;VAR:SDATE=20050513&amp;VAR:FDATE=20050228&amp;VAR:FREQ=DAILY&amp;VAR:RELITEM=&amp;VAR:CURRENCY=&amp;VAR:DB_TYPE=&amp;VAR:UNITS=M&amp;VAR:SHS_OUT_TY","PE=&amp;window=popup&amp;width=535&amp;height=425&amp;START_MAXIMIZED=FALSE&amp;Y=120"}</definedName>
    <definedName name="_338__FDSAUDITLINK__" hidden="1">{"fdsup://directions/FAT Viewer?action=UPDATE&amp;creator=factSet&amp;DYN_ARGS=true&amp;DOC_NAME=FAT:RGA_ENTRPR_VAL_MV_SOURCE_WINDOW.FAT&amp;VAR:ID1=BBBY&amp;VAR:SDATE=20050513&amp;VAR:FDATE=20050228&amp;VAR:FREQ=DAILY&amp;VAR:RELITEM=&amp;VAR:CURRENCY=&amp;VAR:DB_TYPE=&amp;VAR:UNITS=M&amp;VAR:SHS_OUT_TY","PE=&amp;window=popup&amp;width=535&amp;height=425&amp;START_MAXIMIZED=FALSE&amp;Y=120"}</definedName>
    <definedName name="_339__FDSAUDITLINK__" localSheetId="5" hidden="1">{"fdsup://directions/FAT Viewer?action=UPDATE&amp;creator=factSet&amp;DYN_ARGS=true&amp;DOC_NAME=FAT:RGA_ENTRPR_VAL_MV_SOURCE_WINDOW.FAT&amp;VAR:ID1=BBBY&amp;VAR:SDATE=20050520&amp;VAR:FDATE=20050228&amp;VAR:FREQ=DAILY&amp;VAR:RELITEM=&amp;VAR:CURRENCY=&amp;VAR:DB_TYPE=&amp;VAR:UNITS=M&amp;VAR:SHS_OUT_TY","PE=&amp;window=popup&amp;width=535&amp;height=425&amp;START_MAXIMIZED=FALSE&amp;Y=120"}</definedName>
    <definedName name="_339__FDSAUDITLINK__" hidden="1">{"fdsup://directions/FAT Viewer?action=UPDATE&amp;creator=factSet&amp;DYN_ARGS=true&amp;DOC_NAME=FAT:RGA_ENTRPR_VAL_MV_SOURCE_WINDOW.FAT&amp;VAR:ID1=BBBY&amp;VAR:SDATE=20050520&amp;VAR:FDATE=20050228&amp;VAR:FREQ=DAILY&amp;VAR:RELITEM=&amp;VAR:CURRENCY=&amp;VAR:DB_TYPE=&amp;VAR:UNITS=M&amp;VAR:SHS_OUT_TY","PE=&amp;window=popup&amp;width=535&amp;height=425&amp;START_MAXIMIZED=FALSE&amp;Y=120"}</definedName>
    <definedName name="_34__FDSAUDITLINK__" localSheetId="5" hidden="1">{"fdsup://directions/FAT Viewer?action=UPDATE&amp;creator=factSet&amp;DYN_ARGS=true&amp;DOC_NAME=FAT:RGA_ENTRPR_VAL_MV_SOURCE_WINDOW.FAT&amp;VAR:ID1=BBBY&amp;VAR:SDATE=19990716&amp;VAR:FDATE=19990226&amp;VAR:FREQ=DAILY&amp;VAR:RELITEM=&amp;VAR:CURRENCY=&amp;VAR:DB_TYPE=&amp;VAR:UNITS=M&amp;VAR:SHS_OUT_TY","PE=&amp;window=popup&amp;width=535&amp;height=425&amp;START_MAXIMIZED=FALSE&amp;Y=120"}</definedName>
    <definedName name="_34__FDSAUDITLINK__" hidden="1">{"fdsup://directions/FAT Viewer?action=UPDATE&amp;creator=factSet&amp;DYN_ARGS=true&amp;DOC_NAME=FAT:RGA_ENTRPR_VAL_MV_SOURCE_WINDOW.FAT&amp;VAR:ID1=BBBY&amp;VAR:SDATE=19990716&amp;VAR:FDATE=19990226&amp;VAR:FREQ=DAILY&amp;VAR:RELITEM=&amp;VAR:CURRENCY=&amp;VAR:DB_TYPE=&amp;VAR:UNITS=M&amp;VAR:SHS_OUT_TY","PE=&amp;window=popup&amp;width=535&amp;height=425&amp;START_MAXIMIZED=FALSE&amp;Y=120"}</definedName>
    <definedName name="_340__FDSAUDITLINK__" localSheetId="5" hidden="1">{"fdsup://directions/FAT Viewer?action=UPDATE&amp;creator=factSet&amp;DYN_ARGS=true&amp;DOC_NAME=FAT:RGA_ENTRPR_VAL_MV_SOURCE_WINDOW.FAT&amp;VAR:ID1=BBBY&amp;VAR:SDATE=20050527&amp;VAR:FDATE=20050228&amp;VAR:FREQ=DAILY&amp;VAR:RELITEM=&amp;VAR:CURRENCY=&amp;VAR:DB_TYPE=&amp;VAR:UNITS=M&amp;VAR:SHS_OUT_TY","PE=&amp;window=popup&amp;width=535&amp;height=425&amp;START_MAXIMIZED=FALSE&amp;Y=120"}</definedName>
    <definedName name="_340__FDSAUDITLINK__" hidden="1">{"fdsup://directions/FAT Viewer?action=UPDATE&amp;creator=factSet&amp;DYN_ARGS=true&amp;DOC_NAME=FAT:RGA_ENTRPR_VAL_MV_SOURCE_WINDOW.FAT&amp;VAR:ID1=BBBY&amp;VAR:SDATE=20050527&amp;VAR:FDATE=20050228&amp;VAR:FREQ=DAILY&amp;VAR:RELITEM=&amp;VAR:CURRENCY=&amp;VAR:DB_TYPE=&amp;VAR:UNITS=M&amp;VAR:SHS_OUT_TY","PE=&amp;window=popup&amp;width=535&amp;height=425&amp;START_MAXIMIZED=FALSE&amp;Y=120"}</definedName>
    <definedName name="_341__FDSAUDITLINK__" localSheetId="5" hidden="1">{"fdsup://directions/FAT Viewer?action=UPDATE&amp;creator=factSet&amp;DYN_ARGS=true&amp;DOC_NAME=FAT:RGA_ENTRPR_VAL_MV_SOURCE_WINDOW.FAT&amp;VAR:ID1=BBBY&amp;VAR:SDATE=20050603&amp;VAR:FDATE=20050228&amp;VAR:FREQ=DAILY&amp;VAR:RELITEM=&amp;VAR:CURRENCY=&amp;VAR:DB_TYPE=&amp;VAR:UNITS=M&amp;VAR:SHS_OUT_TY","PE=&amp;window=popup&amp;width=535&amp;height=425&amp;START_MAXIMIZED=FALSE&amp;Y=120"}</definedName>
    <definedName name="_341__FDSAUDITLINK__" hidden="1">{"fdsup://directions/FAT Viewer?action=UPDATE&amp;creator=factSet&amp;DYN_ARGS=true&amp;DOC_NAME=FAT:RGA_ENTRPR_VAL_MV_SOURCE_WINDOW.FAT&amp;VAR:ID1=BBBY&amp;VAR:SDATE=20050603&amp;VAR:FDATE=20050228&amp;VAR:FREQ=DAILY&amp;VAR:RELITEM=&amp;VAR:CURRENCY=&amp;VAR:DB_TYPE=&amp;VAR:UNITS=M&amp;VAR:SHS_OUT_TY","PE=&amp;window=popup&amp;width=535&amp;height=425&amp;START_MAXIMIZED=FALSE&amp;Y=120"}</definedName>
    <definedName name="_342__FDSAUDITLINK__" localSheetId="5" hidden="1">{"fdsup://directions/FAT Viewer?action=UPDATE&amp;creator=factSet&amp;DYN_ARGS=true&amp;DOC_NAME=FAT:RGA_ENTRPR_VAL_MV_SOURCE_WINDOW.FAT&amp;VAR:ID1=BBBY&amp;VAR:SDATE=20050610&amp;VAR:FDATE=20050228&amp;VAR:FREQ=DAILY&amp;VAR:RELITEM=&amp;VAR:CURRENCY=&amp;VAR:DB_TYPE=&amp;VAR:UNITS=M&amp;VAR:SHS_OUT_TY","PE=&amp;window=popup&amp;width=535&amp;height=425&amp;START_MAXIMIZED=FALSE&amp;Y=120"}</definedName>
    <definedName name="_342__FDSAUDITLINK__" hidden="1">{"fdsup://directions/FAT Viewer?action=UPDATE&amp;creator=factSet&amp;DYN_ARGS=true&amp;DOC_NAME=FAT:RGA_ENTRPR_VAL_MV_SOURCE_WINDOW.FAT&amp;VAR:ID1=BBBY&amp;VAR:SDATE=20050610&amp;VAR:FDATE=20050228&amp;VAR:FREQ=DAILY&amp;VAR:RELITEM=&amp;VAR:CURRENCY=&amp;VAR:DB_TYPE=&amp;VAR:UNITS=M&amp;VAR:SHS_OUT_TY","PE=&amp;window=popup&amp;width=535&amp;height=425&amp;START_MAXIMIZED=FALSE&amp;Y=120"}</definedName>
    <definedName name="_343__FDSAUDITLINK__" localSheetId="5" hidden="1">{"fdsup://directions/FAT Viewer?action=UPDATE&amp;creator=factSet&amp;DYN_ARGS=true&amp;DOC_NAME=FAT:RGA_ENTRPR_VAL_MV_SOURCE_WINDOW.FAT&amp;VAR:ID1=BBBY&amp;VAR:SDATE=20050617&amp;VAR:FDATE=20050228&amp;VAR:FREQ=DAILY&amp;VAR:RELITEM=&amp;VAR:CURRENCY=&amp;VAR:DB_TYPE=&amp;VAR:UNITS=M&amp;VAR:SHS_OUT_TY","PE=&amp;window=popup&amp;width=535&amp;height=425&amp;START_MAXIMIZED=FALSE&amp;Y=120"}</definedName>
    <definedName name="_343__FDSAUDITLINK__" hidden="1">{"fdsup://directions/FAT Viewer?action=UPDATE&amp;creator=factSet&amp;DYN_ARGS=true&amp;DOC_NAME=FAT:RGA_ENTRPR_VAL_MV_SOURCE_WINDOW.FAT&amp;VAR:ID1=BBBY&amp;VAR:SDATE=20050617&amp;VAR:FDATE=20050228&amp;VAR:FREQ=DAILY&amp;VAR:RELITEM=&amp;VAR:CURRENCY=&amp;VAR:DB_TYPE=&amp;VAR:UNITS=M&amp;VAR:SHS_OUT_TY","PE=&amp;window=popup&amp;width=535&amp;height=425&amp;START_MAXIMIZED=FALSE&amp;Y=120"}</definedName>
    <definedName name="_344__FDSAUDITLINK__" localSheetId="5" hidden="1">{"fdsup://directions/FAT Viewer?action=UPDATE&amp;creator=factSet&amp;DYN_ARGS=true&amp;DOC_NAME=FAT:RGA_ENTRPR_VAL_MV_SOURCE_WINDOW.FAT&amp;VAR:ID1=BBBY&amp;VAR:SDATE=20050624&amp;VAR:FDATE=20050228&amp;VAR:FREQ=DAILY&amp;VAR:RELITEM=&amp;VAR:CURRENCY=&amp;VAR:DB_TYPE=&amp;VAR:UNITS=M&amp;VAR:SHS_OUT_TY","PE=&amp;window=popup&amp;width=535&amp;height=425&amp;START_MAXIMIZED=FALSE&amp;Y=120"}</definedName>
    <definedName name="_344__FDSAUDITLINK__" hidden="1">{"fdsup://directions/FAT Viewer?action=UPDATE&amp;creator=factSet&amp;DYN_ARGS=true&amp;DOC_NAME=FAT:RGA_ENTRPR_VAL_MV_SOURCE_WINDOW.FAT&amp;VAR:ID1=BBBY&amp;VAR:SDATE=20050624&amp;VAR:FDATE=20050228&amp;VAR:FREQ=DAILY&amp;VAR:RELITEM=&amp;VAR:CURRENCY=&amp;VAR:DB_TYPE=&amp;VAR:UNITS=M&amp;VAR:SHS_OUT_TY","PE=&amp;window=popup&amp;width=535&amp;height=425&amp;START_MAXIMIZED=FALSE&amp;Y=120"}</definedName>
    <definedName name="_345__FDSAUDITLINK__" localSheetId="5" hidden="1">{"fdsup://directions/FAT Viewer?action=UPDATE&amp;creator=factSet&amp;DYN_ARGS=true&amp;DOC_NAME=FAT:RGA_ENTRPR_VAL_MV_SOURCE_WINDOW.FAT&amp;VAR:ID1=BBBY&amp;VAR:SDATE=20050701&amp;VAR:FDATE=20050228&amp;VAR:FREQ=DAILY&amp;VAR:RELITEM=&amp;VAR:CURRENCY=&amp;VAR:DB_TYPE=&amp;VAR:UNITS=M&amp;VAR:SHS_OUT_TY","PE=&amp;window=popup&amp;width=535&amp;height=425&amp;START_MAXIMIZED=FALSE&amp;Y=120"}</definedName>
    <definedName name="_345__FDSAUDITLINK__" hidden="1">{"fdsup://directions/FAT Viewer?action=UPDATE&amp;creator=factSet&amp;DYN_ARGS=true&amp;DOC_NAME=FAT:RGA_ENTRPR_VAL_MV_SOURCE_WINDOW.FAT&amp;VAR:ID1=BBBY&amp;VAR:SDATE=20050701&amp;VAR:FDATE=20050228&amp;VAR:FREQ=DAILY&amp;VAR:RELITEM=&amp;VAR:CURRENCY=&amp;VAR:DB_TYPE=&amp;VAR:UNITS=M&amp;VAR:SHS_OUT_TY","PE=&amp;window=popup&amp;width=535&amp;height=425&amp;START_MAXIMIZED=FALSE&amp;Y=120"}</definedName>
    <definedName name="_346__FDSAUDITLINK__" localSheetId="5" hidden="1">{"fdsup://directions/FAT Viewer?action=UPDATE&amp;creator=factSet&amp;DYN_ARGS=true&amp;DOC_NAME=FAT:RGA_ENTRPR_VAL_MV_SOURCE_WINDOW.FAT&amp;VAR:ID1=BBBY&amp;VAR:SDATE=20050708&amp;VAR:FDATE=20050228&amp;VAR:FREQ=DAILY&amp;VAR:RELITEM=&amp;VAR:CURRENCY=&amp;VAR:DB_TYPE=&amp;VAR:UNITS=M&amp;VAR:SHS_OUT_TY","PE=&amp;window=popup&amp;width=535&amp;height=425&amp;START_MAXIMIZED=FALSE&amp;Y=120"}</definedName>
    <definedName name="_346__FDSAUDITLINK__" hidden="1">{"fdsup://directions/FAT Viewer?action=UPDATE&amp;creator=factSet&amp;DYN_ARGS=true&amp;DOC_NAME=FAT:RGA_ENTRPR_VAL_MV_SOURCE_WINDOW.FAT&amp;VAR:ID1=BBBY&amp;VAR:SDATE=20050708&amp;VAR:FDATE=20050228&amp;VAR:FREQ=DAILY&amp;VAR:RELITEM=&amp;VAR:CURRENCY=&amp;VAR:DB_TYPE=&amp;VAR:UNITS=M&amp;VAR:SHS_OUT_TY","PE=&amp;window=popup&amp;width=535&amp;height=425&amp;START_MAXIMIZED=FALSE&amp;Y=120"}</definedName>
    <definedName name="_347__FDSAUDITLINK__" localSheetId="5" hidden="1">{"fdsup://directions/FAT Viewer?action=UPDATE&amp;creator=factSet&amp;DYN_ARGS=true&amp;DOC_NAME=FAT:RGA_ENTRPR_VAL_MV_SOURCE_WINDOW.FAT&amp;VAR:ID1=BBBY&amp;VAR:SDATE=20050715&amp;VAR:FDATE=20050228&amp;VAR:FREQ=DAILY&amp;VAR:RELITEM=&amp;VAR:CURRENCY=&amp;VAR:DB_TYPE=&amp;VAR:UNITS=M&amp;VAR:SHS_OUT_TY","PE=&amp;window=popup&amp;width=535&amp;height=425&amp;START_MAXIMIZED=FALSE&amp;Y=120"}</definedName>
    <definedName name="_347__FDSAUDITLINK__" hidden="1">{"fdsup://directions/FAT Viewer?action=UPDATE&amp;creator=factSet&amp;DYN_ARGS=true&amp;DOC_NAME=FAT:RGA_ENTRPR_VAL_MV_SOURCE_WINDOW.FAT&amp;VAR:ID1=BBBY&amp;VAR:SDATE=20050715&amp;VAR:FDATE=20050228&amp;VAR:FREQ=DAILY&amp;VAR:RELITEM=&amp;VAR:CURRENCY=&amp;VAR:DB_TYPE=&amp;VAR:UNITS=M&amp;VAR:SHS_OUT_TY","PE=&amp;window=popup&amp;width=535&amp;height=425&amp;START_MAXIMIZED=FALSE&amp;Y=120"}</definedName>
    <definedName name="_348__FDSAUDITLINK__" localSheetId="5" hidden="1">{"fdsup://directions/FAT Viewer?action=UPDATE&amp;creator=factSet&amp;DYN_ARGS=true&amp;DOC_NAME=FAT:RGA_ENTRPR_VAL_MV_SOURCE_WINDOW.FAT&amp;VAR:ID1=BBBY&amp;VAR:SDATE=20050722&amp;VAR:FDATE=20050228&amp;VAR:FREQ=DAILY&amp;VAR:RELITEM=&amp;VAR:CURRENCY=&amp;VAR:DB_TYPE=&amp;VAR:UNITS=M&amp;VAR:SHS_OUT_TY","PE=&amp;window=popup&amp;width=535&amp;height=425&amp;START_MAXIMIZED=FALSE&amp;Y=120"}</definedName>
    <definedName name="_348__FDSAUDITLINK__" hidden="1">{"fdsup://directions/FAT Viewer?action=UPDATE&amp;creator=factSet&amp;DYN_ARGS=true&amp;DOC_NAME=FAT:RGA_ENTRPR_VAL_MV_SOURCE_WINDOW.FAT&amp;VAR:ID1=BBBY&amp;VAR:SDATE=20050722&amp;VAR:FDATE=20050228&amp;VAR:FREQ=DAILY&amp;VAR:RELITEM=&amp;VAR:CURRENCY=&amp;VAR:DB_TYPE=&amp;VAR:UNITS=M&amp;VAR:SHS_OUT_TY","PE=&amp;window=popup&amp;width=535&amp;height=425&amp;START_MAXIMIZED=FALSE&amp;Y=120"}</definedName>
    <definedName name="_349__FDSAUDITLINK__" localSheetId="5" hidden="1">{"fdsup://directions/FAT Viewer?action=UPDATE&amp;creator=factSet&amp;DYN_ARGS=true&amp;DOC_NAME=FAT:RGA_ENTRPR_VAL_MV_SOURCE_WINDOW.FAT&amp;VAR:ID1=BBBY&amp;VAR:SDATE=20050729&amp;VAR:FDATE=20050228&amp;VAR:FREQ=DAILY&amp;VAR:RELITEM=&amp;VAR:CURRENCY=&amp;VAR:DB_TYPE=&amp;VAR:UNITS=M&amp;VAR:SHS_OUT_TY","PE=&amp;window=popup&amp;width=535&amp;height=425&amp;START_MAXIMIZED=FALSE&amp;Y=120"}</definedName>
    <definedName name="_349__FDSAUDITLINK__" hidden="1">{"fdsup://directions/FAT Viewer?action=UPDATE&amp;creator=factSet&amp;DYN_ARGS=true&amp;DOC_NAME=FAT:RGA_ENTRPR_VAL_MV_SOURCE_WINDOW.FAT&amp;VAR:ID1=BBBY&amp;VAR:SDATE=20050729&amp;VAR:FDATE=20050228&amp;VAR:FREQ=DAILY&amp;VAR:RELITEM=&amp;VAR:CURRENCY=&amp;VAR:DB_TYPE=&amp;VAR:UNITS=M&amp;VAR:SHS_OUT_TY","PE=&amp;window=popup&amp;width=535&amp;height=425&amp;START_MAXIMIZED=FALSE&amp;Y=120"}</definedName>
    <definedName name="_35__FDSAUDITLINK__" localSheetId="5" hidden="1">{"fdsup://directions/FAT Viewer?action=UPDATE&amp;creator=factSet&amp;DYN_ARGS=true&amp;DOC_NAME=FAT:RGA_ENTRPR_VAL_MV_SOURCE_WINDOW.FAT&amp;VAR:ID1=BBBY&amp;VAR:SDATE=19990723&amp;VAR:FDATE=19990226&amp;VAR:FREQ=DAILY&amp;VAR:RELITEM=&amp;VAR:CURRENCY=&amp;VAR:DB_TYPE=&amp;VAR:UNITS=M&amp;VAR:SHS_OUT_TY","PE=&amp;window=popup&amp;width=535&amp;height=425&amp;START_MAXIMIZED=FALSE&amp;Y=120"}</definedName>
    <definedName name="_35__FDSAUDITLINK__" hidden="1">{"fdsup://directions/FAT Viewer?action=UPDATE&amp;creator=factSet&amp;DYN_ARGS=true&amp;DOC_NAME=FAT:RGA_ENTRPR_VAL_MV_SOURCE_WINDOW.FAT&amp;VAR:ID1=BBBY&amp;VAR:SDATE=19990723&amp;VAR:FDATE=19990226&amp;VAR:FREQ=DAILY&amp;VAR:RELITEM=&amp;VAR:CURRENCY=&amp;VAR:DB_TYPE=&amp;VAR:UNITS=M&amp;VAR:SHS_OUT_TY","PE=&amp;window=popup&amp;width=535&amp;height=425&amp;START_MAXIMIZED=FALSE&amp;Y=120"}</definedName>
    <definedName name="_350__FDSAUDITLINK__" localSheetId="5" hidden="1">{"fdsup://directions/FAT Viewer?action=UPDATE&amp;creator=factSet&amp;DYN_ARGS=true&amp;DOC_NAME=FAT:RGA_ENTRPR_VAL_MV_SOURCE_WINDOW.FAT&amp;VAR:ID1=BBBY&amp;VAR:SDATE=20050805&amp;VAR:FDATE=20050228&amp;VAR:FREQ=DAILY&amp;VAR:RELITEM=&amp;VAR:CURRENCY=&amp;VAR:DB_TYPE=&amp;VAR:UNITS=M&amp;VAR:SHS_OUT_TY","PE=&amp;window=popup&amp;width=535&amp;height=425&amp;START_MAXIMIZED=FALSE&amp;Y=120"}</definedName>
    <definedName name="_350__FDSAUDITLINK__" hidden="1">{"fdsup://directions/FAT Viewer?action=UPDATE&amp;creator=factSet&amp;DYN_ARGS=true&amp;DOC_NAME=FAT:RGA_ENTRPR_VAL_MV_SOURCE_WINDOW.FAT&amp;VAR:ID1=BBBY&amp;VAR:SDATE=20050805&amp;VAR:FDATE=20050228&amp;VAR:FREQ=DAILY&amp;VAR:RELITEM=&amp;VAR:CURRENCY=&amp;VAR:DB_TYPE=&amp;VAR:UNITS=M&amp;VAR:SHS_OUT_TY","PE=&amp;window=popup&amp;width=535&amp;height=425&amp;START_MAXIMIZED=FALSE&amp;Y=120"}</definedName>
    <definedName name="_351__FDSAUDITLINK__" localSheetId="5" hidden="1">{"fdsup://directions/FAT Viewer?action=UPDATE&amp;creator=factSet&amp;DYN_ARGS=true&amp;DOC_NAME=FAT:RGA_ENTRPR_VAL_MV_SOURCE_WINDOW.FAT&amp;VAR:ID1=BBBY&amp;VAR:SDATE=20050812&amp;VAR:FDATE=20050228&amp;VAR:FREQ=DAILY&amp;VAR:RELITEM=&amp;VAR:CURRENCY=&amp;VAR:DB_TYPE=&amp;VAR:UNITS=M&amp;VAR:SHS_OUT_TY","PE=&amp;window=popup&amp;width=535&amp;height=425&amp;START_MAXIMIZED=FALSE&amp;Y=120"}</definedName>
    <definedName name="_351__FDSAUDITLINK__" hidden="1">{"fdsup://directions/FAT Viewer?action=UPDATE&amp;creator=factSet&amp;DYN_ARGS=true&amp;DOC_NAME=FAT:RGA_ENTRPR_VAL_MV_SOURCE_WINDOW.FAT&amp;VAR:ID1=BBBY&amp;VAR:SDATE=20050812&amp;VAR:FDATE=20050228&amp;VAR:FREQ=DAILY&amp;VAR:RELITEM=&amp;VAR:CURRENCY=&amp;VAR:DB_TYPE=&amp;VAR:UNITS=M&amp;VAR:SHS_OUT_TY","PE=&amp;window=popup&amp;width=535&amp;height=425&amp;START_MAXIMIZED=FALSE&amp;Y=120"}</definedName>
    <definedName name="_352__FDSAUDITLINK__" localSheetId="5" hidden="1">{"fdsup://directions/FAT Viewer?action=UPDATE&amp;creator=factSet&amp;DYN_ARGS=true&amp;DOC_NAME=FAT:RGA_ENTRPR_VAL_MV_SOURCE_WINDOW.FAT&amp;VAR:ID1=BBBY&amp;VAR:SDATE=20050819&amp;VAR:FDATE=20050228&amp;VAR:FREQ=DAILY&amp;VAR:RELITEM=&amp;VAR:CURRENCY=&amp;VAR:DB_TYPE=&amp;VAR:UNITS=M&amp;VAR:SHS_OUT_TY","PE=&amp;window=popup&amp;width=535&amp;height=425&amp;START_MAXIMIZED=FALSE&amp;Y=120"}</definedName>
    <definedName name="_352__FDSAUDITLINK__" hidden="1">{"fdsup://directions/FAT Viewer?action=UPDATE&amp;creator=factSet&amp;DYN_ARGS=true&amp;DOC_NAME=FAT:RGA_ENTRPR_VAL_MV_SOURCE_WINDOW.FAT&amp;VAR:ID1=BBBY&amp;VAR:SDATE=20050819&amp;VAR:FDATE=20050228&amp;VAR:FREQ=DAILY&amp;VAR:RELITEM=&amp;VAR:CURRENCY=&amp;VAR:DB_TYPE=&amp;VAR:UNITS=M&amp;VAR:SHS_OUT_TY","PE=&amp;window=popup&amp;width=535&amp;height=425&amp;START_MAXIMIZED=FALSE&amp;Y=120"}</definedName>
    <definedName name="_353__FDSAUDITLINK__" localSheetId="5" hidden="1">{"fdsup://directions/FAT Viewer?action=UPDATE&amp;creator=factSet&amp;DYN_ARGS=true&amp;DOC_NAME=FAT:RGA_ENTRPR_VAL_MV_SOURCE_WINDOW.FAT&amp;VAR:ID1=BBBY&amp;VAR:SDATE=20050826&amp;VAR:FDATE=20050228&amp;VAR:FREQ=DAILY&amp;VAR:RELITEM=&amp;VAR:CURRENCY=&amp;VAR:DB_TYPE=&amp;VAR:UNITS=M&amp;VAR:SHS_OUT_TY","PE=&amp;window=popup&amp;width=535&amp;height=425&amp;START_MAXIMIZED=FALSE&amp;Y=120"}</definedName>
    <definedName name="_353__FDSAUDITLINK__" hidden="1">{"fdsup://directions/FAT Viewer?action=UPDATE&amp;creator=factSet&amp;DYN_ARGS=true&amp;DOC_NAME=FAT:RGA_ENTRPR_VAL_MV_SOURCE_WINDOW.FAT&amp;VAR:ID1=BBBY&amp;VAR:SDATE=20050826&amp;VAR:FDATE=20050228&amp;VAR:FREQ=DAILY&amp;VAR:RELITEM=&amp;VAR:CURRENCY=&amp;VAR:DB_TYPE=&amp;VAR:UNITS=M&amp;VAR:SHS_OUT_TY","PE=&amp;window=popup&amp;width=535&amp;height=425&amp;START_MAXIMIZED=FALSE&amp;Y=120"}</definedName>
    <definedName name="_354__FDSAUDITLINK__" localSheetId="5" hidden="1">{"fdsup://directions/FAT Viewer?action=UPDATE&amp;creator=factSet&amp;DYN_ARGS=true&amp;DOC_NAME=FAT:RGA_ENTRPR_VAL_MV_SOURCE_WINDOW.FAT&amp;VAR:ID1=BBBY&amp;VAR:SDATE=20050902&amp;VAR:FDATE=20050228&amp;VAR:FREQ=DAILY&amp;VAR:RELITEM=&amp;VAR:CURRENCY=&amp;VAR:DB_TYPE=&amp;VAR:UNITS=M&amp;VAR:SHS_OUT_TY","PE=&amp;window=popup&amp;width=535&amp;height=425&amp;START_MAXIMIZED=FALSE&amp;Y=120"}</definedName>
    <definedName name="_354__FDSAUDITLINK__" hidden="1">{"fdsup://directions/FAT Viewer?action=UPDATE&amp;creator=factSet&amp;DYN_ARGS=true&amp;DOC_NAME=FAT:RGA_ENTRPR_VAL_MV_SOURCE_WINDOW.FAT&amp;VAR:ID1=BBBY&amp;VAR:SDATE=20050902&amp;VAR:FDATE=20050228&amp;VAR:FREQ=DAILY&amp;VAR:RELITEM=&amp;VAR:CURRENCY=&amp;VAR:DB_TYPE=&amp;VAR:UNITS=M&amp;VAR:SHS_OUT_TY","PE=&amp;window=popup&amp;width=535&amp;height=425&amp;START_MAXIMIZED=FALSE&amp;Y=120"}</definedName>
    <definedName name="_355__FDSAUDITLINK__" localSheetId="5" hidden="1">{"fdsup://directions/FAT Viewer?action=UPDATE&amp;creator=factSet&amp;DYN_ARGS=true&amp;DOC_NAME=FAT:RGA_ENTRPR_VAL_MV_SOURCE_WINDOW.FAT&amp;VAR:ID1=BBBY&amp;VAR:SDATE=20050909&amp;VAR:FDATE=20050228&amp;VAR:FREQ=DAILY&amp;VAR:RELITEM=&amp;VAR:CURRENCY=&amp;VAR:DB_TYPE=&amp;VAR:UNITS=M&amp;VAR:SHS_OUT_TY","PE=&amp;window=popup&amp;width=535&amp;height=425&amp;START_MAXIMIZED=FALSE&amp;Y=120"}</definedName>
    <definedName name="_355__FDSAUDITLINK__" hidden="1">{"fdsup://directions/FAT Viewer?action=UPDATE&amp;creator=factSet&amp;DYN_ARGS=true&amp;DOC_NAME=FAT:RGA_ENTRPR_VAL_MV_SOURCE_WINDOW.FAT&amp;VAR:ID1=BBBY&amp;VAR:SDATE=20050909&amp;VAR:FDATE=20050228&amp;VAR:FREQ=DAILY&amp;VAR:RELITEM=&amp;VAR:CURRENCY=&amp;VAR:DB_TYPE=&amp;VAR:UNITS=M&amp;VAR:SHS_OUT_TY","PE=&amp;window=popup&amp;width=535&amp;height=425&amp;START_MAXIMIZED=FALSE&amp;Y=120"}</definedName>
    <definedName name="_356__FDSAUDITLINK__" localSheetId="5" hidden="1">{"fdsup://directions/FAT Viewer?action=UPDATE&amp;creator=factSet&amp;DYN_ARGS=true&amp;DOC_NAME=FAT:RGA_ENTRPR_VAL_MV_SOURCE_WINDOW.FAT&amp;VAR:ID1=BBBY&amp;VAR:SDATE=20050916&amp;VAR:FDATE=20050228&amp;VAR:FREQ=DAILY&amp;VAR:RELITEM=&amp;VAR:CURRENCY=&amp;VAR:DB_TYPE=&amp;VAR:UNITS=M&amp;VAR:SHS_OUT_TY","PE=&amp;window=popup&amp;width=535&amp;height=425&amp;START_MAXIMIZED=FALSE&amp;Y=120"}</definedName>
    <definedName name="_356__FDSAUDITLINK__" hidden="1">{"fdsup://directions/FAT Viewer?action=UPDATE&amp;creator=factSet&amp;DYN_ARGS=true&amp;DOC_NAME=FAT:RGA_ENTRPR_VAL_MV_SOURCE_WINDOW.FAT&amp;VAR:ID1=BBBY&amp;VAR:SDATE=20050916&amp;VAR:FDATE=20050228&amp;VAR:FREQ=DAILY&amp;VAR:RELITEM=&amp;VAR:CURRENCY=&amp;VAR:DB_TYPE=&amp;VAR:UNITS=M&amp;VAR:SHS_OUT_TY","PE=&amp;window=popup&amp;width=535&amp;height=425&amp;START_MAXIMIZED=FALSE&amp;Y=120"}</definedName>
    <definedName name="_357__FDSAUDITLINK__" localSheetId="5" hidden="1">{"fdsup://directions/FAT Viewer?action=UPDATE&amp;creator=factSet&amp;DYN_ARGS=true&amp;DOC_NAME=FAT:RGA_ENTRPR_VAL_MV_SOURCE_WINDOW.FAT&amp;VAR:ID1=BBBY&amp;VAR:SDATE=20050923&amp;VAR:FDATE=20050228&amp;VAR:FREQ=DAILY&amp;VAR:RELITEM=&amp;VAR:CURRENCY=&amp;VAR:DB_TYPE=&amp;VAR:UNITS=M&amp;VAR:SHS_OUT_TY","PE=&amp;window=popup&amp;width=535&amp;height=425&amp;START_MAXIMIZED=FALSE&amp;Y=120"}</definedName>
    <definedName name="_357__FDSAUDITLINK__" hidden="1">{"fdsup://directions/FAT Viewer?action=UPDATE&amp;creator=factSet&amp;DYN_ARGS=true&amp;DOC_NAME=FAT:RGA_ENTRPR_VAL_MV_SOURCE_WINDOW.FAT&amp;VAR:ID1=BBBY&amp;VAR:SDATE=20050923&amp;VAR:FDATE=20050228&amp;VAR:FREQ=DAILY&amp;VAR:RELITEM=&amp;VAR:CURRENCY=&amp;VAR:DB_TYPE=&amp;VAR:UNITS=M&amp;VAR:SHS_OUT_TY","PE=&amp;window=popup&amp;width=535&amp;height=425&amp;START_MAXIMIZED=FALSE&amp;Y=120"}</definedName>
    <definedName name="_358__FDSAUDITLINK__" localSheetId="5" hidden="1">{"fdsup://directions/FAT Viewer?action=UPDATE&amp;creator=factSet&amp;DYN_ARGS=true&amp;DOC_NAME=FAT:RGA_ENTRPR_VAL_MV_SOURCE_WINDOW.FAT&amp;VAR:ID1=BBBY&amp;VAR:SDATE=20050930&amp;VAR:FDATE=20050228&amp;VAR:FREQ=DAILY&amp;VAR:RELITEM=&amp;VAR:CURRENCY=&amp;VAR:DB_TYPE=&amp;VAR:UNITS=M&amp;VAR:SHS_OUT_TY","PE=&amp;window=popup&amp;width=535&amp;height=425&amp;START_MAXIMIZED=FALSE&amp;Y=120"}</definedName>
    <definedName name="_358__FDSAUDITLINK__" hidden="1">{"fdsup://directions/FAT Viewer?action=UPDATE&amp;creator=factSet&amp;DYN_ARGS=true&amp;DOC_NAME=FAT:RGA_ENTRPR_VAL_MV_SOURCE_WINDOW.FAT&amp;VAR:ID1=BBBY&amp;VAR:SDATE=20050930&amp;VAR:FDATE=20050228&amp;VAR:FREQ=DAILY&amp;VAR:RELITEM=&amp;VAR:CURRENCY=&amp;VAR:DB_TYPE=&amp;VAR:UNITS=M&amp;VAR:SHS_OUT_TY","PE=&amp;window=popup&amp;width=535&amp;height=425&amp;START_MAXIMIZED=FALSE&amp;Y=120"}</definedName>
    <definedName name="_359__FDSAUDITLINK__" localSheetId="5" hidden="1">{"fdsup://directions/FAT Viewer?action=UPDATE&amp;creator=factSet&amp;DYN_ARGS=true&amp;DOC_NAME=FAT:RGA_ENTRPR_VAL_MV_SOURCE_WINDOW.FAT&amp;VAR:ID1=BBBY&amp;VAR:SDATE=20051007&amp;VAR:FDATE=20050228&amp;VAR:FREQ=DAILY&amp;VAR:RELITEM=&amp;VAR:CURRENCY=&amp;VAR:DB_TYPE=&amp;VAR:UNITS=M&amp;VAR:SHS_OUT_TY","PE=&amp;window=popup&amp;width=535&amp;height=425&amp;START_MAXIMIZED=FALSE&amp;Y=120"}</definedName>
    <definedName name="_359__FDSAUDITLINK__" hidden="1">{"fdsup://directions/FAT Viewer?action=UPDATE&amp;creator=factSet&amp;DYN_ARGS=true&amp;DOC_NAME=FAT:RGA_ENTRPR_VAL_MV_SOURCE_WINDOW.FAT&amp;VAR:ID1=BBBY&amp;VAR:SDATE=20051007&amp;VAR:FDATE=20050228&amp;VAR:FREQ=DAILY&amp;VAR:RELITEM=&amp;VAR:CURRENCY=&amp;VAR:DB_TYPE=&amp;VAR:UNITS=M&amp;VAR:SHS_OUT_TY","PE=&amp;window=popup&amp;width=535&amp;height=425&amp;START_MAXIMIZED=FALSE&amp;Y=120"}</definedName>
    <definedName name="_36__FDSAUDITLINK__" localSheetId="5" hidden="1">{"fdsup://directions/FAT Viewer?action=UPDATE&amp;creator=factSet&amp;DYN_ARGS=true&amp;DOC_NAME=FAT:RGA_ENTRPR_VAL_MV_SOURCE_WINDOW.FAT&amp;VAR:ID1=BBBY&amp;VAR:SDATE=19990730&amp;VAR:FDATE=19990226&amp;VAR:FREQ=DAILY&amp;VAR:RELITEM=&amp;VAR:CURRENCY=&amp;VAR:DB_TYPE=&amp;VAR:UNITS=M&amp;VAR:SHS_OUT_TY","PE=&amp;window=popup&amp;width=535&amp;height=425&amp;START_MAXIMIZED=FALSE&amp;Y=120"}</definedName>
    <definedName name="_36__FDSAUDITLINK__" hidden="1">{"fdsup://directions/FAT Viewer?action=UPDATE&amp;creator=factSet&amp;DYN_ARGS=true&amp;DOC_NAME=FAT:RGA_ENTRPR_VAL_MV_SOURCE_WINDOW.FAT&amp;VAR:ID1=BBBY&amp;VAR:SDATE=19990730&amp;VAR:FDATE=19990226&amp;VAR:FREQ=DAILY&amp;VAR:RELITEM=&amp;VAR:CURRENCY=&amp;VAR:DB_TYPE=&amp;VAR:UNITS=M&amp;VAR:SHS_OUT_TY","PE=&amp;window=popup&amp;width=535&amp;height=425&amp;START_MAXIMIZED=FALSE&amp;Y=120"}</definedName>
    <definedName name="_360__FDSAUDITLINK__" localSheetId="5" hidden="1">{"fdsup://directions/FAT Viewer?action=UPDATE&amp;creator=factSet&amp;DYN_ARGS=true&amp;DOC_NAME=FAT:RGA_ENTRPR_VAL_MV_SOURCE_WINDOW.FAT&amp;VAR:ID1=BBBY&amp;VAR:SDATE=20051014&amp;VAR:FDATE=20050228&amp;VAR:FREQ=DAILY&amp;VAR:RELITEM=&amp;VAR:CURRENCY=&amp;VAR:DB_TYPE=&amp;VAR:UNITS=M&amp;VAR:SHS_OUT_TY","PE=&amp;window=popup&amp;width=535&amp;height=425&amp;START_MAXIMIZED=FALSE&amp;Y=120"}</definedName>
    <definedName name="_360__FDSAUDITLINK__" hidden="1">{"fdsup://directions/FAT Viewer?action=UPDATE&amp;creator=factSet&amp;DYN_ARGS=true&amp;DOC_NAME=FAT:RGA_ENTRPR_VAL_MV_SOURCE_WINDOW.FAT&amp;VAR:ID1=BBBY&amp;VAR:SDATE=20051014&amp;VAR:FDATE=20050228&amp;VAR:FREQ=DAILY&amp;VAR:RELITEM=&amp;VAR:CURRENCY=&amp;VAR:DB_TYPE=&amp;VAR:UNITS=M&amp;VAR:SHS_OUT_TY","PE=&amp;window=popup&amp;width=535&amp;height=425&amp;START_MAXIMIZED=FALSE&amp;Y=120"}</definedName>
    <definedName name="_361__FDSAUDITLINK__" localSheetId="5" hidden="1">{"fdsup://directions/FAT Viewer?action=UPDATE&amp;creator=factSet&amp;DYN_ARGS=true&amp;DOC_NAME=FAT:RGA_ENTRPR_VAL_MV_SOURCE_WINDOW.FAT&amp;VAR:ID1=BBBY&amp;VAR:SDATE=20051021&amp;VAR:FDATE=20050228&amp;VAR:FREQ=DAILY&amp;VAR:RELITEM=&amp;VAR:CURRENCY=&amp;VAR:DB_TYPE=&amp;VAR:UNITS=M&amp;VAR:SHS_OUT_TY","PE=&amp;window=popup&amp;width=535&amp;height=425&amp;START_MAXIMIZED=FALSE&amp;Y=120"}</definedName>
    <definedName name="_361__FDSAUDITLINK__" hidden="1">{"fdsup://directions/FAT Viewer?action=UPDATE&amp;creator=factSet&amp;DYN_ARGS=true&amp;DOC_NAME=FAT:RGA_ENTRPR_VAL_MV_SOURCE_WINDOW.FAT&amp;VAR:ID1=BBBY&amp;VAR:SDATE=20051021&amp;VAR:FDATE=20050228&amp;VAR:FREQ=DAILY&amp;VAR:RELITEM=&amp;VAR:CURRENCY=&amp;VAR:DB_TYPE=&amp;VAR:UNITS=M&amp;VAR:SHS_OUT_TY","PE=&amp;window=popup&amp;width=535&amp;height=425&amp;START_MAXIMIZED=FALSE&amp;Y=120"}</definedName>
    <definedName name="_362__FDSAUDITLINK__" localSheetId="5" hidden="1">{"fdsup://directions/FAT Viewer?action=UPDATE&amp;creator=factSet&amp;DYN_ARGS=true&amp;DOC_NAME=FAT:RGA_ENTRPR_VAL_MV_SOURCE_WINDOW.FAT&amp;VAR:ID1=BBBY&amp;VAR:SDATE=20051028&amp;VAR:FDATE=20050228&amp;VAR:FREQ=DAILY&amp;VAR:RELITEM=&amp;VAR:CURRENCY=&amp;VAR:DB_TYPE=&amp;VAR:UNITS=M&amp;VAR:SHS_OUT_TY","PE=&amp;window=popup&amp;width=535&amp;height=425&amp;START_MAXIMIZED=FALSE&amp;Y=120"}</definedName>
    <definedName name="_362__FDSAUDITLINK__" hidden="1">{"fdsup://directions/FAT Viewer?action=UPDATE&amp;creator=factSet&amp;DYN_ARGS=true&amp;DOC_NAME=FAT:RGA_ENTRPR_VAL_MV_SOURCE_WINDOW.FAT&amp;VAR:ID1=BBBY&amp;VAR:SDATE=20051028&amp;VAR:FDATE=20050228&amp;VAR:FREQ=DAILY&amp;VAR:RELITEM=&amp;VAR:CURRENCY=&amp;VAR:DB_TYPE=&amp;VAR:UNITS=M&amp;VAR:SHS_OUT_TY","PE=&amp;window=popup&amp;width=535&amp;height=425&amp;START_MAXIMIZED=FALSE&amp;Y=120"}</definedName>
    <definedName name="_363__FDSAUDITLINK__" localSheetId="5" hidden="1">{"fdsup://directions/FAT Viewer?action=UPDATE&amp;creator=factSet&amp;DYN_ARGS=true&amp;DOC_NAME=FAT:RGA_ENTRPR_VAL_MV_SOURCE_WINDOW.FAT&amp;VAR:ID1=BBBY&amp;VAR:SDATE=20051104&amp;VAR:FDATE=20050228&amp;VAR:FREQ=DAILY&amp;VAR:RELITEM=&amp;VAR:CURRENCY=&amp;VAR:DB_TYPE=&amp;VAR:UNITS=M&amp;VAR:SHS_OUT_TY","PE=&amp;window=popup&amp;width=535&amp;height=425&amp;START_MAXIMIZED=FALSE&amp;Y=120"}</definedName>
    <definedName name="_363__FDSAUDITLINK__" hidden="1">{"fdsup://directions/FAT Viewer?action=UPDATE&amp;creator=factSet&amp;DYN_ARGS=true&amp;DOC_NAME=FAT:RGA_ENTRPR_VAL_MV_SOURCE_WINDOW.FAT&amp;VAR:ID1=BBBY&amp;VAR:SDATE=20051104&amp;VAR:FDATE=20050228&amp;VAR:FREQ=DAILY&amp;VAR:RELITEM=&amp;VAR:CURRENCY=&amp;VAR:DB_TYPE=&amp;VAR:UNITS=M&amp;VAR:SHS_OUT_TY","PE=&amp;window=popup&amp;width=535&amp;height=425&amp;START_MAXIMIZED=FALSE&amp;Y=120"}</definedName>
    <definedName name="_364__FDSAUDITLINK__" localSheetId="5" hidden="1">{"fdsup://directions/FAT Viewer?action=UPDATE&amp;creator=factSet&amp;DYN_ARGS=true&amp;DOC_NAME=FAT:RGA_ENTRPR_VAL_MV_SOURCE_WINDOW.FAT&amp;VAR:ID1=BBBY&amp;VAR:SDATE=20051111&amp;VAR:FDATE=20050228&amp;VAR:FREQ=DAILY&amp;VAR:RELITEM=&amp;VAR:CURRENCY=&amp;VAR:DB_TYPE=&amp;VAR:UNITS=M&amp;VAR:SHS_OUT_TY","PE=&amp;window=popup&amp;width=535&amp;height=425&amp;START_MAXIMIZED=FALSE&amp;Y=120"}</definedName>
    <definedName name="_364__FDSAUDITLINK__" hidden="1">{"fdsup://directions/FAT Viewer?action=UPDATE&amp;creator=factSet&amp;DYN_ARGS=true&amp;DOC_NAME=FAT:RGA_ENTRPR_VAL_MV_SOURCE_WINDOW.FAT&amp;VAR:ID1=BBBY&amp;VAR:SDATE=20051111&amp;VAR:FDATE=20050228&amp;VAR:FREQ=DAILY&amp;VAR:RELITEM=&amp;VAR:CURRENCY=&amp;VAR:DB_TYPE=&amp;VAR:UNITS=M&amp;VAR:SHS_OUT_TY","PE=&amp;window=popup&amp;width=535&amp;height=425&amp;START_MAXIMIZED=FALSE&amp;Y=120"}</definedName>
    <definedName name="_365__FDSAUDITLINK__" localSheetId="5" hidden="1">{"fdsup://directions/FAT Viewer?action=UPDATE&amp;creator=factSet&amp;DYN_ARGS=true&amp;DOC_NAME=FAT:RGA_ENTRPR_VAL_MV_SOURCE_WINDOW.FAT&amp;VAR:ID1=BBBY&amp;VAR:SDATE=20051118&amp;VAR:FDATE=20050228&amp;VAR:FREQ=DAILY&amp;VAR:RELITEM=&amp;VAR:CURRENCY=&amp;VAR:DB_TYPE=&amp;VAR:UNITS=M&amp;VAR:SHS_OUT_TY","PE=&amp;window=popup&amp;width=535&amp;height=425&amp;START_MAXIMIZED=FALSE&amp;Y=120"}</definedName>
    <definedName name="_365__FDSAUDITLINK__" hidden="1">{"fdsup://directions/FAT Viewer?action=UPDATE&amp;creator=factSet&amp;DYN_ARGS=true&amp;DOC_NAME=FAT:RGA_ENTRPR_VAL_MV_SOURCE_WINDOW.FAT&amp;VAR:ID1=BBBY&amp;VAR:SDATE=20051118&amp;VAR:FDATE=20050228&amp;VAR:FREQ=DAILY&amp;VAR:RELITEM=&amp;VAR:CURRENCY=&amp;VAR:DB_TYPE=&amp;VAR:UNITS=M&amp;VAR:SHS_OUT_TY","PE=&amp;window=popup&amp;width=535&amp;height=425&amp;START_MAXIMIZED=FALSE&amp;Y=120"}</definedName>
    <definedName name="_366__FDSAUDITLINK__" localSheetId="5" hidden="1">{"fdsup://directions/FAT Viewer?action=UPDATE&amp;creator=factSet&amp;DYN_ARGS=true&amp;DOC_NAME=FAT:RGA_ENTRPR_VAL_MV_SOURCE_WINDOW.FAT&amp;VAR:ID1=BBBY&amp;VAR:SDATE=20051125&amp;VAR:FDATE=20050228&amp;VAR:FREQ=DAILY&amp;VAR:RELITEM=&amp;VAR:CURRENCY=&amp;VAR:DB_TYPE=&amp;VAR:UNITS=M&amp;VAR:SHS_OUT_TY","PE=&amp;window=popup&amp;width=535&amp;height=425&amp;START_MAXIMIZED=FALSE&amp;Y=120"}</definedName>
    <definedName name="_366__FDSAUDITLINK__" hidden="1">{"fdsup://directions/FAT Viewer?action=UPDATE&amp;creator=factSet&amp;DYN_ARGS=true&amp;DOC_NAME=FAT:RGA_ENTRPR_VAL_MV_SOURCE_WINDOW.FAT&amp;VAR:ID1=BBBY&amp;VAR:SDATE=20051125&amp;VAR:FDATE=20050228&amp;VAR:FREQ=DAILY&amp;VAR:RELITEM=&amp;VAR:CURRENCY=&amp;VAR:DB_TYPE=&amp;VAR:UNITS=M&amp;VAR:SHS_OUT_TY","PE=&amp;window=popup&amp;width=535&amp;height=425&amp;START_MAXIMIZED=FALSE&amp;Y=120"}</definedName>
    <definedName name="_367__FDSAUDITLINK__" localSheetId="5" hidden="1">{"fdsup://directions/FAT Viewer?action=UPDATE&amp;creator=factSet&amp;DYN_ARGS=true&amp;DOC_NAME=FAT:RGA_ENTRPR_VAL_MV_SOURCE_WINDOW.FAT&amp;VAR:ID1=BBBY&amp;VAR:SDATE=20051202&amp;VAR:FDATE=20050228&amp;VAR:FREQ=DAILY&amp;VAR:RELITEM=&amp;VAR:CURRENCY=&amp;VAR:DB_TYPE=&amp;VAR:UNITS=M&amp;VAR:SHS_OUT_TY","PE=&amp;window=popup&amp;width=535&amp;height=425&amp;START_MAXIMIZED=FALSE&amp;Y=120"}</definedName>
    <definedName name="_367__FDSAUDITLINK__" hidden="1">{"fdsup://directions/FAT Viewer?action=UPDATE&amp;creator=factSet&amp;DYN_ARGS=true&amp;DOC_NAME=FAT:RGA_ENTRPR_VAL_MV_SOURCE_WINDOW.FAT&amp;VAR:ID1=BBBY&amp;VAR:SDATE=20051202&amp;VAR:FDATE=20050228&amp;VAR:FREQ=DAILY&amp;VAR:RELITEM=&amp;VAR:CURRENCY=&amp;VAR:DB_TYPE=&amp;VAR:UNITS=M&amp;VAR:SHS_OUT_TY","PE=&amp;window=popup&amp;width=535&amp;height=425&amp;START_MAXIMIZED=FALSE&amp;Y=120"}</definedName>
    <definedName name="_368__FDSAUDITLINK__" localSheetId="5" hidden="1">{"fdsup://directions/FAT Viewer?action=UPDATE&amp;creator=factSet&amp;DYN_ARGS=true&amp;DOC_NAME=FAT:RGA_ENTRPR_VAL_MV_SOURCE_WINDOW.FAT&amp;VAR:ID1=BBBY&amp;VAR:SDATE=20051209&amp;VAR:FDATE=20050228&amp;VAR:FREQ=DAILY&amp;VAR:RELITEM=&amp;VAR:CURRENCY=&amp;VAR:DB_TYPE=&amp;VAR:UNITS=M&amp;VAR:SHS_OUT_TY","PE=&amp;window=popup&amp;width=535&amp;height=425&amp;START_MAXIMIZED=FALSE&amp;Y=120"}</definedName>
    <definedName name="_368__FDSAUDITLINK__" hidden="1">{"fdsup://directions/FAT Viewer?action=UPDATE&amp;creator=factSet&amp;DYN_ARGS=true&amp;DOC_NAME=FAT:RGA_ENTRPR_VAL_MV_SOURCE_WINDOW.FAT&amp;VAR:ID1=BBBY&amp;VAR:SDATE=20051209&amp;VAR:FDATE=20050228&amp;VAR:FREQ=DAILY&amp;VAR:RELITEM=&amp;VAR:CURRENCY=&amp;VAR:DB_TYPE=&amp;VAR:UNITS=M&amp;VAR:SHS_OUT_TY","PE=&amp;window=popup&amp;width=535&amp;height=425&amp;START_MAXIMIZED=FALSE&amp;Y=120"}</definedName>
    <definedName name="_369__FDSAUDITLINK__" localSheetId="5" hidden="1">{"fdsup://directions/FAT Viewer?action=UPDATE&amp;creator=factSet&amp;DYN_ARGS=true&amp;DOC_NAME=FAT:RGA_ENTRPR_VAL_MV_SOURCE_WINDOW.FAT&amp;VAR:ID1=BBBY&amp;VAR:SDATE=20051216&amp;VAR:FDATE=20050228&amp;VAR:FREQ=DAILY&amp;VAR:RELITEM=&amp;VAR:CURRENCY=&amp;VAR:DB_TYPE=&amp;VAR:UNITS=M&amp;VAR:SHS_OUT_TY","PE=&amp;window=popup&amp;width=535&amp;height=425&amp;START_MAXIMIZED=FALSE&amp;Y=120"}</definedName>
    <definedName name="_369__FDSAUDITLINK__" hidden="1">{"fdsup://directions/FAT Viewer?action=UPDATE&amp;creator=factSet&amp;DYN_ARGS=true&amp;DOC_NAME=FAT:RGA_ENTRPR_VAL_MV_SOURCE_WINDOW.FAT&amp;VAR:ID1=BBBY&amp;VAR:SDATE=20051216&amp;VAR:FDATE=20050228&amp;VAR:FREQ=DAILY&amp;VAR:RELITEM=&amp;VAR:CURRENCY=&amp;VAR:DB_TYPE=&amp;VAR:UNITS=M&amp;VAR:SHS_OUT_TY","PE=&amp;window=popup&amp;width=535&amp;height=425&amp;START_MAXIMIZED=FALSE&amp;Y=120"}</definedName>
    <definedName name="_37__FDSAUDITLINK__" localSheetId="5" hidden="1">{"fdsup://directions/FAT Viewer?action=UPDATE&amp;creator=factSet&amp;DYN_ARGS=true&amp;DOC_NAME=FAT:RGA_ENTRPR_VAL_MV_SOURCE_WINDOW.FAT&amp;VAR:ID1=BBBY&amp;VAR:SDATE=19990806&amp;VAR:FDATE=19990226&amp;VAR:FREQ=DAILY&amp;VAR:RELITEM=&amp;VAR:CURRENCY=&amp;VAR:DB_TYPE=&amp;VAR:UNITS=M&amp;VAR:SHS_OUT_TY","PE=&amp;window=popup&amp;width=535&amp;height=425&amp;START_MAXIMIZED=FALSE&amp;Y=120"}</definedName>
    <definedName name="_37__FDSAUDITLINK__" hidden="1">{"fdsup://directions/FAT Viewer?action=UPDATE&amp;creator=factSet&amp;DYN_ARGS=true&amp;DOC_NAME=FAT:RGA_ENTRPR_VAL_MV_SOURCE_WINDOW.FAT&amp;VAR:ID1=BBBY&amp;VAR:SDATE=19990806&amp;VAR:FDATE=19990226&amp;VAR:FREQ=DAILY&amp;VAR:RELITEM=&amp;VAR:CURRENCY=&amp;VAR:DB_TYPE=&amp;VAR:UNITS=M&amp;VAR:SHS_OUT_TY","PE=&amp;window=popup&amp;width=535&amp;height=425&amp;START_MAXIMIZED=FALSE&amp;Y=120"}</definedName>
    <definedName name="_370__FDSAUDITLINK__" localSheetId="5" hidden="1">{"fdsup://directions/FAT Viewer?action=UPDATE&amp;creator=factSet&amp;DYN_ARGS=true&amp;DOC_NAME=FAT:RGA_ENTRPR_VAL_MV_SOURCE_WINDOW.FAT&amp;VAR:ID1=BBBY&amp;VAR:SDATE=20051223&amp;VAR:FDATE=20050228&amp;VAR:FREQ=DAILY&amp;VAR:RELITEM=&amp;VAR:CURRENCY=&amp;VAR:DB_TYPE=&amp;VAR:UNITS=M&amp;VAR:SHS_OUT_TY","PE=&amp;window=popup&amp;width=535&amp;height=425&amp;START_MAXIMIZED=FALSE&amp;Y=120"}</definedName>
    <definedName name="_370__FDSAUDITLINK__" hidden="1">{"fdsup://directions/FAT Viewer?action=UPDATE&amp;creator=factSet&amp;DYN_ARGS=true&amp;DOC_NAME=FAT:RGA_ENTRPR_VAL_MV_SOURCE_WINDOW.FAT&amp;VAR:ID1=BBBY&amp;VAR:SDATE=20051223&amp;VAR:FDATE=20050228&amp;VAR:FREQ=DAILY&amp;VAR:RELITEM=&amp;VAR:CURRENCY=&amp;VAR:DB_TYPE=&amp;VAR:UNITS=M&amp;VAR:SHS_OUT_TY","PE=&amp;window=popup&amp;width=535&amp;height=425&amp;START_MAXIMIZED=FALSE&amp;Y=120"}</definedName>
    <definedName name="_371__FDSAUDITLINK__" localSheetId="5" hidden="1">{"fdsup://directions/FAT Viewer?action=UPDATE&amp;creator=factSet&amp;DYN_ARGS=true&amp;DOC_NAME=FAT:RGA_ENTRPR_VAL_MV_SOURCE_WINDOW.FAT&amp;VAR:ID1=BBBY&amp;VAR:SDATE=20051230&amp;VAR:FDATE=20050228&amp;VAR:FREQ=DAILY&amp;VAR:RELITEM=&amp;VAR:CURRENCY=&amp;VAR:DB_TYPE=&amp;VAR:UNITS=M&amp;VAR:SHS_OUT_TY","PE=&amp;window=popup&amp;width=535&amp;height=425&amp;START_MAXIMIZED=FALSE&amp;Y=120"}</definedName>
    <definedName name="_371__FDSAUDITLINK__" hidden="1">{"fdsup://directions/FAT Viewer?action=UPDATE&amp;creator=factSet&amp;DYN_ARGS=true&amp;DOC_NAME=FAT:RGA_ENTRPR_VAL_MV_SOURCE_WINDOW.FAT&amp;VAR:ID1=BBBY&amp;VAR:SDATE=20051230&amp;VAR:FDATE=20050228&amp;VAR:FREQ=DAILY&amp;VAR:RELITEM=&amp;VAR:CURRENCY=&amp;VAR:DB_TYPE=&amp;VAR:UNITS=M&amp;VAR:SHS_OUT_TY","PE=&amp;window=popup&amp;width=535&amp;height=425&amp;START_MAXIMIZED=FALSE&amp;Y=120"}</definedName>
    <definedName name="_372__FDSAUDITLINK__" localSheetId="5" hidden="1">{"fdsup://directions/FAT Viewer?action=UPDATE&amp;creator=factSet&amp;DYN_ARGS=true&amp;DOC_NAME=FAT:RGA_ENTRPR_VAL_MV_SOURCE_WINDOW.FAT&amp;VAR:ID1=BBBY&amp;VAR:SDATE=20060106&amp;VAR:FDATE=20050228&amp;VAR:FREQ=DAILY&amp;VAR:RELITEM=&amp;VAR:CURRENCY=&amp;VAR:DB_TYPE=&amp;VAR:UNITS=M&amp;VAR:SHS_OUT_TY","PE=&amp;window=popup&amp;width=535&amp;height=425&amp;START_MAXIMIZED=FALSE&amp;Y=120"}</definedName>
    <definedName name="_372__FDSAUDITLINK__" hidden="1">{"fdsup://directions/FAT Viewer?action=UPDATE&amp;creator=factSet&amp;DYN_ARGS=true&amp;DOC_NAME=FAT:RGA_ENTRPR_VAL_MV_SOURCE_WINDOW.FAT&amp;VAR:ID1=BBBY&amp;VAR:SDATE=20060106&amp;VAR:FDATE=20050228&amp;VAR:FREQ=DAILY&amp;VAR:RELITEM=&amp;VAR:CURRENCY=&amp;VAR:DB_TYPE=&amp;VAR:UNITS=M&amp;VAR:SHS_OUT_TY","PE=&amp;window=popup&amp;width=535&amp;height=425&amp;START_MAXIMIZED=FALSE&amp;Y=120"}</definedName>
    <definedName name="_373__FDSAUDITLINK__" localSheetId="5" hidden="1">{"fdsup://directions/FAT Viewer?action=UPDATE&amp;creator=factSet&amp;DYN_ARGS=true&amp;DOC_NAME=FAT:RGA_ENTRPR_VAL_MV_SOURCE_WINDOW.FAT&amp;VAR:ID1=BBBY&amp;VAR:SDATE=20060113&amp;VAR:FDATE=20050228&amp;VAR:FREQ=DAILY&amp;VAR:RELITEM=&amp;VAR:CURRENCY=&amp;VAR:DB_TYPE=&amp;VAR:UNITS=M&amp;VAR:SHS_OUT_TY","PE=&amp;window=popup&amp;width=535&amp;height=425&amp;START_MAXIMIZED=FALSE&amp;Y=120"}</definedName>
    <definedName name="_373__FDSAUDITLINK__" hidden="1">{"fdsup://directions/FAT Viewer?action=UPDATE&amp;creator=factSet&amp;DYN_ARGS=true&amp;DOC_NAME=FAT:RGA_ENTRPR_VAL_MV_SOURCE_WINDOW.FAT&amp;VAR:ID1=BBBY&amp;VAR:SDATE=20060113&amp;VAR:FDATE=20050228&amp;VAR:FREQ=DAILY&amp;VAR:RELITEM=&amp;VAR:CURRENCY=&amp;VAR:DB_TYPE=&amp;VAR:UNITS=M&amp;VAR:SHS_OUT_TY","PE=&amp;window=popup&amp;width=535&amp;height=425&amp;START_MAXIMIZED=FALSE&amp;Y=120"}</definedName>
    <definedName name="_374__FDSAUDITLINK__" localSheetId="5" hidden="1">{"fdsup://directions/FAT Viewer?action=UPDATE&amp;creator=factSet&amp;DYN_ARGS=true&amp;DOC_NAME=FAT:RGA_ENTRPR_VAL_MV_SOURCE_WINDOW.FAT&amp;VAR:ID1=BBBY&amp;VAR:SDATE=20060120&amp;VAR:FDATE=20050228&amp;VAR:FREQ=DAILY&amp;VAR:RELITEM=&amp;VAR:CURRENCY=&amp;VAR:DB_TYPE=&amp;VAR:UNITS=M&amp;VAR:SHS_OUT_TY","PE=&amp;window=popup&amp;width=535&amp;height=425&amp;START_MAXIMIZED=FALSE&amp;Y=120"}</definedName>
    <definedName name="_374__FDSAUDITLINK__" hidden="1">{"fdsup://directions/FAT Viewer?action=UPDATE&amp;creator=factSet&amp;DYN_ARGS=true&amp;DOC_NAME=FAT:RGA_ENTRPR_VAL_MV_SOURCE_WINDOW.FAT&amp;VAR:ID1=BBBY&amp;VAR:SDATE=20060120&amp;VAR:FDATE=20050228&amp;VAR:FREQ=DAILY&amp;VAR:RELITEM=&amp;VAR:CURRENCY=&amp;VAR:DB_TYPE=&amp;VAR:UNITS=M&amp;VAR:SHS_OUT_TY","PE=&amp;window=popup&amp;width=535&amp;height=425&amp;START_MAXIMIZED=FALSE&amp;Y=120"}</definedName>
    <definedName name="_375__FDSAUDITLINK__" localSheetId="5" hidden="1">{"fdsup://directions/FAT Viewer?action=UPDATE&amp;creator=factSet&amp;DYN_ARGS=true&amp;DOC_NAME=FAT:RGA_ENTRPR_VAL_MV_SOURCE_WINDOW.FAT&amp;VAR:ID1=BBBY&amp;VAR:SDATE=20060127&amp;VAR:FDATE=20050228&amp;VAR:FREQ=DAILY&amp;VAR:RELITEM=&amp;VAR:CURRENCY=&amp;VAR:DB_TYPE=&amp;VAR:UNITS=M&amp;VAR:SHS_OUT_TY","PE=&amp;window=popup&amp;width=535&amp;height=425&amp;START_MAXIMIZED=FALSE&amp;Y=120"}</definedName>
    <definedName name="_375__FDSAUDITLINK__" hidden="1">{"fdsup://directions/FAT Viewer?action=UPDATE&amp;creator=factSet&amp;DYN_ARGS=true&amp;DOC_NAME=FAT:RGA_ENTRPR_VAL_MV_SOURCE_WINDOW.FAT&amp;VAR:ID1=BBBY&amp;VAR:SDATE=20060127&amp;VAR:FDATE=20050228&amp;VAR:FREQ=DAILY&amp;VAR:RELITEM=&amp;VAR:CURRENCY=&amp;VAR:DB_TYPE=&amp;VAR:UNITS=M&amp;VAR:SHS_OUT_TY","PE=&amp;window=popup&amp;width=535&amp;height=425&amp;START_MAXIMIZED=FALSE&amp;Y=120"}</definedName>
    <definedName name="_376__FDSAUDITLINK__" localSheetId="5" hidden="1">{"fdsup://directions/FAT Viewer?action=UPDATE&amp;creator=factSet&amp;DYN_ARGS=true&amp;DOC_NAME=FAT:RGA_ENTRPR_VAL_MV_SOURCE_WINDOW.FAT&amp;VAR:ID1=BBBY&amp;VAR:SDATE=20060203&amp;VAR:FDATE=20050228&amp;VAR:FREQ=DAILY&amp;VAR:RELITEM=&amp;VAR:CURRENCY=&amp;VAR:DB_TYPE=&amp;VAR:UNITS=M&amp;VAR:SHS_OUT_TY","PE=&amp;window=popup&amp;width=535&amp;height=425&amp;START_MAXIMIZED=FALSE&amp;Y=120"}</definedName>
    <definedName name="_376__FDSAUDITLINK__" hidden="1">{"fdsup://directions/FAT Viewer?action=UPDATE&amp;creator=factSet&amp;DYN_ARGS=true&amp;DOC_NAME=FAT:RGA_ENTRPR_VAL_MV_SOURCE_WINDOW.FAT&amp;VAR:ID1=BBBY&amp;VAR:SDATE=20060203&amp;VAR:FDATE=20050228&amp;VAR:FREQ=DAILY&amp;VAR:RELITEM=&amp;VAR:CURRENCY=&amp;VAR:DB_TYPE=&amp;VAR:UNITS=M&amp;VAR:SHS_OUT_TY","PE=&amp;window=popup&amp;width=535&amp;height=425&amp;START_MAXIMIZED=FALSE&amp;Y=120"}</definedName>
    <definedName name="_377__FDSAUDITLINK__" localSheetId="5" hidden="1">{"fdsup://directions/FAT Viewer?action=UPDATE&amp;creator=factSet&amp;DYN_ARGS=true&amp;DOC_NAME=FAT:RGA_ENTRPR_VAL_MV_SOURCE_WINDOW.FAT&amp;VAR:ID1=BBBY&amp;VAR:SDATE=20060210&amp;VAR:FDATE=20050228&amp;VAR:FREQ=DAILY&amp;VAR:RELITEM=&amp;VAR:CURRENCY=&amp;VAR:DB_TYPE=&amp;VAR:UNITS=M&amp;VAR:SHS_OUT_TY","PE=&amp;window=popup&amp;width=535&amp;height=425&amp;START_MAXIMIZED=FALSE&amp;Y=120"}</definedName>
    <definedName name="_377__FDSAUDITLINK__" hidden="1">{"fdsup://directions/FAT Viewer?action=UPDATE&amp;creator=factSet&amp;DYN_ARGS=true&amp;DOC_NAME=FAT:RGA_ENTRPR_VAL_MV_SOURCE_WINDOW.FAT&amp;VAR:ID1=BBBY&amp;VAR:SDATE=20060210&amp;VAR:FDATE=20050228&amp;VAR:FREQ=DAILY&amp;VAR:RELITEM=&amp;VAR:CURRENCY=&amp;VAR:DB_TYPE=&amp;VAR:UNITS=M&amp;VAR:SHS_OUT_TY","PE=&amp;window=popup&amp;width=535&amp;height=425&amp;START_MAXIMIZED=FALSE&amp;Y=120"}</definedName>
    <definedName name="_378__FDSAUDITLINK__" localSheetId="5" hidden="1">{"fdsup://directions/FAT Viewer?action=UPDATE&amp;creator=factSet&amp;DYN_ARGS=true&amp;DOC_NAME=FAT:RGA_ENTRPR_VAL_MV_SOURCE_WINDOW.FAT&amp;VAR:ID1=BBBY&amp;VAR:SDATE=20060217&amp;VAR:FDATE=20050228&amp;VAR:FREQ=DAILY&amp;VAR:RELITEM=&amp;VAR:CURRENCY=&amp;VAR:DB_TYPE=&amp;VAR:UNITS=M&amp;VAR:SHS_OUT_TY","PE=&amp;window=popup&amp;width=535&amp;height=425&amp;START_MAXIMIZED=FALSE&amp;Y=120"}</definedName>
    <definedName name="_378__FDSAUDITLINK__" hidden="1">{"fdsup://directions/FAT Viewer?action=UPDATE&amp;creator=factSet&amp;DYN_ARGS=true&amp;DOC_NAME=FAT:RGA_ENTRPR_VAL_MV_SOURCE_WINDOW.FAT&amp;VAR:ID1=BBBY&amp;VAR:SDATE=20060217&amp;VAR:FDATE=20050228&amp;VAR:FREQ=DAILY&amp;VAR:RELITEM=&amp;VAR:CURRENCY=&amp;VAR:DB_TYPE=&amp;VAR:UNITS=M&amp;VAR:SHS_OUT_TY","PE=&amp;window=popup&amp;width=535&amp;height=425&amp;START_MAXIMIZED=FALSE&amp;Y=120"}</definedName>
    <definedName name="_379__FDSAUDITLINK__" localSheetId="5" hidden="1">{"fdsup://directions/FAT Viewer?action=UPDATE&amp;creator=factSet&amp;DYN_ARGS=true&amp;DOC_NAME=FAT:RGA_ENTRPR_VAL_MV_SOURCE_WINDOW.FAT&amp;VAR:ID1=BBBY&amp;VAR:SDATE=20060224&amp;VAR:FDATE=20050228&amp;VAR:FREQ=DAILY&amp;VAR:RELITEM=&amp;VAR:CURRENCY=&amp;VAR:DB_TYPE=&amp;VAR:UNITS=M&amp;VAR:SHS_OUT_TY","PE=&amp;window=popup&amp;width=535&amp;height=425&amp;START_MAXIMIZED=FALSE&amp;Y=120"}</definedName>
    <definedName name="_379__FDSAUDITLINK__" hidden="1">{"fdsup://directions/FAT Viewer?action=UPDATE&amp;creator=factSet&amp;DYN_ARGS=true&amp;DOC_NAME=FAT:RGA_ENTRPR_VAL_MV_SOURCE_WINDOW.FAT&amp;VAR:ID1=BBBY&amp;VAR:SDATE=20060224&amp;VAR:FDATE=20050228&amp;VAR:FREQ=DAILY&amp;VAR:RELITEM=&amp;VAR:CURRENCY=&amp;VAR:DB_TYPE=&amp;VAR:UNITS=M&amp;VAR:SHS_OUT_TY","PE=&amp;window=popup&amp;width=535&amp;height=425&amp;START_MAXIMIZED=FALSE&amp;Y=120"}</definedName>
    <definedName name="_38__FDSAUDITLINK__" localSheetId="5" hidden="1">{"fdsup://directions/FAT Viewer?action=UPDATE&amp;creator=factSet&amp;DYN_ARGS=true&amp;DOC_NAME=FAT:RGA_ENTRPR_VAL_MV_SOURCE_WINDOW.FAT&amp;VAR:ID1=BBBY&amp;VAR:SDATE=19990813&amp;VAR:FDATE=19990226&amp;VAR:FREQ=DAILY&amp;VAR:RELITEM=&amp;VAR:CURRENCY=&amp;VAR:DB_TYPE=&amp;VAR:UNITS=M&amp;VAR:SHS_OUT_TY","PE=&amp;window=popup&amp;width=535&amp;height=425&amp;START_MAXIMIZED=FALSE&amp;Y=120"}</definedName>
    <definedName name="_38__FDSAUDITLINK__" hidden="1">{"fdsup://directions/FAT Viewer?action=UPDATE&amp;creator=factSet&amp;DYN_ARGS=true&amp;DOC_NAME=FAT:RGA_ENTRPR_VAL_MV_SOURCE_WINDOW.FAT&amp;VAR:ID1=BBBY&amp;VAR:SDATE=19990813&amp;VAR:FDATE=19990226&amp;VAR:FREQ=DAILY&amp;VAR:RELITEM=&amp;VAR:CURRENCY=&amp;VAR:DB_TYPE=&amp;VAR:UNITS=M&amp;VAR:SHS_OUT_TY","PE=&amp;window=popup&amp;width=535&amp;height=425&amp;START_MAXIMIZED=FALSE&amp;Y=120"}</definedName>
    <definedName name="_380__FDSAUDITLINK__" localSheetId="5" hidden="1">{"fdsup://directions/FAT Viewer?action=UPDATE&amp;creator=factSet&amp;DYN_ARGS=true&amp;DOC_NAME=FAT:RGA_ENTRPR_VAL_MV_SOURCE_WINDOW.FAT&amp;VAR:ID1=BBBY&amp;VAR:SDATE=20060303&amp;VAR:FDATE=20060228&amp;VAR:FREQ=DAILY&amp;VAR:RELITEM=&amp;VAR:CURRENCY=&amp;VAR:DB_TYPE=&amp;VAR:UNITS=M&amp;VAR:SHS_OUT_TY","PE=&amp;window=popup&amp;width=535&amp;height=425&amp;START_MAXIMIZED=FALSE&amp;Y=120"}</definedName>
    <definedName name="_380__FDSAUDITLINK__" hidden="1">{"fdsup://directions/FAT Viewer?action=UPDATE&amp;creator=factSet&amp;DYN_ARGS=true&amp;DOC_NAME=FAT:RGA_ENTRPR_VAL_MV_SOURCE_WINDOW.FAT&amp;VAR:ID1=BBBY&amp;VAR:SDATE=20060303&amp;VAR:FDATE=20060228&amp;VAR:FREQ=DAILY&amp;VAR:RELITEM=&amp;VAR:CURRENCY=&amp;VAR:DB_TYPE=&amp;VAR:UNITS=M&amp;VAR:SHS_OUT_TY","PE=&amp;window=popup&amp;width=535&amp;height=425&amp;START_MAXIMIZED=FALSE&amp;Y=120"}</definedName>
    <definedName name="_381__FDSAUDITLINK__" localSheetId="5" hidden="1">{"fdsup://directions/FAT Viewer?action=UPDATE&amp;creator=factSet&amp;DYN_ARGS=true&amp;DOC_NAME=FAT:RGA_ENTRPR_VAL_MV_SOURCE_WINDOW.FAT&amp;VAR:ID1=BBBY&amp;VAR:SDATE=20060310&amp;VAR:FDATE=20060228&amp;VAR:FREQ=DAILY&amp;VAR:RELITEM=&amp;VAR:CURRENCY=&amp;VAR:DB_TYPE=&amp;VAR:UNITS=M&amp;VAR:SHS_OUT_TY","PE=&amp;window=popup&amp;width=535&amp;height=425&amp;START_MAXIMIZED=FALSE&amp;Y=120"}</definedName>
    <definedName name="_381__FDSAUDITLINK__" hidden="1">{"fdsup://directions/FAT Viewer?action=UPDATE&amp;creator=factSet&amp;DYN_ARGS=true&amp;DOC_NAME=FAT:RGA_ENTRPR_VAL_MV_SOURCE_WINDOW.FAT&amp;VAR:ID1=BBBY&amp;VAR:SDATE=20060310&amp;VAR:FDATE=20060228&amp;VAR:FREQ=DAILY&amp;VAR:RELITEM=&amp;VAR:CURRENCY=&amp;VAR:DB_TYPE=&amp;VAR:UNITS=M&amp;VAR:SHS_OUT_TY","PE=&amp;window=popup&amp;width=535&amp;height=425&amp;START_MAXIMIZED=FALSE&amp;Y=120"}</definedName>
    <definedName name="_382__FDSAUDITLINK__" localSheetId="5" hidden="1">{"fdsup://directions/FAT Viewer?action=UPDATE&amp;creator=factSet&amp;DYN_ARGS=true&amp;DOC_NAME=FAT:RGA_ENTRPR_VAL_MV_SOURCE_WINDOW.FAT&amp;VAR:ID1=BBBY&amp;VAR:SDATE=20060317&amp;VAR:FDATE=20060228&amp;VAR:FREQ=DAILY&amp;VAR:RELITEM=&amp;VAR:CURRENCY=&amp;VAR:DB_TYPE=&amp;VAR:UNITS=M&amp;VAR:SHS_OUT_TY","PE=&amp;window=popup&amp;width=535&amp;height=425&amp;START_MAXIMIZED=FALSE&amp;Y=120"}</definedName>
    <definedName name="_382__FDSAUDITLINK__" hidden="1">{"fdsup://directions/FAT Viewer?action=UPDATE&amp;creator=factSet&amp;DYN_ARGS=true&amp;DOC_NAME=FAT:RGA_ENTRPR_VAL_MV_SOURCE_WINDOW.FAT&amp;VAR:ID1=BBBY&amp;VAR:SDATE=20060317&amp;VAR:FDATE=20060228&amp;VAR:FREQ=DAILY&amp;VAR:RELITEM=&amp;VAR:CURRENCY=&amp;VAR:DB_TYPE=&amp;VAR:UNITS=M&amp;VAR:SHS_OUT_TY","PE=&amp;window=popup&amp;width=535&amp;height=425&amp;START_MAXIMIZED=FALSE&amp;Y=120"}</definedName>
    <definedName name="_383__FDSAUDITLINK__" localSheetId="5" hidden="1">{"fdsup://directions/FAT Viewer?action=UPDATE&amp;creator=factSet&amp;DYN_ARGS=true&amp;DOC_NAME=FAT:RGA_ENTRPR_VAL_MV_SOURCE_WINDOW.FAT&amp;VAR:ID1=BBBY&amp;VAR:SDATE=20060324&amp;VAR:FDATE=20060228&amp;VAR:FREQ=DAILY&amp;VAR:RELITEM=&amp;VAR:CURRENCY=&amp;VAR:DB_TYPE=&amp;VAR:UNITS=M&amp;VAR:SHS_OUT_TY","PE=&amp;window=popup&amp;width=535&amp;height=425&amp;START_MAXIMIZED=FALSE&amp;Y=120"}</definedName>
    <definedName name="_383__FDSAUDITLINK__" hidden="1">{"fdsup://directions/FAT Viewer?action=UPDATE&amp;creator=factSet&amp;DYN_ARGS=true&amp;DOC_NAME=FAT:RGA_ENTRPR_VAL_MV_SOURCE_WINDOW.FAT&amp;VAR:ID1=BBBY&amp;VAR:SDATE=20060324&amp;VAR:FDATE=20060228&amp;VAR:FREQ=DAILY&amp;VAR:RELITEM=&amp;VAR:CURRENCY=&amp;VAR:DB_TYPE=&amp;VAR:UNITS=M&amp;VAR:SHS_OUT_TY","PE=&amp;window=popup&amp;width=535&amp;height=425&amp;START_MAXIMIZED=FALSE&amp;Y=120"}</definedName>
    <definedName name="_384__FDSAUDITLINK__" localSheetId="5" hidden="1">{"fdsup://directions/FAT Viewer?action=UPDATE&amp;creator=factSet&amp;DYN_ARGS=true&amp;DOC_NAME=FAT:RGA_ENTRPR_VAL_MV_SOURCE_WINDOW.FAT&amp;VAR:ID1=BBBY&amp;VAR:SDATE=20060331&amp;VAR:FDATE=20060228&amp;VAR:FREQ=DAILY&amp;VAR:RELITEM=&amp;VAR:CURRENCY=&amp;VAR:DB_TYPE=&amp;VAR:UNITS=M&amp;VAR:SHS_OUT_TY","PE=&amp;window=popup&amp;width=535&amp;height=425&amp;START_MAXIMIZED=FALSE&amp;Y=120"}</definedName>
    <definedName name="_384__FDSAUDITLINK__" hidden="1">{"fdsup://directions/FAT Viewer?action=UPDATE&amp;creator=factSet&amp;DYN_ARGS=true&amp;DOC_NAME=FAT:RGA_ENTRPR_VAL_MV_SOURCE_WINDOW.FAT&amp;VAR:ID1=BBBY&amp;VAR:SDATE=20060331&amp;VAR:FDATE=20060228&amp;VAR:FREQ=DAILY&amp;VAR:RELITEM=&amp;VAR:CURRENCY=&amp;VAR:DB_TYPE=&amp;VAR:UNITS=M&amp;VAR:SHS_OUT_TY","PE=&amp;window=popup&amp;width=535&amp;height=425&amp;START_MAXIMIZED=FALSE&amp;Y=120"}</definedName>
    <definedName name="_385__FDSAUDITLINK__" localSheetId="5" hidden="1">{"fdsup://directions/FAT Viewer?action=UPDATE&amp;creator=factSet&amp;DYN_ARGS=true&amp;DOC_NAME=FAT:RGA_ENTRPR_VAL_MV_SOURCE_WINDOW.FAT&amp;VAR:ID1=BBBY&amp;VAR:SDATE=20060407&amp;VAR:FDATE=20060228&amp;VAR:FREQ=DAILY&amp;VAR:RELITEM=&amp;VAR:CURRENCY=&amp;VAR:DB_TYPE=&amp;VAR:UNITS=M&amp;VAR:SHS_OUT_TY","PE=&amp;window=popup&amp;width=535&amp;height=425&amp;START_MAXIMIZED=FALSE&amp;Y=120"}</definedName>
    <definedName name="_385__FDSAUDITLINK__" hidden="1">{"fdsup://directions/FAT Viewer?action=UPDATE&amp;creator=factSet&amp;DYN_ARGS=true&amp;DOC_NAME=FAT:RGA_ENTRPR_VAL_MV_SOURCE_WINDOW.FAT&amp;VAR:ID1=BBBY&amp;VAR:SDATE=20060407&amp;VAR:FDATE=20060228&amp;VAR:FREQ=DAILY&amp;VAR:RELITEM=&amp;VAR:CURRENCY=&amp;VAR:DB_TYPE=&amp;VAR:UNITS=M&amp;VAR:SHS_OUT_TY","PE=&amp;window=popup&amp;width=535&amp;height=425&amp;START_MAXIMIZED=FALSE&amp;Y=120"}</definedName>
    <definedName name="_386__FDSAUDITLINK__" localSheetId="5" hidden="1">{"fdsup://directions/FAT Viewer?action=UPDATE&amp;creator=factSet&amp;DYN_ARGS=true&amp;DOC_NAME=FAT:RGA_ENTRPR_VAL_MV_SOURCE_WINDOW.FAT&amp;VAR:ID1=BBBY&amp;VAR:SDATE=20060413&amp;VAR:FDATE=20060228&amp;VAR:FREQ=DAILY&amp;VAR:RELITEM=&amp;VAR:CURRENCY=&amp;VAR:DB_TYPE=&amp;VAR:UNITS=M&amp;VAR:SHS_OUT_TY","PE=&amp;window=popup&amp;width=535&amp;height=425&amp;START_MAXIMIZED=FALSE&amp;Y=120"}</definedName>
    <definedName name="_386__FDSAUDITLINK__" hidden="1">{"fdsup://directions/FAT Viewer?action=UPDATE&amp;creator=factSet&amp;DYN_ARGS=true&amp;DOC_NAME=FAT:RGA_ENTRPR_VAL_MV_SOURCE_WINDOW.FAT&amp;VAR:ID1=BBBY&amp;VAR:SDATE=20060413&amp;VAR:FDATE=20060228&amp;VAR:FREQ=DAILY&amp;VAR:RELITEM=&amp;VAR:CURRENCY=&amp;VAR:DB_TYPE=&amp;VAR:UNITS=M&amp;VAR:SHS_OUT_TY","PE=&amp;window=popup&amp;width=535&amp;height=425&amp;START_MAXIMIZED=FALSE&amp;Y=120"}</definedName>
    <definedName name="_387__FDSAUDITLINK__" localSheetId="5" hidden="1">{"fdsup://directions/FAT Viewer?action=UPDATE&amp;creator=factSet&amp;DYN_ARGS=true&amp;DOC_NAME=FAT:RGA_ENTRPR_VAL_MV_SOURCE_WINDOW.FAT&amp;VAR:ID1=BBBY&amp;VAR:SDATE=20060421&amp;VAR:FDATE=20060228&amp;VAR:FREQ=DAILY&amp;VAR:RELITEM=&amp;VAR:CURRENCY=&amp;VAR:DB_TYPE=&amp;VAR:UNITS=M&amp;VAR:SHS_OUT_TY","PE=&amp;window=popup&amp;width=535&amp;height=425&amp;START_MAXIMIZED=FALSE&amp;Y=120"}</definedName>
    <definedName name="_387__FDSAUDITLINK__" hidden="1">{"fdsup://directions/FAT Viewer?action=UPDATE&amp;creator=factSet&amp;DYN_ARGS=true&amp;DOC_NAME=FAT:RGA_ENTRPR_VAL_MV_SOURCE_WINDOW.FAT&amp;VAR:ID1=BBBY&amp;VAR:SDATE=20060421&amp;VAR:FDATE=20060228&amp;VAR:FREQ=DAILY&amp;VAR:RELITEM=&amp;VAR:CURRENCY=&amp;VAR:DB_TYPE=&amp;VAR:UNITS=M&amp;VAR:SHS_OUT_TY","PE=&amp;window=popup&amp;width=535&amp;height=425&amp;START_MAXIMIZED=FALSE&amp;Y=120"}</definedName>
    <definedName name="_388__FDSAUDITLINK__" localSheetId="5" hidden="1">{"fdsup://directions/FAT Viewer?action=UPDATE&amp;creator=factSet&amp;DYN_ARGS=true&amp;DOC_NAME=FAT:RGA_ENTRPR_VAL_MV_SOURCE_WINDOW.FAT&amp;VAR:ID1=BBBY&amp;VAR:SDATE=20060428&amp;VAR:FDATE=20060228&amp;VAR:FREQ=DAILY&amp;VAR:RELITEM=&amp;VAR:CURRENCY=&amp;VAR:DB_TYPE=&amp;VAR:UNITS=M&amp;VAR:SHS_OUT_TY","PE=&amp;window=popup&amp;width=535&amp;height=425&amp;START_MAXIMIZED=FALSE&amp;Y=120"}</definedName>
    <definedName name="_388__FDSAUDITLINK__" hidden="1">{"fdsup://directions/FAT Viewer?action=UPDATE&amp;creator=factSet&amp;DYN_ARGS=true&amp;DOC_NAME=FAT:RGA_ENTRPR_VAL_MV_SOURCE_WINDOW.FAT&amp;VAR:ID1=BBBY&amp;VAR:SDATE=20060428&amp;VAR:FDATE=20060228&amp;VAR:FREQ=DAILY&amp;VAR:RELITEM=&amp;VAR:CURRENCY=&amp;VAR:DB_TYPE=&amp;VAR:UNITS=M&amp;VAR:SHS_OUT_TY","PE=&amp;window=popup&amp;width=535&amp;height=425&amp;START_MAXIMIZED=FALSE&amp;Y=120"}</definedName>
    <definedName name="_389__FDSAUDITLINK__" localSheetId="5" hidden="1">{"fdsup://directions/FAT Viewer?action=UPDATE&amp;creator=factSet&amp;DYN_ARGS=true&amp;DOC_NAME=FAT:RGA_ENTRPR_VAL_MV_SOURCE_WINDOW.FAT&amp;VAR:ID1=BBBY&amp;VAR:SDATE=20060505&amp;VAR:FDATE=20060228&amp;VAR:FREQ=DAILY&amp;VAR:RELITEM=&amp;VAR:CURRENCY=&amp;VAR:DB_TYPE=&amp;VAR:UNITS=M&amp;VAR:SHS_OUT_TY","PE=&amp;window=popup&amp;width=535&amp;height=425&amp;START_MAXIMIZED=FALSE&amp;Y=120"}</definedName>
    <definedName name="_389__FDSAUDITLINK__" hidden="1">{"fdsup://directions/FAT Viewer?action=UPDATE&amp;creator=factSet&amp;DYN_ARGS=true&amp;DOC_NAME=FAT:RGA_ENTRPR_VAL_MV_SOURCE_WINDOW.FAT&amp;VAR:ID1=BBBY&amp;VAR:SDATE=20060505&amp;VAR:FDATE=20060228&amp;VAR:FREQ=DAILY&amp;VAR:RELITEM=&amp;VAR:CURRENCY=&amp;VAR:DB_TYPE=&amp;VAR:UNITS=M&amp;VAR:SHS_OUT_TY","PE=&amp;window=popup&amp;width=535&amp;height=425&amp;START_MAXIMIZED=FALSE&amp;Y=120"}</definedName>
    <definedName name="_39__FDSAUDITLINK__" localSheetId="5" hidden="1">{"fdsup://directions/FAT Viewer?action=UPDATE&amp;creator=factSet&amp;DYN_ARGS=true&amp;DOC_NAME=FAT:RGA_ENTRPR_VAL_MV_SOURCE_WINDOW.FAT&amp;VAR:ID1=BBBY&amp;VAR:SDATE=19990820&amp;VAR:FDATE=19990226&amp;VAR:FREQ=DAILY&amp;VAR:RELITEM=&amp;VAR:CURRENCY=&amp;VAR:DB_TYPE=&amp;VAR:UNITS=M&amp;VAR:SHS_OUT_TY","PE=&amp;window=popup&amp;width=535&amp;height=425&amp;START_MAXIMIZED=FALSE&amp;Y=120"}</definedName>
    <definedName name="_39__FDSAUDITLINK__" hidden="1">{"fdsup://directions/FAT Viewer?action=UPDATE&amp;creator=factSet&amp;DYN_ARGS=true&amp;DOC_NAME=FAT:RGA_ENTRPR_VAL_MV_SOURCE_WINDOW.FAT&amp;VAR:ID1=BBBY&amp;VAR:SDATE=19990820&amp;VAR:FDATE=19990226&amp;VAR:FREQ=DAILY&amp;VAR:RELITEM=&amp;VAR:CURRENCY=&amp;VAR:DB_TYPE=&amp;VAR:UNITS=M&amp;VAR:SHS_OUT_TY","PE=&amp;window=popup&amp;width=535&amp;height=425&amp;START_MAXIMIZED=FALSE&amp;Y=120"}</definedName>
    <definedName name="_390__FDSAUDITLINK__" localSheetId="5" hidden="1">{"fdsup://directions/FAT Viewer?action=UPDATE&amp;creator=factSet&amp;DYN_ARGS=true&amp;DOC_NAME=FAT:RGA_ENTRPR_VAL_MV_SOURCE_WINDOW.FAT&amp;VAR:ID1=BBBY&amp;VAR:SDATE=20060512&amp;VAR:FDATE=20060228&amp;VAR:FREQ=DAILY&amp;VAR:RELITEM=&amp;VAR:CURRENCY=&amp;VAR:DB_TYPE=&amp;VAR:UNITS=M&amp;VAR:SHS_OUT_TY","PE=&amp;window=popup&amp;width=535&amp;height=425&amp;START_MAXIMIZED=FALSE&amp;Y=120"}</definedName>
    <definedName name="_390__FDSAUDITLINK__" hidden="1">{"fdsup://directions/FAT Viewer?action=UPDATE&amp;creator=factSet&amp;DYN_ARGS=true&amp;DOC_NAME=FAT:RGA_ENTRPR_VAL_MV_SOURCE_WINDOW.FAT&amp;VAR:ID1=BBBY&amp;VAR:SDATE=20060512&amp;VAR:FDATE=20060228&amp;VAR:FREQ=DAILY&amp;VAR:RELITEM=&amp;VAR:CURRENCY=&amp;VAR:DB_TYPE=&amp;VAR:UNITS=M&amp;VAR:SHS_OUT_TY","PE=&amp;window=popup&amp;width=535&amp;height=425&amp;START_MAXIMIZED=FALSE&amp;Y=120"}</definedName>
    <definedName name="_391__FDSAUDITLINK__" localSheetId="5" hidden="1">{"fdsup://directions/FAT Viewer?action=UPDATE&amp;creator=factSet&amp;DYN_ARGS=true&amp;DOC_NAME=FAT:RGA_ENTRPR_VAL_MV_SOURCE_WINDOW.FAT&amp;VAR:ID1=BBBY&amp;VAR:SDATE=20060519&amp;VAR:FDATE=20060228&amp;VAR:FREQ=DAILY&amp;VAR:RELITEM=&amp;VAR:CURRENCY=&amp;VAR:DB_TYPE=&amp;VAR:UNITS=M&amp;VAR:SHS_OUT_TY","PE=&amp;window=popup&amp;width=535&amp;height=425&amp;START_MAXIMIZED=FALSE&amp;Y=120"}</definedName>
    <definedName name="_391__FDSAUDITLINK__" hidden="1">{"fdsup://directions/FAT Viewer?action=UPDATE&amp;creator=factSet&amp;DYN_ARGS=true&amp;DOC_NAME=FAT:RGA_ENTRPR_VAL_MV_SOURCE_WINDOW.FAT&amp;VAR:ID1=BBBY&amp;VAR:SDATE=20060519&amp;VAR:FDATE=20060228&amp;VAR:FREQ=DAILY&amp;VAR:RELITEM=&amp;VAR:CURRENCY=&amp;VAR:DB_TYPE=&amp;VAR:UNITS=M&amp;VAR:SHS_OUT_TY","PE=&amp;window=popup&amp;width=535&amp;height=425&amp;START_MAXIMIZED=FALSE&amp;Y=120"}</definedName>
    <definedName name="_392__FDSAUDITLINK__" localSheetId="5" hidden="1">{"fdsup://directions/FAT Viewer?action=UPDATE&amp;creator=factSet&amp;DYN_ARGS=true&amp;DOC_NAME=FAT:RGA_ENTRPR_VAL_MV_SOURCE_WINDOW.FAT&amp;VAR:ID1=BBBY&amp;VAR:SDATE=20060526&amp;VAR:FDATE=20060228&amp;VAR:FREQ=DAILY&amp;VAR:RELITEM=&amp;VAR:CURRENCY=&amp;VAR:DB_TYPE=&amp;VAR:UNITS=M&amp;VAR:SHS_OUT_TY","PE=&amp;window=popup&amp;width=535&amp;height=425&amp;START_MAXIMIZED=FALSE&amp;Y=120"}</definedName>
    <definedName name="_392__FDSAUDITLINK__" hidden="1">{"fdsup://directions/FAT Viewer?action=UPDATE&amp;creator=factSet&amp;DYN_ARGS=true&amp;DOC_NAME=FAT:RGA_ENTRPR_VAL_MV_SOURCE_WINDOW.FAT&amp;VAR:ID1=BBBY&amp;VAR:SDATE=20060526&amp;VAR:FDATE=20060228&amp;VAR:FREQ=DAILY&amp;VAR:RELITEM=&amp;VAR:CURRENCY=&amp;VAR:DB_TYPE=&amp;VAR:UNITS=M&amp;VAR:SHS_OUT_TY","PE=&amp;window=popup&amp;width=535&amp;height=425&amp;START_MAXIMIZED=FALSE&amp;Y=120"}</definedName>
    <definedName name="_393__FDSAUDITLINK__" localSheetId="5" hidden="1">{"fdsup://directions/FAT Viewer?action=UPDATE&amp;creator=factSet&amp;DYN_ARGS=true&amp;DOC_NAME=FAT:RGA_ENTRPR_VAL_MV_SOURCE_WINDOW.FAT&amp;VAR:ID1=BBBY&amp;VAR:SDATE=20060602&amp;VAR:FDATE=20060228&amp;VAR:FREQ=DAILY&amp;VAR:RELITEM=&amp;VAR:CURRENCY=&amp;VAR:DB_TYPE=&amp;VAR:UNITS=M&amp;VAR:SHS_OUT_TY","PE=&amp;window=popup&amp;width=535&amp;height=425&amp;START_MAXIMIZED=FALSE&amp;Y=120"}</definedName>
    <definedName name="_393__FDSAUDITLINK__" hidden="1">{"fdsup://directions/FAT Viewer?action=UPDATE&amp;creator=factSet&amp;DYN_ARGS=true&amp;DOC_NAME=FAT:RGA_ENTRPR_VAL_MV_SOURCE_WINDOW.FAT&amp;VAR:ID1=BBBY&amp;VAR:SDATE=20060602&amp;VAR:FDATE=20060228&amp;VAR:FREQ=DAILY&amp;VAR:RELITEM=&amp;VAR:CURRENCY=&amp;VAR:DB_TYPE=&amp;VAR:UNITS=M&amp;VAR:SHS_OUT_TY","PE=&amp;window=popup&amp;width=535&amp;height=425&amp;START_MAXIMIZED=FALSE&amp;Y=120"}</definedName>
    <definedName name="_394__FDSAUDITLINK__" localSheetId="5" hidden="1">{"fdsup://directions/FAT Viewer?action=UPDATE&amp;creator=factSet&amp;DYN_ARGS=true&amp;DOC_NAME=FAT:RGA_ENTRPR_VAL_MV_SOURCE_WINDOW.FAT&amp;VAR:ID1=BBBY&amp;VAR:SDATE=20060609&amp;VAR:FDATE=20060228&amp;VAR:FREQ=DAILY&amp;VAR:RELITEM=&amp;VAR:CURRENCY=&amp;VAR:DB_TYPE=&amp;VAR:UNITS=M&amp;VAR:SHS_OUT_TY","PE=&amp;window=popup&amp;width=535&amp;height=425&amp;START_MAXIMIZED=FALSE&amp;Y=120"}</definedName>
    <definedName name="_394__FDSAUDITLINK__" hidden="1">{"fdsup://directions/FAT Viewer?action=UPDATE&amp;creator=factSet&amp;DYN_ARGS=true&amp;DOC_NAME=FAT:RGA_ENTRPR_VAL_MV_SOURCE_WINDOW.FAT&amp;VAR:ID1=BBBY&amp;VAR:SDATE=20060609&amp;VAR:FDATE=20060228&amp;VAR:FREQ=DAILY&amp;VAR:RELITEM=&amp;VAR:CURRENCY=&amp;VAR:DB_TYPE=&amp;VAR:UNITS=M&amp;VAR:SHS_OUT_TY","PE=&amp;window=popup&amp;width=535&amp;height=425&amp;START_MAXIMIZED=FALSE&amp;Y=120"}</definedName>
    <definedName name="_395__FDSAUDITLINK__" localSheetId="5" hidden="1">{"fdsup://directions/FAT Viewer?action=UPDATE&amp;creator=factSet&amp;DYN_ARGS=true&amp;DOC_NAME=FAT:RGA_ENTRPR_VAL_MV_SOURCE_WINDOW.FAT&amp;VAR:ID1=BBBY&amp;VAR:SDATE=20060616&amp;VAR:FDATE=20060228&amp;VAR:FREQ=DAILY&amp;VAR:RELITEM=&amp;VAR:CURRENCY=&amp;VAR:DB_TYPE=&amp;VAR:UNITS=M&amp;VAR:SHS_OUT_TY","PE=&amp;window=popup&amp;width=535&amp;height=425&amp;START_MAXIMIZED=FALSE&amp;Y=120"}</definedName>
    <definedName name="_395__FDSAUDITLINK__" hidden="1">{"fdsup://directions/FAT Viewer?action=UPDATE&amp;creator=factSet&amp;DYN_ARGS=true&amp;DOC_NAME=FAT:RGA_ENTRPR_VAL_MV_SOURCE_WINDOW.FAT&amp;VAR:ID1=BBBY&amp;VAR:SDATE=20060616&amp;VAR:FDATE=20060228&amp;VAR:FREQ=DAILY&amp;VAR:RELITEM=&amp;VAR:CURRENCY=&amp;VAR:DB_TYPE=&amp;VAR:UNITS=M&amp;VAR:SHS_OUT_TY","PE=&amp;window=popup&amp;width=535&amp;height=425&amp;START_MAXIMIZED=FALSE&amp;Y=120"}</definedName>
    <definedName name="_396__FDSAUDITLINK__" localSheetId="5" hidden="1">{"fdsup://directions/FAT Viewer?action=UPDATE&amp;creator=factSet&amp;DYN_ARGS=true&amp;DOC_NAME=FAT:RGA_ENTRPR_VAL_MV_SOURCE_WINDOW.FAT&amp;VAR:ID1=BBBY&amp;VAR:SDATE=20060623&amp;VAR:FDATE=20060228&amp;VAR:FREQ=DAILY&amp;VAR:RELITEM=&amp;VAR:CURRENCY=&amp;VAR:DB_TYPE=&amp;VAR:UNITS=M&amp;VAR:SHS_OUT_TY","PE=&amp;window=popup&amp;width=535&amp;height=425&amp;START_MAXIMIZED=FALSE&amp;Y=120"}</definedName>
    <definedName name="_396__FDSAUDITLINK__" hidden="1">{"fdsup://directions/FAT Viewer?action=UPDATE&amp;creator=factSet&amp;DYN_ARGS=true&amp;DOC_NAME=FAT:RGA_ENTRPR_VAL_MV_SOURCE_WINDOW.FAT&amp;VAR:ID1=BBBY&amp;VAR:SDATE=20060623&amp;VAR:FDATE=20060228&amp;VAR:FREQ=DAILY&amp;VAR:RELITEM=&amp;VAR:CURRENCY=&amp;VAR:DB_TYPE=&amp;VAR:UNITS=M&amp;VAR:SHS_OUT_TY","PE=&amp;window=popup&amp;width=535&amp;height=425&amp;START_MAXIMIZED=FALSE&amp;Y=120"}</definedName>
    <definedName name="_397__FDSAUDITLINK__" localSheetId="5" hidden="1">{"fdsup://directions/FAT Viewer?action=UPDATE&amp;creator=factSet&amp;DYN_ARGS=true&amp;DOC_NAME=FAT:RGA_ENTRPR_VAL_MV_SOURCE_WINDOW.FAT&amp;VAR:ID1=BBBY&amp;VAR:SDATE=20060630&amp;VAR:FDATE=20060228&amp;VAR:FREQ=DAILY&amp;VAR:RELITEM=&amp;VAR:CURRENCY=&amp;VAR:DB_TYPE=&amp;VAR:UNITS=M&amp;VAR:SHS_OUT_TY","PE=&amp;window=popup&amp;width=535&amp;height=425&amp;START_MAXIMIZED=FALSE&amp;Y=120"}</definedName>
    <definedName name="_397__FDSAUDITLINK__" hidden="1">{"fdsup://directions/FAT Viewer?action=UPDATE&amp;creator=factSet&amp;DYN_ARGS=true&amp;DOC_NAME=FAT:RGA_ENTRPR_VAL_MV_SOURCE_WINDOW.FAT&amp;VAR:ID1=BBBY&amp;VAR:SDATE=20060630&amp;VAR:FDATE=20060228&amp;VAR:FREQ=DAILY&amp;VAR:RELITEM=&amp;VAR:CURRENCY=&amp;VAR:DB_TYPE=&amp;VAR:UNITS=M&amp;VAR:SHS_OUT_TY","PE=&amp;window=popup&amp;width=535&amp;height=425&amp;START_MAXIMIZED=FALSE&amp;Y=120"}</definedName>
    <definedName name="_398__FDSAUDITLINK__" localSheetId="5" hidden="1">{"fdsup://directions/FAT Viewer?action=UPDATE&amp;creator=factSet&amp;DYN_ARGS=true&amp;DOC_NAME=FAT:RGA_ENTRPR_VAL_MV_SOURCE_WINDOW.FAT&amp;VAR:ID1=BBBY&amp;VAR:SDATE=20060707&amp;VAR:FDATE=20060228&amp;VAR:FREQ=DAILY&amp;VAR:RELITEM=&amp;VAR:CURRENCY=&amp;VAR:DB_TYPE=&amp;VAR:UNITS=M&amp;VAR:SHS_OUT_TY","PE=&amp;window=popup&amp;width=535&amp;height=425&amp;START_MAXIMIZED=FALSE&amp;Y=120"}</definedName>
    <definedName name="_398__FDSAUDITLINK__" hidden="1">{"fdsup://directions/FAT Viewer?action=UPDATE&amp;creator=factSet&amp;DYN_ARGS=true&amp;DOC_NAME=FAT:RGA_ENTRPR_VAL_MV_SOURCE_WINDOW.FAT&amp;VAR:ID1=BBBY&amp;VAR:SDATE=20060707&amp;VAR:FDATE=20060228&amp;VAR:FREQ=DAILY&amp;VAR:RELITEM=&amp;VAR:CURRENCY=&amp;VAR:DB_TYPE=&amp;VAR:UNITS=M&amp;VAR:SHS_OUT_TY","PE=&amp;window=popup&amp;width=535&amp;height=425&amp;START_MAXIMIZED=FALSE&amp;Y=120"}</definedName>
    <definedName name="_399__FDSAUDITLINK__" localSheetId="5" hidden="1">{"fdsup://directions/FAT Viewer?action=UPDATE&amp;creator=factSet&amp;DYN_ARGS=true&amp;DOC_NAME=FAT:RGA_ENTRPR_VAL_MV_SOURCE_WINDOW.FAT&amp;VAR:ID1=BBBY&amp;VAR:SDATE=20060714&amp;VAR:FDATE=20060228&amp;VAR:FREQ=DAILY&amp;VAR:RELITEM=&amp;VAR:CURRENCY=&amp;VAR:DB_TYPE=&amp;VAR:UNITS=M&amp;VAR:SHS_OUT_TY","PE=&amp;window=popup&amp;width=535&amp;height=425&amp;START_MAXIMIZED=FALSE&amp;Y=120"}</definedName>
    <definedName name="_399__FDSAUDITLINK__" hidden="1">{"fdsup://directions/FAT Viewer?action=UPDATE&amp;creator=factSet&amp;DYN_ARGS=true&amp;DOC_NAME=FAT:RGA_ENTRPR_VAL_MV_SOURCE_WINDOW.FAT&amp;VAR:ID1=BBBY&amp;VAR:SDATE=20060714&amp;VAR:FDATE=20060228&amp;VAR:FREQ=DAILY&amp;VAR:RELITEM=&amp;VAR:CURRENCY=&amp;VAR:DB_TYPE=&amp;VAR:UNITS=M&amp;VAR:SHS_OUT_TY","PE=&amp;window=popup&amp;width=535&amp;height=425&amp;START_MAXIMIZED=FALSE&amp;Y=120"}</definedName>
    <definedName name="_4__FDSAUDITLINK__" localSheetId="5" hidden="1">{"fdsup://directions/FAT Viewer?action=UPDATE&amp;creator=factSet&amp;DYN_ARGS=true&amp;DOC_NAME=FAT:RGA_ENTRPR_VAL_MV_SOURCE_WINDOW.FAT&amp;VAR:ID1=BBBY&amp;VAR:SDATE=19981218&amp;VAR:FDATE=19980227&amp;VAR:FREQ=DAILY&amp;VAR:RELITEM=&amp;VAR:CURRENCY=&amp;VAR:DB_TYPE=&amp;VAR:UNITS=M&amp;VAR:SHS_OUT_TY","PE=&amp;window=popup&amp;width=535&amp;height=425&amp;START_MAXIMIZED=FALSE&amp;Y=120"}</definedName>
    <definedName name="_4__FDSAUDITLINK__" hidden="1">{"fdsup://directions/FAT Viewer?action=UPDATE&amp;creator=factSet&amp;DYN_ARGS=true&amp;DOC_NAME=FAT:RGA_ENTRPR_VAL_MV_SOURCE_WINDOW.FAT&amp;VAR:ID1=BBBY&amp;VAR:SDATE=19981218&amp;VAR:FDATE=19980227&amp;VAR:FREQ=DAILY&amp;VAR:RELITEM=&amp;VAR:CURRENCY=&amp;VAR:DB_TYPE=&amp;VAR:UNITS=M&amp;VAR:SHS_OUT_TY","PE=&amp;window=popup&amp;width=535&amp;height=425&amp;START_MAXIMIZED=FALSE&amp;Y=120"}</definedName>
    <definedName name="_40__FDSAUDITLINK__" localSheetId="5" hidden="1">{"fdsup://directions/FAT Viewer?action=UPDATE&amp;creator=factSet&amp;DYN_ARGS=true&amp;DOC_NAME=FAT:RGA_ENTRPR_VAL_MV_SOURCE_WINDOW.FAT&amp;VAR:ID1=BBBY&amp;VAR:SDATE=19990827&amp;VAR:FDATE=19990226&amp;VAR:FREQ=DAILY&amp;VAR:RELITEM=&amp;VAR:CURRENCY=&amp;VAR:DB_TYPE=&amp;VAR:UNITS=M&amp;VAR:SHS_OUT_TY","PE=&amp;window=popup&amp;width=535&amp;height=425&amp;START_MAXIMIZED=FALSE&amp;Y=120"}</definedName>
    <definedName name="_40__FDSAUDITLINK__" hidden="1">{"fdsup://directions/FAT Viewer?action=UPDATE&amp;creator=factSet&amp;DYN_ARGS=true&amp;DOC_NAME=FAT:RGA_ENTRPR_VAL_MV_SOURCE_WINDOW.FAT&amp;VAR:ID1=BBBY&amp;VAR:SDATE=19990827&amp;VAR:FDATE=19990226&amp;VAR:FREQ=DAILY&amp;VAR:RELITEM=&amp;VAR:CURRENCY=&amp;VAR:DB_TYPE=&amp;VAR:UNITS=M&amp;VAR:SHS_OUT_TY","PE=&amp;window=popup&amp;width=535&amp;height=425&amp;START_MAXIMIZED=FALSE&amp;Y=120"}</definedName>
    <definedName name="_400__FDSAUDITLINK__" localSheetId="5" hidden="1">{"fdsup://directions/FAT Viewer?action=UPDATE&amp;creator=factSet&amp;DYN_ARGS=true&amp;DOC_NAME=FAT:RGA_ENTRPR_VAL_MV_SOURCE_WINDOW.FAT&amp;VAR:ID1=BBBY&amp;VAR:SDATE=20060721&amp;VAR:FDATE=20060228&amp;VAR:FREQ=DAILY&amp;VAR:RELITEM=&amp;VAR:CURRENCY=&amp;VAR:DB_TYPE=&amp;VAR:UNITS=M&amp;VAR:SHS_OUT_TY","PE=&amp;window=popup&amp;width=535&amp;height=425&amp;START_MAXIMIZED=FALSE&amp;Y=120"}</definedName>
    <definedName name="_400__FDSAUDITLINK__" hidden="1">{"fdsup://directions/FAT Viewer?action=UPDATE&amp;creator=factSet&amp;DYN_ARGS=true&amp;DOC_NAME=FAT:RGA_ENTRPR_VAL_MV_SOURCE_WINDOW.FAT&amp;VAR:ID1=BBBY&amp;VAR:SDATE=20060721&amp;VAR:FDATE=20060228&amp;VAR:FREQ=DAILY&amp;VAR:RELITEM=&amp;VAR:CURRENCY=&amp;VAR:DB_TYPE=&amp;VAR:UNITS=M&amp;VAR:SHS_OUT_TY","PE=&amp;window=popup&amp;width=535&amp;height=425&amp;START_MAXIMIZED=FALSE&amp;Y=120"}</definedName>
    <definedName name="_401__FDSAUDITLINK__" localSheetId="5" hidden="1">{"fdsup://directions/FAT Viewer?action=UPDATE&amp;creator=factSet&amp;DYN_ARGS=true&amp;DOC_NAME=FAT:RGA_ENTRPR_VAL_MV_SOURCE_WINDOW.FAT&amp;VAR:ID1=BBBY&amp;VAR:SDATE=20060728&amp;VAR:FDATE=20060228&amp;VAR:FREQ=DAILY&amp;VAR:RELITEM=&amp;VAR:CURRENCY=&amp;VAR:DB_TYPE=&amp;VAR:UNITS=M&amp;VAR:SHS_OUT_TY","PE=&amp;window=popup&amp;width=535&amp;height=425&amp;START_MAXIMIZED=FALSE&amp;Y=120"}</definedName>
    <definedName name="_401__FDSAUDITLINK__" hidden="1">{"fdsup://directions/FAT Viewer?action=UPDATE&amp;creator=factSet&amp;DYN_ARGS=true&amp;DOC_NAME=FAT:RGA_ENTRPR_VAL_MV_SOURCE_WINDOW.FAT&amp;VAR:ID1=BBBY&amp;VAR:SDATE=20060728&amp;VAR:FDATE=20060228&amp;VAR:FREQ=DAILY&amp;VAR:RELITEM=&amp;VAR:CURRENCY=&amp;VAR:DB_TYPE=&amp;VAR:UNITS=M&amp;VAR:SHS_OUT_TY","PE=&amp;window=popup&amp;width=535&amp;height=425&amp;START_MAXIMIZED=FALSE&amp;Y=120"}</definedName>
    <definedName name="_402__FDSAUDITLINK__" localSheetId="5" hidden="1">{"fdsup://directions/FAT Viewer?action=UPDATE&amp;creator=factSet&amp;DYN_ARGS=true&amp;DOC_NAME=FAT:RGA_ENTRPR_VAL_MV_SOURCE_WINDOW.FAT&amp;VAR:ID1=BBBY&amp;VAR:SDATE=20060804&amp;VAR:FDATE=20060228&amp;VAR:FREQ=DAILY&amp;VAR:RELITEM=&amp;VAR:CURRENCY=&amp;VAR:DB_TYPE=&amp;VAR:UNITS=M&amp;VAR:SHS_OUT_TY","PE=&amp;window=popup&amp;width=535&amp;height=425&amp;START_MAXIMIZED=FALSE&amp;Y=120"}</definedName>
    <definedName name="_402__FDSAUDITLINK__" hidden="1">{"fdsup://directions/FAT Viewer?action=UPDATE&amp;creator=factSet&amp;DYN_ARGS=true&amp;DOC_NAME=FAT:RGA_ENTRPR_VAL_MV_SOURCE_WINDOW.FAT&amp;VAR:ID1=BBBY&amp;VAR:SDATE=20060804&amp;VAR:FDATE=20060228&amp;VAR:FREQ=DAILY&amp;VAR:RELITEM=&amp;VAR:CURRENCY=&amp;VAR:DB_TYPE=&amp;VAR:UNITS=M&amp;VAR:SHS_OUT_TY","PE=&amp;window=popup&amp;width=535&amp;height=425&amp;START_MAXIMIZED=FALSE&amp;Y=120"}</definedName>
    <definedName name="_403__FDSAUDITLINK__" localSheetId="5" hidden="1">{"fdsup://directions/FAT Viewer?action=UPDATE&amp;creator=factSet&amp;DYN_ARGS=true&amp;DOC_NAME=FAT:RGA_ENTRPR_VAL_MV_SOURCE_WINDOW.FAT&amp;VAR:ID1=BBBY&amp;VAR:SDATE=20060811&amp;VAR:FDATE=20060228&amp;VAR:FREQ=DAILY&amp;VAR:RELITEM=&amp;VAR:CURRENCY=&amp;VAR:DB_TYPE=&amp;VAR:UNITS=M&amp;VAR:SHS_OUT_TY","PE=&amp;window=popup&amp;width=535&amp;height=425&amp;START_MAXIMIZED=FALSE&amp;Y=120"}</definedName>
    <definedName name="_403__FDSAUDITLINK__" hidden="1">{"fdsup://directions/FAT Viewer?action=UPDATE&amp;creator=factSet&amp;DYN_ARGS=true&amp;DOC_NAME=FAT:RGA_ENTRPR_VAL_MV_SOURCE_WINDOW.FAT&amp;VAR:ID1=BBBY&amp;VAR:SDATE=20060811&amp;VAR:FDATE=20060228&amp;VAR:FREQ=DAILY&amp;VAR:RELITEM=&amp;VAR:CURRENCY=&amp;VAR:DB_TYPE=&amp;VAR:UNITS=M&amp;VAR:SHS_OUT_TY","PE=&amp;window=popup&amp;width=535&amp;height=425&amp;START_MAXIMIZED=FALSE&amp;Y=120"}</definedName>
    <definedName name="_404__FDSAUDITLINK__" localSheetId="5" hidden="1">{"fdsup://directions/FAT Viewer?action=UPDATE&amp;creator=factSet&amp;DYN_ARGS=true&amp;DOC_NAME=FAT:RGA_ENTRPR_VAL_MV_SOURCE_WINDOW.FAT&amp;VAR:ID1=BBBY&amp;VAR:SDATE=20060818&amp;VAR:FDATE=20060228&amp;VAR:FREQ=DAILY&amp;VAR:RELITEM=&amp;VAR:CURRENCY=&amp;VAR:DB_TYPE=&amp;VAR:UNITS=M&amp;VAR:SHS_OUT_TY","PE=&amp;window=popup&amp;width=535&amp;height=425&amp;START_MAXIMIZED=FALSE&amp;Y=120"}</definedName>
    <definedName name="_404__FDSAUDITLINK__" hidden="1">{"fdsup://directions/FAT Viewer?action=UPDATE&amp;creator=factSet&amp;DYN_ARGS=true&amp;DOC_NAME=FAT:RGA_ENTRPR_VAL_MV_SOURCE_WINDOW.FAT&amp;VAR:ID1=BBBY&amp;VAR:SDATE=20060818&amp;VAR:FDATE=20060228&amp;VAR:FREQ=DAILY&amp;VAR:RELITEM=&amp;VAR:CURRENCY=&amp;VAR:DB_TYPE=&amp;VAR:UNITS=M&amp;VAR:SHS_OUT_TY","PE=&amp;window=popup&amp;width=535&amp;height=425&amp;START_MAXIMIZED=FALSE&amp;Y=120"}</definedName>
    <definedName name="_405__FDSAUDITLINK__" localSheetId="5" hidden="1">{"fdsup://directions/FAT Viewer?action=UPDATE&amp;creator=factSet&amp;DYN_ARGS=true&amp;DOC_NAME=FAT:RGA_ENTRPR_VAL_MV_SOURCE_WINDOW.FAT&amp;VAR:ID1=BBBY&amp;VAR:SDATE=20060825&amp;VAR:FDATE=20060228&amp;VAR:FREQ=DAILY&amp;VAR:RELITEM=&amp;VAR:CURRENCY=&amp;VAR:DB_TYPE=&amp;VAR:UNITS=M&amp;VAR:SHS_OUT_TY","PE=&amp;window=popup&amp;width=535&amp;height=425&amp;START_MAXIMIZED=FALSE&amp;Y=120"}</definedName>
    <definedName name="_405__FDSAUDITLINK__" hidden="1">{"fdsup://directions/FAT Viewer?action=UPDATE&amp;creator=factSet&amp;DYN_ARGS=true&amp;DOC_NAME=FAT:RGA_ENTRPR_VAL_MV_SOURCE_WINDOW.FAT&amp;VAR:ID1=BBBY&amp;VAR:SDATE=20060825&amp;VAR:FDATE=20060228&amp;VAR:FREQ=DAILY&amp;VAR:RELITEM=&amp;VAR:CURRENCY=&amp;VAR:DB_TYPE=&amp;VAR:UNITS=M&amp;VAR:SHS_OUT_TY","PE=&amp;window=popup&amp;width=535&amp;height=425&amp;START_MAXIMIZED=FALSE&amp;Y=120"}</definedName>
    <definedName name="_406__FDSAUDITLINK__" localSheetId="5" hidden="1">{"fdsup://directions/FAT Viewer?action=UPDATE&amp;creator=factSet&amp;DYN_ARGS=true&amp;DOC_NAME=FAT:RGA_ENTRPR_VAL_MV_SOURCE_WINDOW.FAT&amp;VAR:ID1=BBBY&amp;VAR:SDATE=20060901&amp;VAR:FDATE=20060228&amp;VAR:FREQ=DAILY&amp;VAR:RELITEM=&amp;VAR:CURRENCY=&amp;VAR:DB_TYPE=&amp;VAR:UNITS=M&amp;VAR:SHS_OUT_TY","PE=&amp;window=popup&amp;width=535&amp;height=425&amp;START_MAXIMIZED=FALSE&amp;Y=120"}</definedName>
    <definedName name="_406__FDSAUDITLINK__" hidden="1">{"fdsup://directions/FAT Viewer?action=UPDATE&amp;creator=factSet&amp;DYN_ARGS=true&amp;DOC_NAME=FAT:RGA_ENTRPR_VAL_MV_SOURCE_WINDOW.FAT&amp;VAR:ID1=BBBY&amp;VAR:SDATE=20060901&amp;VAR:FDATE=20060228&amp;VAR:FREQ=DAILY&amp;VAR:RELITEM=&amp;VAR:CURRENCY=&amp;VAR:DB_TYPE=&amp;VAR:UNITS=M&amp;VAR:SHS_OUT_TY","PE=&amp;window=popup&amp;width=535&amp;height=425&amp;START_MAXIMIZED=FALSE&amp;Y=120"}</definedName>
    <definedName name="_407__FDSAUDITLINK__" localSheetId="5" hidden="1">{"fdsup://directions/FAT Viewer?action=UPDATE&amp;creator=factSet&amp;DYN_ARGS=true&amp;DOC_NAME=FAT:RGA_ENTRPR_VAL_MV_SOURCE_WINDOW.FAT&amp;VAR:ID1=BBBY&amp;VAR:SDATE=20060908&amp;VAR:FDATE=20060228&amp;VAR:FREQ=DAILY&amp;VAR:RELITEM=&amp;VAR:CURRENCY=&amp;VAR:DB_TYPE=&amp;VAR:UNITS=M&amp;VAR:SHS_OUT_TY","PE=&amp;window=popup&amp;width=535&amp;height=425&amp;START_MAXIMIZED=FALSE&amp;Y=120"}</definedName>
    <definedName name="_407__FDSAUDITLINK__" hidden="1">{"fdsup://directions/FAT Viewer?action=UPDATE&amp;creator=factSet&amp;DYN_ARGS=true&amp;DOC_NAME=FAT:RGA_ENTRPR_VAL_MV_SOURCE_WINDOW.FAT&amp;VAR:ID1=BBBY&amp;VAR:SDATE=20060908&amp;VAR:FDATE=20060228&amp;VAR:FREQ=DAILY&amp;VAR:RELITEM=&amp;VAR:CURRENCY=&amp;VAR:DB_TYPE=&amp;VAR:UNITS=M&amp;VAR:SHS_OUT_TY","PE=&amp;window=popup&amp;width=535&amp;height=425&amp;START_MAXIMIZED=FALSE&amp;Y=120"}</definedName>
    <definedName name="_408__FDSAUDITLINK__" localSheetId="5" hidden="1">{"fdsup://directions/FAT Viewer?action=UPDATE&amp;creator=factSet&amp;DYN_ARGS=true&amp;DOC_NAME=FAT:RGA_ENTRPR_VAL_MV_SOURCE_WINDOW.FAT&amp;VAR:ID1=BBBY&amp;VAR:SDATE=20060915&amp;VAR:FDATE=20060228&amp;VAR:FREQ=DAILY&amp;VAR:RELITEM=&amp;VAR:CURRENCY=&amp;VAR:DB_TYPE=&amp;VAR:UNITS=M&amp;VAR:SHS_OUT_TY","PE=&amp;window=popup&amp;width=535&amp;height=425&amp;START_MAXIMIZED=FALSE&amp;Y=120"}</definedName>
    <definedName name="_408__FDSAUDITLINK__" hidden="1">{"fdsup://directions/FAT Viewer?action=UPDATE&amp;creator=factSet&amp;DYN_ARGS=true&amp;DOC_NAME=FAT:RGA_ENTRPR_VAL_MV_SOURCE_WINDOW.FAT&amp;VAR:ID1=BBBY&amp;VAR:SDATE=20060915&amp;VAR:FDATE=20060228&amp;VAR:FREQ=DAILY&amp;VAR:RELITEM=&amp;VAR:CURRENCY=&amp;VAR:DB_TYPE=&amp;VAR:UNITS=M&amp;VAR:SHS_OUT_TY","PE=&amp;window=popup&amp;width=535&amp;height=425&amp;START_MAXIMIZED=FALSE&amp;Y=120"}</definedName>
    <definedName name="_409__FDSAUDITLINK__" localSheetId="5" hidden="1">{"fdsup://directions/FAT Viewer?action=UPDATE&amp;creator=factSet&amp;DYN_ARGS=true&amp;DOC_NAME=FAT:RGA_ENTRPR_VAL_MV_SOURCE_WINDOW.FAT&amp;VAR:ID1=BBBY&amp;VAR:SDATE=20060922&amp;VAR:FDATE=20060228&amp;VAR:FREQ=DAILY&amp;VAR:RELITEM=&amp;VAR:CURRENCY=&amp;VAR:DB_TYPE=&amp;VAR:UNITS=M&amp;VAR:SHS_OUT_TY","PE=&amp;window=popup&amp;width=535&amp;height=425&amp;START_MAXIMIZED=FALSE&amp;Y=120"}</definedName>
    <definedName name="_409__FDSAUDITLINK__" hidden="1">{"fdsup://directions/FAT Viewer?action=UPDATE&amp;creator=factSet&amp;DYN_ARGS=true&amp;DOC_NAME=FAT:RGA_ENTRPR_VAL_MV_SOURCE_WINDOW.FAT&amp;VAR:ID1=BBBY&amp;VAR:SDATE=20060922&amp;VAR:FDATE=20060228&amp;VAR:FREQ=DAILY&amp;VAR:RELITEM=&amp;VAR:CURRENCY=&amp;VAR:DB_TYPE=&amp;VAR:UNITS=M&amp;VAR:SHS_OUT_TY","PE=&amp;window=popup&amp;width=535&amp;height=425&amp;START_MAXIMIZED=FALSE&amp;Y=120"}</definedName>
    <definedName name="_41__FDSAUDITLINK__" localSheetId="5" hidden="1">{"fdsup://directions/FAT Viewer?action=UPDATE&amp;creator=factSet&amp;DYN_ARGS=true&amp;DOC_NAME=FAT:RGA_ENTRPR_VAL_MV_SOURCE_WINDOW.FAT&amp;VAR:ID1=BBBY&amp;VAR:SDATE=19990903&amp;VAR:FDATE=19990226&amp;VAR:FREQ=DAILY&amp;VAR:RELITEM=&amp;VAR:CURRENCY=&amp;VAR:DB_TYPE=&amp;VAR:UNITS=M&amp;VAR:SHS_OUT_TY","PE=&amp;window=popup&amp;width=535&amp;height=425&amp;START_MAXIMIZED=FALSE&amp;Y=120"}</definedName>
    <definedName name="_41__FDSAUDITLINK__" hidden="1">{"fdsup://directions/FAT Viewer?action=UPDATE&amp;creator=factSet&amp;DYN_ARGS=true&amp;DOC_NAME=FAT:RGA_ENTRPR_VAL_MV_SOURCE_WINDOW.FAT&amp;VAR:ID1=BBBY&amp;VAR:SDATE=19990903&amp;VAR:FDATE=19990226&amp;VAR:FREQ=DAILY&amp;VAR:RELITEM=&amp;VAR:CURRENCY=&amp;VAR:DB_TYPE=&amp;VAR:UNITS=M&amp;VAR:SHS_OUT_TY","PE=&amp;window=popup&amp;width=535&amp;height=425&amp;START_MAXIMIZED=FALSE&amp;Y=120"}</definedName>
    <definedName name="_410__FDSAUDITLINK__" localSheetId="5" hidden="1">{"fdsup://directions/FAT Viewer?action=UPDATE&amp;creator=factSet&amp;DYN_ARGS=true&amp;DOC_NAME=FAT:RGA_ENTRPR_VAL_MV_SOURCE_WINDOW.FAT&amp;VAR:ID1=BBBY&amp;VAR:SDATE=20060929&amp;VAR:FDATE=20060228&amp;VAR:FREQ=DAILY&amp;VAR:RELITEM=&amp;VAR:CURRENCY=&amp;VAR:DB_TYPE=&amp;VAR:UNITS=M&amp;VAR:SHS_OUT_TY","PE=&amp;window=popup&amp;width=535&amp;height=425&amp;START_MAXIMIZED=FALSE&amp;Y=120"}</definedName>
    <definedName name="_410__FDSAUDITLINK__" hidden="1">{"fdsup://directions/FAT Viewer?action=UPDATE&amp;creator=factSet&amp;DYN_ARGS=true&amp;DOC_NAME=FAT:RGA_ENTRPR_VAL_MV_SOURCE_WINDOW.FAT&amp;VAR:ID1=BBBY&amp;VAR:SDATE=20060929&amp;VAR:FDATE=20060228&amp;VAR:FREQ=DAILY&amp;VAR:RELITEM=&amp;VAR:CURRENCY=&amp;VAR:DB_TYPE=&amp;VAR:UNITS=M&amp;VAR:SHS_OUT_TY","PE=&amp;window=popup&amp;width=535&amp;height=425&amp;START_MAXIMIZED=FALSE&amp;Y=120"}</definedName>
    <definedName name="_411__FDSAUDITLINK__" localSheetId="5" hidden="1">{"fdsup://directions/FAT Viewer?action=UPDATE&amp;creator=factSet&amp;DYN_ARGS=true&amp;DOC_NAME=FAT:RGA_ENTRPR_VAL_MV_SOURCE_WINDOW.FAT&amp;VAR:ID1=BBBY&amp;VAR:SDATE=20061006&amp;VAR:FDATE=20060228&amp;VAR:FREQ=DAILY&amp;VAR:RELITEM=&amp;VAR:CURRENCY=&amp;VAR:DB_TYPE=&amp;VAR:UNITS=M&amp;VAR:SHS_OUT_TY","PE=&amp;window=popup&amp;width=535&amp;height=425&amp;START_MAXIMIZED=FALSE&amp;Y=120"}</definedName>
    <definedName name="_411__FDSAUDITLINK__" hidden="1">{"fdsup://directions/FAT Viewer?action=UPDATE&amp;creator=factSet&amp;DYN_ARGS=true&amp;DOC_NAME=FAT:RGA_ENTRPR_VAL_MV_SOURCE_WINDOW.FAT&amp;VAR:ID1=BBBY&amp;VAR:SDATE=20061006&amp;VAR:FDATE=20060228&amp;VAR:FREQ=DAILY&amp;VAR:RELITEM=&amp;VAR:CURRENCY=&amp;VAR:DB_TYPE=&amp;VAR:UNITS=M&amp;VAR:SHS_OUT_TY","PE=&amp;window=popup&amp;width=535&amp;height=425&amp;START_MAXIMIZED=FALSE&amp;Y=120"}</definedName>
    <definedName name="_412__FDSAUDITLINK__" localSheetId="5" hidden="1">{"fdsup://directions/FAT Viewer?action=UPDATE&amp;creator=factSet&amp;DYN_ARGS=true&amp;DOC_NAME=FAT:RGA_ENTRPR_VAL_MV_SOURCE_WINDOW.FAT&amp;VAR:ID1=BBBY&amp;VAR:SDATE=20061013&amp;VAR:FDATE=20060228&amp;VAR:FREQ=DAILY&amp;VAR:RELITEM=&amp;VAR:CURRENCY=&amp;VAR:DB_TYPE=&amp;VAR:UNITS=M&amp;VAR:SHS_OUT_TY","PE=&amp;window=popup&amp;width=535&amp;height=425&amp;START_MAXIMIZED=FALSE&amp;Y=120"}</definedName>
    <definedName name="_412__FDSAUDITLINK__" hidden="1">{"fdsup://directions/FAT Viewer?action=UPDATE&amp;creator=factSet&amp;DYN_ARGS=true&amp;DOC_NAME=FAT:RGA_ENTRPR_VAL_MV_SOURCE_WINDOW.FAT&amp;VAR:ID1=BBBY&amp;VAR:SDATE=20061013&amp;VAR:FDATE=20060228&amp;VAR:FREQ=DAILY&amp;VAR:RELITEM=&amp;VAR:CURRENCY=&amp;VAR:DB_TYPE=&amp;VAR:UNITS=M&amp;VAR:SHS_OUT_TY","PE=&amp;window=popup&amp;width=535&amp;height=425&amp;START_MAXIMIZED=FALSE&amp;Y=120"}</definedName>
    <definedName name="_413__FDSAUDITLINK__" localSheetId="5" hidden="1">{"fdsup://directions/FAT Viewer?action=UPDATE&amp;creator=factSet&amp;DYN_ARGS=true&amp;DOC_NAME=FAT:RGA_ENTRPR_VAL_MV_SOURCE_WINDOW.FAT&amp;VAR:ID1=BBBY&amp;VAR:SDATE=20061020&amp;VAR:FDATE=20060228&amp;VAR:FREQ=DAILY&amp;VAR:RELITEM=&amp;VAR:CURRENCY=&amp;VAR:DB_TYPE=&amp;VAR:UNITS=M&amp;VAR:SHS_OUT_TY","PE=&amp;window=popup&amp;width=535&amp;height=425&amp;START_MAXIMIZED=FALSE&amp;Y=120"}</definedName>
    <definedName name="_413__FDSAUDITLINK__" hidden="1">{"fdsup://directions/FAT Viewer?action=UPDATE&amp;creator=factSet&amp;DYN_ARGS=true&amp;DOC_NAME=FAT:RGA_ENTRPR_VAL_MV_SOURCE_WINDOW.FAT&amp;VAR:ID1=BBBY&amp;VAR:SDATE=20061020&amp;VAR:FDATE=20060228&amp;VAR:FREQ=DAILY&amp;VAR:RELITEM=&amp;VAR:CURRENCY=&amp;VAR:DB_TYPE=&amp;VAR:UNITS=M&amp;VAR:SHS_OUT_TY","PE=&amp;window=popup&amp;width=535&amp;height=425&amp;START_MAXIMIZED=FALSE&amp;Y=120"}</definedName>
    <definedName name="_414__FDSAUDITLINK__" localSheetId="5" hidden="1">{"fdsup://directions/FAT Viewer?action=UPDATE&amp;creator=factSet&amp;DYN_ARGS=true&amp;DOC_NAME=FAT:RGA_ENTRPR_VAL_MV_SOURCE_WINDOW.FAT&amp;VAR:ID1=BBBY&amp;VAR:SDATE=20061027&amp;VAR:FDATE=20060228&amp;VAR:FREQ=DAILY&amp;VAR:RELITEM=&amp;VAR:CURRENCY=&amp;VAR:DB_TYPE=&amp;VAR:UNITS=M&amp;VAR:SHS_OUT_TY","PE=&amp;window=popup&amp;width=535&amp;height=425&amp;START_MAXIMIZED=FALSE&amp;Y=120"}</definedName>
    <definedName name="_414__FDSAUDITLINK__" hidden="1">{"fdsup://directions/FAT Viewer?action=UPDATE&amp;creator=factSet&amp;DYN_ARGS=true&amp;DOC_NAME=FAT:RGA_ENTRPR_VAL_MV_SOURCE_WINDOW.FAT&amp;VAR:ID1=BBBY&amp;VAR:SDATE=20061027&amp;VAR:FDATE=20060228&amp;VAR:FREQ=DAILY&amp;VAR:RELITEM=&amp;VAR:CURRENCY=&amp;VAR:DB_TYPE=&amp;VAR:UNITS=M&amp;VAR:SHS_OUT_TY","PE=&amp;window=popup&amp;width=535&amp;height=425&amp;START_MAXIMIZED=FALSE&amp;Y=120"}</definedName>
    <definedName name="_415__FDSAUDITLINK__" localSheetId="5" hidden="1">{"fdsup://directions/FAT Viewer?action=UPDATE&amp;creator=factSet&amp;DYN_ARGS=true&amp;DOC_NAME=FAT:RGA_ENTRPR_VAL_MV_SOURCE_WINDOW.FAT&amp;VAR:ID1=BBBY&amp;VAR:SDATE=20061103&amp;VAR:FDATE=20060228&amp;VAR:FREQ=DAILY&amp;VAR:RELITEM=&amp;VAR:CURRENCY=&amp;VAR:DB_TYPE=&amp;VAR:UNITS=M&amp;VAR:SHS_OUT_TY","PE=&amp;window=popup&amp;width=535&amp;height=425&amp;START_MAXIMIZED=FALSE&amp;Y=120"}</definedName>
    <definedName name="_415__FDSAUDITLINK__" hidden="1">{"fdsup://directions/FAT Viewer?action=UPDATE&amp;creator=factSet&amp;DYN_ARGS=true&amp;DOC_NAME=FAT:RGA_ENTRPR_VAL_MV_SOURCE_WINDOW.FAT&amp;VAR:ID1=BBBY&amp;VAR:SDATE=20061103&amp;VAR:FDATE=20060228&amp;VAR:FREQ=DAILY&amp;VAR:RELITEM=&amp;VAR:CURRENCY=&amp;VAR:DB_TYPE=&amp;VAR:UNITS=M&amp;VAR:SHS_OUT_TY","PE=&amp;window=popup&amp;width=535&amp;height=425&amp;START_MAXIMIZED=FALSE&amp;Y=120"}</definedName>
    <definedName name="_416__FDSAUDITLINK__" localSheetId="5" hidden="1">{"fdsup://directions/FAT Viewer?action=UPDATE&amp;creator=factSet&amp;DYN_ARGS=true&amp;DOC_NAME=FAT:RGA_ENTRPR_VAL_MV_SOURCE_WINDOW.FAT&amp;VAR:ID1=BBBY&amp;VAR:SDATE=20061110&amp;VAR:FDATE=20060228&amp;VAR:FREQ=DAILY&amp;VAR:RELITEM=&amp;VAR:CURRENCY=&amp;VAR:DB_TYPE=&amp;VAR:UNITS=M&amp;VAR:SHS_OUT_TY","PE=&amp;window=popup&amp;width=535&amp;height=425&amp;START_MAXIMIZED=FALSE&amp;Y=120"}</definedName>
    <definedName name="_416__FDSAUDITLINK__" hidden="1">{"fdsup://directions/FAT Viewer?action=UPDATE&amp;creator=factSet&amp;DYN_ARGS=true&amp;DOC_NAME=FAT:RGA_ENTRPR_VAL_MV_SOURCE_WINDOW.FAT&amp;VAR:ID1=BBBY&amp;VAR:SDATE=20061110&amp;VAR:FDATE=20060228&amp;VAR:FREQ=DAILY&amp;VAR:RELITEM=&amp;VAR:CURRENCY=&amp;VAR:DB_TYPE=&amp;VAR:UNITS=M&amp;VAR:SHS_OUT_TY","PE=&amp;window=popup&amp;width=535&amp;height=425&amp;START_MAXIMIZED=FALSE&amp;Y=120"}</definedName>
    <definedName name="_417__FDSAUDITLINK__" localSheetId="5" hidden="1">{"fdsup://directions/FAT Viewer?action=UPDATE&amp;creator=factSet&amp;DYN_ARGS=true&amp;DOC_NAME=FAT:RGA_ENTRPR_VAL_MV_SOURCE_WINDOW.FAT&amp;VAR:ID1=BBBY&amp;VAR:SDATE=20061117&amp;VAR:FDATE=20060228&amp;VAR:FREQ=DAILY&amp;VAR:RELITEM=&amp;VAR:CURRENCY=&amp;VAR:DB_TYPE=&amp;VAR:UNITS=M&amp;VAR:SHS_OUT_TY","PE=&amp;window=popup&amp;width=535&amp;height=425&amp;START_MAXIMIZED=FALSE&amp;Y=120"}</definedName>
    <definedName name="_417__FDSAUDITLINK__" hidden="1">{"fdsup://directions/FAT Viewer?action=UPDATE&amp;creator=factSet&amp;DYN_ARGS=true&amp;DOC_NAME=FAT:RGA_ENTRPR_VAL_MV_SOURCE_WINDOW.FAT&amp;VAR:ID1=BBBY&amp;VAR:SDATE=20061117&amp;VAR:FDATE=20060228&amp;VAR:FREQ=DAILY&amp;VAR:RELITEM=&amp;VAR:CURRENCY=&amp;VAR:DB_TYPE=&amp;VAR:UNITS=M&amp;VAR:SHS_OUT_TY","PE=&amp;window=popup&amp;width=535&amp;height=425&amp;START_MAXIMIZED=FALSE&amp;Y=120"}</definedName>
    <definedName name="_418__FDSAUDITLINK__" localSheetId="5" hidden="1">{"fdsup://directions/FAT Viewer?action=UPDATE&amp;creator=factSet&amp;DYN_ARGS=true&amp;DOC_NAME=FAT:RGA_ENTRPR_VAL_MV_SOURCE_WINDOW.FAT&amp;VAR:ID1=BBBY&amp;VAR:SDATE=20061124&amp;VAR:FDATE=20060228&amp;VAR:FREQ=DAILY&amp;VAR:RELITEM=&amp;VAR:CURRENCY=&amp;VAR:DB_TYPE=&amp;VAR:UNITS=M&amp;VAR:SHS_OUT_TY","PE=&amp;window=popup&amp;width=535&amp;height=425&amp;START_MAXIMIZED=FALSE&amp;Y=120"}</definedName>
    <definedName name="_418__FDSAUDITLINK__" hidden="1">{"fdsup://directions/FAT Viewer?action=UPDATE&amp;creator=factSet&amp;DYN_ARGS=true&amp;DOC_NAME=FAT:RGA_ENTRPR_VAL_MV_SOURCE_WINDOW.FAT&amp;VAR:ID1=BBBY&amp;VAR:SDATE=20061124&amp;VAR:FDATE=20060228&amp;VAR:FREQ=DAILY&amp;VAR:RELITEM=&amp;VAR:CURRENCY=&amp;VAR:DB_TYPE=&amp;VAR:UNITS=M&amp;VAR:SHS_OUT_TY","PE=&amp;window=popup&amp;width=535&amp;height=425&amp;START_MAXIMIZED=FALSE&amp;Y=120"}</definedName>
    <definedName name="_419__FDSAUDITLINK__" localSheetId="5" hidden="1">{"fdsup://directions/FAT Viewer?action=UPDATE&amp;creator=factSet&amp;DYN_ARGS=true&amp;DOC_NAME=FAT:RGA_ENTRPR_VAL_MV_SOURCE_WINDOW.FAT&amp;VAR:ID1=BBBY&amp;VAR:SDATE=20061201&amp;VAR:FDATE=20060228&amp;VAR:FREQ=DAILY&amp;VAR:RELITEM=&amp;VAR:CURRENCY=&amp;VAR:DB_TYPE=&amp;VAR:UNITS=M&amp;VAR:SHS_OUT_TY","PE=&amp;window=popup&amp;width=535&amp;height=425&amp;START_MAXIMIZED=FALSE&amp;Y=120"}</definedName>
    <definedName name="_419__FDSAUDITLINK__" hidden="1">{"fdsup://directions/FAT Viewer?action=UPDATE&amp;creator=factSet&amp;DYN_ARGS=true&amp;DOC_NAME=FAT:RGA_ENTRPR_VAL_MV_SOURCE_WINDOW.FAT&amp;VAR:ID1=BBBY&amp;VAR:SDATE=20061201&amp;VAR:FDATE=20060228&amp;VAR:FREQ=DAILY&amp;VAR:RELITEM=&amp;VAR:CURRENCY=&amp;VAR:DB_TYPE=&amp;VAR:UNITS=M&amp;VAR:SHS_OUT_TY","PE=&amp;window=popup&amp;width=535&amp;height=425&amp;START_MAXIMIZED=FALSE&amp;Y=120"}</definedName>
    <definedName name="_42__FDSAUDITLINK__" localSheetId="5" hidden="1">{"fdsup://directions/FAT Viewer?action=UPDATE&amp;creator=factSet&amp;DYN_ARGS=true&amp;DOC_NAME=FAT:RGA_ENTRPR_VAL_MV_SOURCE_WINDOW.FAT&amp;VAR:ID1=BBBY&amp;VAR:SDATE=19990910&amp;VAR:FDATE=19990226&amp;VAR:FREQ=DAILY&amp;VAR:RELITEM=&amp;VAR:CURRENCY=&amp;VAR:DB_TYPE=&amp;VAR:UNITS=M&amp;VAR:SHS_OUT_TY","PE=&amp;window=popup&amp;width=535&amp;height=425&amp;START_MAXIMIZED=FALSE&amp;Y=120"}</definedName>
    <definedName name="_42__FDSAUDITLINK__" hidden="1">{"fdsup://directions/FAT Viewer?action=UPDATE&amp;creator=factSet&amp;DYN_ARGS=true&amp;DOC_NAME=FAT:RGA_ENTRPR_VAL_MV_SOURCE_WINDOW.FAT&amp;VAR:ID1=BBBY&amp;VAR:SDATE=19990910&amp;VAR:FDATE=19990226&amp;VAR:FREQ=DAILY&amp;VAR:RELITEM=&amp;VAR:CURRENCY=&amp;VAR:DB_TYPE=&amp;VAR:UNITS=M&amp;VAR:SHS_OUT_TY","PE=&amp;window=popup&amp;width=535&amp;height=425&amp;START_MAXIMIZED=FALSE&amp;Y=120"}</definedName>
    <definedName name="_420__FDSAUDITLINK__" localSheetId="5" hidden="1">{"fdsup://directions/FAT Viewer?action=UPDATE&amp;creator=factSet&amp;DYN_ARGS=true&amp;DOC_NAME=FAT:RGA_ENTRPR_VAL_MV_SOURCE_WINDOW.FAT&amp;VAR:ID1=BBBY&amp;VAR:SDATE=20061208&amp;VAR:FDATE=20060228&amp;VAR:FREQ=DAILY&amp;VAR:RELITEM=&amp;VAR:CURRENCY=&amp;VAR:DB_TYPE=&amp;VAR:UNITS=M&amp;VAR:SHS_OUT_TY","PE=&amp;window=popup&amp;width=535&amp;height=425&amp;START_MAXIMIZED=FALSE&amp;Y=120"}</definedName>
    <definedName name="_420__FDSAUDITLINK__" hidden="1">{"fdsup://directions/FAT Viewer?action=UPDATE&amp;creator=factSet&amp;DYN_ARGS=true&amp;DOC_NAME=FAT:RGA_ENTRPR_VAL_MV_SOURCE_WINDOW.FAT&amp;VAR:ID1=BBBY&amp;VAR:SDATE=20061208&amp;VAR:FDATE=20060228&amp;VAR:FREQ=DAILY&amp;VAR:RELITEM=&amp;VAR:CURRENCY=&amp;VAR:DB_TYPE=&amp;VAR:UNITS=M&amp;VAR:SHS_OUT_TY","PE=&amp;window=popup&amp;width=535&amp;height=425&amp;START_MAXIMIZED=FALSE&amp;Y=120"}</definedName>
    <definedName name="_421__FDSAUDITLINK__" localSheetId="5" hidden="1">{"fdsup://directions/FAT Viewer?action=UPDATE&amp;creator=factSet&amp;DYN_ARGS=true&amp;DOC_NAME=FAT:RGA_ENTRPR_VAL_MV_SOURCE_WINDOW.FAT&amp;VAR:ID1=BBBY&amp;VAR:SDATE=20061215&amp;VAR:FDATE=20060228&amp;VAR:FREQ=DAILY&amp;VAR:RELITEM=&amp;VAR:CURRENCY=&amp;VAR:DB_TYPE=&amp;VAR:UNITS=M&amp;VAR:SHS_OUT_TY","PE=&amp;window=popup&amp;width=535&amp;height=425&amp;START_MAXIMIZED=FALSE&amp;Y=120"}</definedName>
    <definedName name="_421__FDSAUDITLINK__" hidden="1">{"fdsup://directions/FAT Viewer?action=UPDATE&amp;creator=factSet&amp;DYN_ARGS=true&amp;DOC_NAME=FAT:RGA_ENTRPR_VAL_MV_SOURCE_WINDOW.FAT&amp;VAR:ID1=BBBY&amp;VAR:SDATE=20061215&amp;VAR:FDATE=20060228&amp;VAR:FREQ=DAILY&amp;VAR:RELITEM=&amp;VAR:CURRENCY=&amp;VAR:DB_TYPE=&amp;VAR:UNITS=M&amp;VAR:SHS_OUT_TY","PE=&amp;window=popup&amp;width=535&amp;height=425&amp;START_MAXIMIZED=FALSE&amp;Y=120"}</definedName>
    <definedName name="_422__FDSAUDITLINK__" localSheetId="5" hidden="1">{"fdsup://directions/FAT Viewer?action=UPDATE&amp;creator=factSet&amp;DYN_ARGS=true&amp;DOC_NAME=FAT:RGA_ENTRPR_VAL_MV_SOURCE_WINDOW.FAT&amp;VAR:ID1=BBBY&amp;VAR:SDATE=20061222&amp;VAR:FDATE=20060228&amp;VAR:FREQ=DAILY&amp;VAR:RELITEM=&amp;VAR:CURRENCY=&amp;VAR:DB_TYPE=&amp;VAR:UNITS=M&amp;VAR:SHS_OUT_TY","PE=&amp;window=popup&amp;width=535&amp;height=425&amp;START_MAXIMIZED=FALSE&amp;Y=120"}</definedName>
    <definedName name="_422__FDSAUDITLINK__" hidden="1">{"fdsup://directions/FAT Viewer?action=UPDATE&amp;creator=factSet&amp;DYN_ARGS=true&amp;DOC_NAME=FAT:RGA_ENTRPR_VAL_MV_SOURCE_WINDOW.FAT&amp;VAR:ID1=BBBY&amp;VAR:SDATE=20061222&amp;VAR:FDATE=20060228&amp;VAR:FREQ=DAILY&amp;VAR:RELITEM=&amp;VAR:CURRENCY=&amp;VAR:DB_TYPE=&amp;VAR:UNITS=M&amp;VAR:SHS_OUT_TY","PE=&amp;window=popup&amp;width=535&amp;height=425&amp;START_MAXIMIZED=FALSE&amp;Y=120"}</definedName>
    <definedName name="_423__FDSAUDITLINK__" localSheetId="5" hidden="1">{"fdsup://directions/FAT Viewer?action=UPDATE&amp;creator=factSet&amp;DYN_ARGS=true&amp;DOC_NAME=FAT:RGA_ENTRPR_VAL_MV_SOURCE_WINDOW.FAT&amp;VAR:ID1=BBBY&amp;VAR:SDATE=20061229&amp;VAR:FDATE=20060228&amp;VAR:FREQ=DAILY&amp;VAR:RELITEM=&amp;VAR:CURRENCY=&amp;VAR:DB_TYPE=&amp;VAR:UNITS=M&amp;VAR:SHS_OUT_TY","PE=&amp;window=popup&amp;width=535&amp;height=425&amp;START_MAXIMIZED=FALSE&amp;Y=120"}</definedName>
    <definedName name="_423__FDSAUDITLINK__" hidden="1">{"fdsup://directions/FAT Viewer?action=UPDATE&amp;creator=factSet&amp;DYN_ARGS=true&amp;DOC_NAME=FAT:RGA_ENTRPR_VAL_MV_SOURCE_WINDOW.FAT&amp;VAR:ID1=BBBY&amp;VAR:SDATE=20061229&amp;VAR:FDATE=20060228&amp;VAR:FREQ=DAILY&amp;VAR:RELITEM=&amp;VAR:CURRENCY=&amp;VAR:DB_TYPE=&amp;VAR:UNITS=M&amp;VAR:SHS_OUT_TY","PE=&amp;window=popup&amp;width=535&amp;height=425&amp;START_MAXIMIZED=FALSE&amp;Y=120"}</definedName>
    <definedName name="_424__FDSAUDITLINK__" localSheetId="5" hidden="1">{"fdsup://directions/FAT Viewer?action=UPDATE&amp;creator=factSet&amp;DYN_ARGS=true&amp;DOC_NAME=FAT:RGA_ENTRPR_VAL_MV_SOURCE_WINDOW.FAT&amp;VAR:ID1=BBBY&amp;VAR:SDATE=20070105&amp;VAR:FDATE=20060228&amp;VAR:FREQ=DAILY&amp;VAR:RELITEM=&amp;VAR:CURRENCY=&amp;VAR:DB_TYPE=&amp;VAR:UNITS=M&amp;VAR:SHS_OUT_TY","PE=&amp;window=popup&amp;width=535&amp;height=425&amp;START_MAXIMIZED=FALSE&amp;Y=120"}</definedName>
    <definedName name="_424__FDSAUDITLINK__" hidden="1">{"fdsup://directions/FAT Viewer?action=UPDATE&amp;creator=factSet&amp;DYN_ARGS=true&amp;DOC_NAME=FAT:RGA_ENTRPR_VAL_MV_SOURCE_WINDOW.FAT&amp;VAR:ID1=BBBY&amp;VAR:SDATE=20070105&amp;VAR:FDATE=20060228&amp;VAR:FREQ=DAILY&amp;VAR:RELITEM=&amp;VAR:CURRENCY=&amp;VAR:DB_TYPE=&amp;VAR:UNITS=M&amp;VAR:SHS_OUT_TY","PE=&amp;window=popup&amp;width=535&amp;height=425&amp;START_MAXIMIZED=FALSE&amp;Y=120"}</definedName>
    <definedName name="_425__FDSAUDITLINK__" localSheetId="5" hidden="1">{"fdsup://directions/FAT Viewer?action=UPDATE&amp;creator=factSet&amp;DYN_ARGS=true&amp;DOC_NAME=FAT:RGA_ENTRPR_VAL_MV_SOURCE_WINDOW.FAT&amp;VAR:ID1=BBBY&amp;VAR:SDATE=20070112&amp;VAR:FDATE=20060228&amp;VAR:FREQ=DAILY&amp;VAR:RELITEM=&amp;VAR:CURRENCY=&amp;VAR:DB_TYPE=&amp;VAR:UNITS=M&amp;VAR:SHS_OUT_TY","PE=&amp;window=popup&amp;width=535&amp;height=425&amp;START_MAXIMIZED=FALSE&amp;Y=120"}</definedName>
    <definedName name="_425__FDSAUDITLINK__" hidden="1">{"fdsup://directions/FAT Viewer?action=UPDATE&amp;creator=factSet&amp;DYN_ARGS=true&amp;DOC_NAME=FAT:RGA_ENTRPR_VAL_MV_SOURCE_WINDOW.FAT&amp;VAR:ID1=BBBY&amp;VAR:SDATE=20070112&amp;VAR:FDATE=20060228&amp;VAR:FREQ=DAILY&amp;VAR:RELITEM=&amp;VAR:CURRENCY=&amp;VAR:DB_TYPE=&amp;VAR:UNITS=M&amp;VAR:SHS_OUT_TY","PE=&amp;window=popup&amp;width=535&amp;height=425&amp;START_MAXIMIZED=FALSE&amp;Y=120"}</definedName>
    <definedName name="_426__FDSAUDITLINK__" localSheetId="5" hidden="1">{"fdsup://directions/FAT Viewer?action=UPDATE&amp;creator=factSet&amp;DYN_ARGS=true&amp;DOC_NAME=FAT:RGA_ENTRPR_VAL_MV_SOURCE_WINDOW.FAT&amp;VAR:ID1=BBBY&amp;VAR:SDATE=20070119&amp;VAR:FDATE=20060228&amp;VAR:FREQ=DAILY&amp;VAR:RELITEM=&amp;VAR:CURRENCY=&amp;VAR:DB_TYPE=&amp;VAR:UNITS=M&amp;VAR:SHS_OUT_TY","PE=&amp;window=popup&amp;width=535&amp;height=425&amp;START_MAXIMIZED=FALSE&amp;Y=120"}</definedName>
    <definedName name="_426__FDSAUDITLINK__" hidden="1">{"fdsup://directions/FAT Viewer?action=UPDATE&amp;creator=factSet&amp;DYN_ARGS=true&amp;DOC_NAME=FAT:RGA_ENTRPR_VAL_MV_SOURCE_WINDOW.FAT&amp;VAR:ID1=BBBY&amp;VAR:SDATE=20070119&amp;VAR:FDATE=20060228&amp;VAR:FREQ=DAILY&amp;VAR:RELITEM=&amp;VAR:CURRENCY=&amp;VAR:DB_TYPE=&amp;VAR:UNITS=M&amp;VAR:SHS_OUT_TY","PE=&amp;window=popup&amp;width=535&amp;height=425&amp;START_MAXIMIZED=FALSE&amp;Y=120"}</definedName>
    <definedName name="_427__FDSAUDITLINK__" localSheetId="5" hidden="1">{"fdsup://directions/FAT Viewer?action=UPDATE&amp;creator=factSet&amp;DYN_ARGS=true&amp;DOC_NAME=FAT:RGA_ENTRPR_VAL_MV_SOURCE_WINDOW.FAT&amp;VAR:ID1=BBBY&amp;VAR:SDATE=20070126&amp;VAR:FDATE=20060228&amp;VAR:FREQ=DAILY&amp;VAR:RELITEM=&amp;VAR:CURRENCY=&amp;VAR:DB_TYPE=&amp;VAR:UNITS=M&amp;VAR:SHS_OUT_TY","PE=&amp;window=popup&amp;width=535&amp;height=425&amp;START_MAXIMIZED=FALSE&amp;Y=120"}</definedName>
    <definedName name="_427__FDSAUDITLINK__" hidden="1">{"fdsup://directions/FAT Viewer?action=UPDATE&amp;creator=factSet&amp;DYN_ARGS=true&amp;DOC_NAME=FAT:RGA_ENTRPR_VAL_MV_SOURCE_WINDOW.FAT&amp;VAR:ID1=BBBY&amp;VAR:SDATE=20070126&amp;VAR:FDATE=20060228&amp;VAR:FREQ=DAILY&amp;VAR:RELITEM=&amp;VAR:CURRENCY=&amp;VAR:DB_TYPE=&amp;VAR:UNITS=M&amp;VAR:SHS_OUT_TY","PE=&amp;window=popup&amp;width=535&amp;height=425&amp;START_MAXIMIZED=FALSE&amp;Y=120"}</definedName>
    <definedName name="_428__FDSAUDITLINK__" localSheetId="5" hidden="1">{"fdsup://directions/FAT Viewer?action=UPDATE&amp;creator=factSet&amp;DYN_ARGS=true&amp;DOC_NAME=FAT:RGA_ENTRPR_VAL_MV_SOURCE_WINDOW.FAT&amp;VAR:ID1=BBBY&amp;VAR:SDATE=20070202&amp;VAR:FDATE=20060228&amp;VAR:FREQ=DAILY&amp;VAR:RELITEM=&amp;VAR:CURRENCY=&amp;VAR:DB_TYPE=&amp;VAR:UNITS=M&amp;VAR:SHS_OUT_TY","PE=&amp;window=popup&amp;width=535&amp;height=425&amp;START_MAXIMIZED=FALSE&amp;Y=120"}</definedName>
    <definedName name="_428__FDSAUDITLINK__" hidden="1">{"fdsup://directions/FAT Viewer?action=UPDATE&amp;creator=factSet&amp;DYN_ARGS=true&amp;DOC_NAME=FAT:RGA_ENTRPR_VAL_MV_SOURCE_WINDOW.FAT&amp;VAR:ID1=BBBY&amp;VAR:SDATE=20070202&amp;VAR:FDATE=20060228&amp;VAR:FREQ=DAILY&amp;VAR:RELITEM=&amp;VAR:CURRENCY=&amp;VAR:DB_TYPE=&amp;VAR:UNITS=M&amp;VAR:SHS_OUT_TY","PE=&amp;window=popup&amp;width=535&amp;height=425&amp;START_MAXIMIZED=FALSE&amp;Y=120"}</definedName>
    <definedName name="_429__FDSAUDITLINK__" localSheetId="5" hidden="1">{"fdsup://directions/FAT Viewer?action=UPDATE&amp;creator=factSet&amp;DYN_ARGS=true&amp;DOC_NAME=FAT:RGA_ENTRPR_VAL_MV_SOURCE_WINDOW.FAT&amp;VAR:ID1=BBBY&amp;VAR:SDATE=20070209&amp;VAR:FDATE=20060228&amp;VAR:FREQ=DAILY&amp;VAR:RELITEM=&amp;VAR:CURRENCY=&amp;VAR:DB_TYPE=&amp;VAR:UNITS=M&amp;VAR:SHS_OUT_TY","PE=&amp;window=popup&amp;width=535&amp;height=425&amp;START_MAXIMIZED=FALSE&amp;Y=120"}</definedName>
    <definedName name="_429__FDSAUDITLINK__" hidden="1">{"fdsup://directions/FAT Viewer?action=UPDATE&amp;creator=factSet&amp;DYN_ARGS=true&amp;DOC_NAME=FAT:RGA_ENTRPR_VAL_MV_SOURCE_WINDOW.FAT&amp;VAR:ID1=BBBY&amp;VAR:SDATE=20070209&amp;VAR:FDATE=20060228&amp;VAR:FREQ=DAILY&amp;VAR:RELITEM=&amp;VAR:CURRENCY=&amp;VAR:DB_TYPE=&amp;VAR:UNITS=M&amp;VAR:SHS_OUT_TY","PE=&amp;window=popup&amp;width=535&amp;height=425&amp;START_MAXIMIZED=FALSE&amp;Y=120"}</definedName>
    <definedName name="_43__FDSAUDITLINK__" localSheetId="5" hidden="1">{"fdsup://directions/FAT Viewer?action=UPDATE&amp;creator=factSet&amp;DYN_ARGS=true&amp;DOC_NAME=FAT:RGA_ENTRPR_VAL_MV_SOURCE_WINDOW.FAT&amp;VAR:ID1=BBBY&amp;VAR:SDATE=19990917&amp;VAR:FDATE=19990226&amp;VAR:FREQ=DAILY&amp;VAR:RELITEM=&amp;VAR:CURRENCY=&amp;VAR:DB_TYPE=&amp;VAR:UNITS=M&amp;VAR:SHS_OUT_TY","PE=&amp;window=popup&amp;width=535&amp;height=425&amp;START_MAXIMIZED=FALSE&amp;Y=120"}</definedName>
    <definedName name="_43__FDSAUDITLINK__" hidden="1">{"fdsup://directions/FAT Viewer?action=UPDATE&amp;creator=factSet&amp;DYN_ARGS=true&amp;DOC_NAME=FAT:RGA_ENTRPR_VAL_MV_SOURCE_WINDOW.FAT&amp;VAR:ID1=BBBY&amp;VAR:SDATE=19990917&amp;VAR:FDATE=19990226&amp;VAR:FREQ=DAILY&amp;VAR:RELITEM=&amp;VAR:CURRENCY=&amp;VAR:DB_TYPE=&amp;VAR:UNITS=M&amp;VAR:SHS_OUT_TY","PE=&amp;window=popup&amp;width=535&amp;height=425&amp;START_MAXIMIZED=FALSE&amp;Y=120"}</definedName>
    <definedName name="_430__FDSAUDITLINK__" localSheetId="5" hidden="1">{"fdsup://directions/FAT Viewer?action=UPDATE&amp;creator=factSet&amp;DYN_ARGS=true&amp;DOC_NAME=FAT:RGA_ENTRPR_VAL_MV_SOURCE_WINDOW.FAT&amp;VAR:ID1=BBBY&amp;VAR:SDATE=20070216&amp;VAR:FDATE=20060228&amp;VAR:FREQ=DAILY&amp;VAR:RELITEM=&amp;VAR:CURRENCY=&amp;VAR:DB_TYPE=&amp;VAR:UNITS=M&amp;VAR:SHS_OUT_TY","PE=&amp;window=popup&amp;width=535&amp;height=425&amp;START_MAXIMIZED=FALSE&amp;Y=120"}</definedName>
    <definedName name="_430__FDSAUDITLINK__" hidden="1">{"fdsup://directions/FAT Viewer?action=UPDATE&amp;creator=factSet&amp;DYN_ARGS=true&amp;DOC_NAME=FAT:RGA_ENTRPR_VAL_MV_SOURCE_WINDOW.FAT&amp;VAR:ID1=BBBY&amp;VAR:SDATE=20070216&amp;VAR:FDATE=20060228&amp;VAR:FREQ=DAILY&amp;VAR:RELITEM=&amp;VAR:CURRENCY=&amp;VAR:DB_TYPE=&amp;VAR:UNITS=M&amp;VAR:SHS_OUT_TY","PE=&amp;window=popup&amp;width=535&amp;height=425&amp;START_MAXIMIZED=FALSE&amp;Y=120"}</definedName>
    <definedName name="_431__FDSAUDITLINK__" localSheetId="5" hidden="1">{"fdsup://directions/FAT Viewer?action=UPDATE&amp;creator=factSet&amp;DYN_ARGS=true&amp;DOC_NAME=FAT:RGA_ENTRPR_VAL_MV_SOURCE_WINDOW.FAT&amp;VAR:ID1=BBBY&amp;VAR:SDATE=20070223&amp;VAR:FDATE=20060228&amp;VAR:FREQ=DAILY&amp;VAR:RELITEM=&amp;VAR:CURRENCY=&amp;VAR:DB_TYPE=&amp;VAR:UNITS=M&amp;VAR:SHS_OUT_TY","PE=&amp;window=popup&amp;width=535&amp;height=425&amp;START_MAXIMIZED=FALSE&amp;Y=120"}</definedName>
    <definedName name="_431__FDSAUDITLINK__" hidden="1">{"fdsup://directions/FAT Viewer?action=UPDATE&amp;creator=factSet&amp;DYN_ARGS=true&amp;DOC_NAME=FAT:RGA_ENTRPR_VAL_MV_SOURCE_WINDOW.FAT&amp;VAR:ID1=BBBY&amp;VAR:SDATE=20070223&amp;VAR:FDATE=20060228&amp;VAR:FREQ=DAILY&amp;VAR:RELITEM=&amp;VAR:CURRENCY=&amp;VAR:DB_TYPE=&amp;VAR:UNITS=M&amp;VAR:SHS_OUT_TY","PE=&amp;window=popup&amp;width=535&amp;height=425&amp;START_MAXIMIZED=FALSE&amp;Y=120"}</definedName>
    <definedName name="_432__FDSAUDITLINK__" localSheetId="5" hidden="1">{"fdsup://directions/FAT Viewer?action=UPDATE&amp;creator=factSet&amp;DYN_ARGS=true&amp;DOC_NAME=FAT:RGA_ENTRPR_VAL_MV_SOURCE_WINDOW.FAT&amp;VAR:ID1=BBBY&amp;VAR:SDATE=20070302&amp;VAR:FDATE=20070228&amp;VAR:FREQ=DAILY&amp;VAR:RELITEM=&amp;VAR:CURRENCY=&amp;VAR:DB_TYPE=&amp;VAR:UNITS=M&amp;VAR:SHS_OUT_TY","PE=&amp;window=popup&amp;width=535&amp;height=425&amp;START_MAXIMIZED=FALSE&amp;Y=120"}</definedName>
    <definedName name="_432__FDSAUDITLINK__" hidden="1">{"fdsup://directions/FAT Viewer?action=UPDATE&amp;creator=factSet&amp;DYN_ARGS=true&amp;DOC_NAME=FAT:RGA_ENTRPR_VAL_MV_SOURCE_WINDOW.FAT&amp;VAR:ID1=BBBY&amp;VAR:SDATE=20070302&amp;VAR:FDATE=20070228&amp;VAR:FREQ=DAILY&amp;VAR:RELITEM=&amp;VAR:CURRENCY=&amp;VAR:DB_TYPE=&amp;VAR:UNITS=M&amp;VAR:SHS_OUT_TY","PE=&amp;window=popup&amp;width=535&amp;height=425&amp;START_MAXIMIZED=FALSE&amp;Y=120"}</definedName>
    <definedName name="_433__FDSAUDITLINK__" localSheetId="5" hidden="1">{"fdsup://directions/FAT Viewer?action=UPDATE&amp;creator=factSet&amp;DYN_ARGS=true&amp;DOC_NAME=FAT:RGA_ENTRPR_VAL_MV_SOURCE_WINDOW.FAT&amp;VAR:ID1=BBBY&amp;VAR:SDATE=20070309&amp;VAR:FDATE=20070228&amp;VAR:FREQ=DAILY&amp;VAR:RELITEM=&amp;VAR:CURRENCY=&amp;VAR:DB_TYPE=&amp;VAR:UNITS=M&amp;VAR:SHS_OUT_TY","PE=&amp;window=popup&amp;width=535&amp;height=425&amp;START_MAXIMIZED=FALSE&amp;Y=120"}</definedName>
    <definedName name="_433__FDSAUDITLINK__" hidden="1">{"fdsup://directions/FAT Viewer?action=UPDATE&amp;creator=factSet&amp;DYN_ARGS=true&amp;DOC_NAME=FAT:RGA_ENTRPR_VAL_MV_SOURCE_WINDOW.FAT&amp;VAR:ID1=BBBY&amp;VAR:SDATE=20070309&amp;VAR:FDATE=20070228&amp;VAR:FREQ=DAILY&amp;VAR:RELITEM=&amp;VAR:CURRENCY=&amp;VAR:DB_TYPE=&amp;VAR:UNITS=M&amp;VAR:SHS_OUT_TY","PE=&amp;window=popup&amp;width=535&amp;height=425&amp;START_MAXIMIZED=FALSE&amp;Y=120"}</definedName>
    <definedName name="_434__FDSAUDITLINK__" localSheetId="5" hidden="1">{"fdsup://directions/FAT Viewer?action=UPDATE&amp;creator=factSet&amp;DYN_ARGS=true&amp;DOC_NAME=FAT:RGA_ENTRPR_VAL_MV_SOURCE_WINDOW.FAT&amp;VAR:ID1=BBBY&amp;VAR:SDATE=20070316&amp;VAR:FDATE=20070228&amp;VAR:FREQ=DAILY&amp;VAR:RELITEM=&amp;VAR:CURRENCY=&amp;VAR:DB_TYPE=&amp;VAR:UNITS=M&amp;VAR:SHS_OUT_TY","PE=&amp;window=popup&amp;width=535&amp;height=425&amp;START_MAXIMIZED=FALSE&amp;Y=120"}</definedName>
    <definedName name="_434__FDSAUDITLINK__" hidden="1">{"fdsup://directions/FAT Viewer?action=UPDATE&amp;creator=factSet&amp;DYN_ARGS=true&amp;DOC_NAME=FAT:RGA_ENTRPR_VAL_MV_SOURCE_WINDOW.FAT&amp;VAR:ID1=BBBY&amp;VAR:SDATE=20070316&amp;VAR:FDATE=20070228&amp;VAR:FREQ=DAILY&amp;VAR:RELITEM=&amp;VAR:CURRENCY=&amp;VAR:DB_TYPE=&amp;VAR:UNITS=M&amp;VAR:SHS_OUT_TY","PE=&amp;window=popup&amp;width=535&amp;height=425&amp;START_MAXIMIZED=FALSE&amp;Y=120"}</definedName>
    <definedName name="_435__FDSAUDITLINK__" localSheetId="5" hidden="1">{"fdsup://directions/FAT Viewer?action=UPDATE&amp;creator=factSet&amp;DYN_ARGS=true&amp;DOC_NAME=FAT:RGA_ENTRPR_VAL_MV_SOURCE_WINDOW.FAT&amp;VAR:ID1=BBBY&amp;VAR:SDATE=20070323&amp;VAR:FDATE=20070228&amp;VAR:FREQ=DAILY&amp;VAR:RELITEM=&amp;VAR:CURRENCY=&amp;VAR:DB_TYPE=&amp;VAR:UNITS=M&amp;VAR:SHS_OUT_TY","PE=&amp;window=popup&amp;width=535&amp;height=425&amp;START_MAXIMIZED=FALSE&amp;Y=120"}</definedName>
    <definedName name="_435__FDSAUDITLINK__" hidden="1">{"fdsup://directions/FAT Viewer?action=UPDATE&amp;creator=factSet&amp;DYN_ARGS=true&amp;DOC_NAME=FAT:RGA_ENTRPR_VAL_MV_SOURCE_WINDOW.FAT&amp;VAR:ID1=BBBY&amp;VAR:SDATE=20070323&amp;VAR:FDATE=20070228&amp;VAR:FREQ=DAILY&amp;VAR:RELITEM=&amp;VAR:CURRENCY=&amp;VAR:DB_TYPE=&amp;VAR:UNITS=M&amp;VAR:SHS_OUT_TY","PE=&amp;window=popup&amp;width=535&amp;height=425&amp;START_MAXIMIZED=FALSE&amp;Y=120"}</definedName>
    <definedName name="_436__FDSAUDITLINK__" localSheetId="5" hidden="1">{"fdsup://directions/FAT Viewer?action=UPDATE&amp;creator=factSet&amp;DYN_ARGS=true&amp;DOC_NAME=FAT:RGA_ENTRPR_VAL_MV_SOURCE_WINDOW.FAT&amp;VAR:ID1=BBBY&amp;VAR:SDATE=20070330&amp;VAR:FDATE=20070228&amp;VAR:FREQ=DAILY&amp;VAR:RELITEM=&amp;VAR:CURRENCY=&amp;VAR:DB_TYPE=&amp;VAR:UNITS=M&amp;VAR:SHS_OUT_TY","PE=&amp;window=popup&amp;width=535&amp;height=425&amp;START_MAXIMIZED=FALSE&amp;Y=120"}</definedName>
    <definedName name="_436__FDSAUDITLINK__" hidden="1">{"fdsup://directions/FAT Viewer?action=UPDATE&amp;creator=factSet&amp;DYN_ARGS=true&amp;DOC_NAME=FAT:RGA_ENTRPR_VAL_MV_SOURCE_WINDOW.FAT&amp;VAR:ID1=BBBY&amp;VAR:SDATE=20070330&amp;VAR:FDATE=20070228&amp;VAR:FREQ=DAILY&amp;VAR:RELITEM=&amp;VAR:CURRENCY=&amp;VAR:DB_TYPE=&amp;VAR:UNITS=M&amp;VAR:SHS_OUT_TY","PE=&amp;window=popup&amp;width=535&amp;height=425&amp;START_MAXIMIZED=FALSE&amp;Y=120"}</definedName>
    <definedName name="_437__FDSAUDITLINK__" localSheetId="5" hidden="1">{"fdsup://directions/FAT Viewer?action=UPDATE&amp;creator=factSet&amp;DYN_ARGS=true&amp;DOC_NAME=FAT:RGA_ENTRPR_VAL_MV_SOURCE_WINDOW.FAT&amp;VAR:ID1=BBBY&amp;VAR:SDATE=20070405&amp;VAR:FDATE=20070228&amp;VAR:FREQ=DAILY&amp;VAR:RELITEM=&amp;VAR:CURRENCY=&amp;VAR:DB_TYPE=&amp;VAR:UNITS=M&amp;VAR:SHS_OUT_TY","PE=&amp;window=popup&amp;width=535&amp;height=425&amp;START_MAXIMIZED=FALSE&amp;Y=120"}</definedName>
    <definedName name="_437__FDSAUDITLINK__" hidden="1">{"fdsup://directions/FAT Viewer?action=UPDATE&amp;creator=factSet&amp;DYN_ARGS=true&amp;DOC_NAME=FAT:RGA_ENTRPR_VAL_MV_SOURCE_WINDOW.FAT&amp;VAR:ID1=BBBY&amp;VAR:SDATE=20070405&amp;VAR:FDATE=20070228&amp;VAR:FREQ=DAILY&amp;VAR:RELITEM=&amp;VAR:CURRENCY=&amp;VAR:DB_TYPE=&amp;VAR:UNITS=M&amp;VAR:SHS_OUT_TY","PE=&amp;window=popup&amp;width=535&amp;height=425&amp;START_MAXIMIZED=FALSE&amp;Y=120"}</definedName>
    <definedName name="_438__FDSAUDITLINK__" localSheetId="5" hidden="1">{"fdsup://directions/FAT Viewer?action=UPDATE&amp;creator=factSet&amp;DYN_ARGS=true&amp;DOC_NAME=FAT:RGA_ENTRPR_VAL_MV_SOURCE_WINDOW.FAT&amp;VAR:ID1=BBBY&amp;VAR:SDATE=20070413&amp;VAR:FDATE=20070228&amp;VAR:FREQ=DAILY&amp;VAR:RELITEM=&amp;VAR:CURRENCY=&amp;VAR:DB_TYPE=&amp;VAR:UNITS=M&amp;VAR:SHS_OUT_TY","PE=&amp;window=popup&amp;width=535&amp;height=425&amp;START_MAXIMIZED=FALSE&amp;Y=120"}</definedName>
    <definedName name="_438__FDSAUDITLINK__" hidden="1">{"fdsup://directions/FAT Viewer?action=UPDATE&amp;creator=factSet&amp;DYN_ARGS=true&amp;DOC_NAME=FAT:RGA_ENTRPR_VAL_MV_SOURCE_WINDOW.FAT&amp;VAR:ID1=BBBY&amp;VAR:SDATE=20070413&amp;VAR:FDATE=20070228&amp;VAR:FREQ=DAILY&amp;VAR:RELITEM=&amp;VAR:CURRENCY=&amp;VAR:DB_TYPE=&amp;VAR:UNITS=M&amp;VAR:SHS_OUT_TY","PE=&amp;window=popup&amp;width=535&amp;height=425&amp;START_MAXIMIZED=FALSE&amp;Y=120"}</definedName>
    <definedName name="_439__FDSAUDITLINK__" localSheetId="5" hidden="1">{"fdsup://directions/FAT Viewer?action=UPDATE&amp;creator=factSet&amp;DYN_ARGS=true&amp;DOC_NAME=FAT:RGA_ENTRPR_VAL_MV_SOURCE_WINDOW.FAT&amp;VAR:ID1=BBBY&amp;VAR:SDATE=20070420&amp;VAR:FDATE=20070228&amp;VAR:FREQ=DAILY&amp;VAR:RELITEM=&amp;VAR:CURRENCY=&amp;VAR:DB_TYPE=&amp;VAR:UNITS=M&amp;VAR:SHS_OUT_TY","PE=&amp;window=popup&amp;width=535&amp;height=425&amp;START_MAXIMIZED=FALSE&amp;Y=120"}</definedName>
    <definedName name="_439__FDSAUDITLINK__" hidden="1">{"fdsup://directions/FAT Viewer?action=UPDATE&amp;creator=factSet&amp;DYN_ARGS=true&amp;DOC_NAME=FAT:RGA_ENTRPR_VAL_MV_SOURCE_WINDOW.FAT&amp;VAR:ID1=BBBY&amp;VAR:SDATE=20070420&amp;VAR:FDATE=20070228&amp;VAR:FREQ=DAILY&amp;VAR:RELITEM=&amp;VAR:CURRENCY=&amp;VAR:DB_TYPE=&amp;VAR:UNITS=M&amp;VAR:SHS_OUT_TY","PE=&amp;window=popup&amp;width=535&amp;height=425&amp;START_MAXIMIZED=FALSE&amp;Y=120"}</definedName>
    <definedName name="_44__FDSAUDITLINK__" localSheetId="5" hidden="1">{"fdsup://directions/FAT Viewer?action=UPDATE&amp;creator=factSet&amp;DYN_ARGS=true&amp;DOC_NAME=FAT:RGA_ENTRPR_VAL_MV_SOURCE_WINDOW.FAT&amp;VAR:ID1=BBBY&amp;VAR:SDATE=19990924&amp;VAR:FDATE=19990226&amp;VAR:FREQ=DAILY&amp;VAR:RELITEM=&amp;VAR:CURRENCY=&amp;VAR:DB_TYPE=&amp;VAR:UNITS=M&amp;VAR:SHS_OUT_TY","PE=&amp;window=popup&amp;width=535&amp;height=425&amp;START_MAXIMIZED=FALSE&amp;Y=120"}</definedName>
    <definedName name="_44__FDSAUDITLINK__" hidden="1">{"fdsup://directions/FAT Viewer?action=UPDATE&amp;creator=factSet&amp;DYN_ARGS=true&amp;DOC_NAME=FAT:RGA_ENTRPR_VAL_MV_SOURCE_WINDOW.FAT&amp;VAR:ID1=BBBY&amp;VAR:SDATE=19990924&amp;VAR:FDATE=19990226&amp;VAR:FREQ=DAILY&amp;VAR:RELITEM=&amp;VAR:CURRENCY=&amp;VAR:DB_TYPE=&amp;VAR:UNITS=M&amp;VAR:SHS_OUT_TY","PE=&amp;window=popup&amp;width=535&amp;height=425&amp;START_MAXIMIZED=FALSE&amp;Y=120"}</definedName>
    <definedName name="_440__FDSAUDITLINK__" localSheetId="5" hidden="1">{"fdsup://directions/FAT Viewer?action=UPDATE&amp;creator=factSet&amp;DYN_ARGS=true&amp;DOC_NAME=FAT:RGA_ENTRPR_VAL_MV_SOURCE_WINDOW.FAT&amp;VAR:ID1=BBBY&amp;VAR:SDATE=20070427&amp;VAR:FDATE=20070228&amp;VAR:FREQ=DAILY&amp;VAR:RELITEM=&amp;VAR:CURRENCY=&amp;VAR:DB_TYPE=&amp;VAR:UNITS=M&amp;VAR:SHS_OUT_TY","PE=&amp;window=popup&amp;width=535&amp;height=425&amp;START_MAXIMIZED=FALSE&amp;Y=120"}</definedName>
    <definedName name="_440__FDSAUDITLINK__" hidden="1">{"fdsup://directions/FAT Viewer?action=UPDATE&amp;creator=factSet&amp;DYN_ARGS=true&amp;DOC_NAME=FAT:RGA_ENTRPR_VAL_MV_SOURCE_WINDOW.FAT&amp;VAR:ID1=BBBY&amp;VAR:SDATE=20070427&amp;VAR:FDATE=20070228&amp;VAR:FREQ=DAILY&amp;VAR:RELITEM=&amp;VAR:CURRENCY=&amp;VAR:DB_TYPE=&amp;VAR:UNITS=M&amp;VAR:SHS_OUT_TY","PE=&amp;window=popup&amp;width=535&amp;height=425&amp;START_MAXIMIZED=FALSE&amp;Y=120"}</definedName>
    <definedName name="_441__FDSAUDITLINK__" localSheetId="5" hidden="1">{"fdsup://directions/FAT Viewer?action=UPDATE&amp;creator=factSet&amp;DYN_ARGS=true&amp;DOC_NAME=FAT:RGA_ENTRPR_VAL_MV_SOURCE_WINDOW.FAT&amp;VAR:ID1=BBBY&amp;VAR:SDATE=20070504&amp;VAR:FDATE=20070228&amp;VAR:FREQ=DAILY&amp;VAR:RELITEM=&amp;VAR:CURRENCY=&amp;VAR:DB_TYPE=&amp;VAR:UNITS=M&amp;VAR:SHS_OUT_TY","PE=&amp;window=popup&amp;width=535&amp;height=425&amp;START_MAXIMIZED=FALSE&amp;Y=120"}</definedName>
    <definedName name="_441__FDSAUDITLINK__" hidden="1">{"fdsup://directions/FAT Viewer?action=UPDATE&amp;creator=factSet&amp;DYN_ARGS=true&amp;DOC_NAME=FAT:RGA_ENTRPR_VAL_MV_SOURCE_WINDOW.FAT&amp;VAR:ID1=BBBY&amp;VAR:SDATE=20070504&amp;VAR:FDATE=20070228&amp;VAR:FREQ=DAILY&amp;VAR:RELITEM=&amp;VAR:CURRENCY=&amp;VAR:DB_TYPE=&amp;VAR:UNITS=M&amp;VAR:SHS_OUT_TY","PE=&amp;window=popup&amp;width=535&amp;height=425&amp;START_MAXIMIZED=FALSE&amp;Y=120"}</definedName>
    <definedName name="_442__FDSAUDITLINK__" localSheetId="5" hidden="1">{"fdsup://directions/FAT Viewer?action=UPDATE&amp;creator=factSet&amp;DYN_ARGS=true&amp;DOC_NAME=FAT:RGA_ENTRPR_VAL_MV_SOURCE_WINDOW.FAT&amp;VAR:ID1=BBBY&amp;VAR:SDATE=20070511&amp;VAR:FDATE=20070228&amp;VAR:FREQ=DAILY&amp;VAR:RELITEM=&amp;VAR:CURRENCY=&amp;VAR:DB_TYPE=&amp;VAR:UNITS=M&amp;VAR:SHS_OUT_TY","PE=&amp;window=popup&amp;width=535&amp;height=425&amp;START_MAXIMIZED=FALSE&amp;Y=120"}</definedName>
    <definedName name="_442__FDSAUDITLINK__" hidden="1">{"fdsup://directions/FAT Viewer?action=UPDATE&amp;creator=factSet&amp;DYN_ARGS=true&amp;DOC_NAME=FAT:RGA_ENTRPR_VAL_MV_SOURCE_WINDOW.FAT&amp;VAR:ID1=BBBY&amp;VAR:SDATE=20070511&amp;VAR:FDATE=20070228&amp;VAR:FREQ=DAILY&amp;VAR:RELITEM=&amp;VAR:CURRENCY=&amp;VAR:DB_TYPE=&amp;VAR:UNITS=M&amp;VAR:SHS_OUT_TY","PE=&amp;window=popup&amp;width=535&amp;height=425&amp;START_MAXIMIZED=FALSE&amp;Y=120"}</definedName>
    <definedName name="_443__FDSAUDITLINK__" localSheetId="5" hidden="1">{"fdsup://directions/FAT Viewer?action=UPDATE&amp;creator=factSet&amp;DYN_ARGS=true&amp;DOC_NAME=FAT:RGA_ENTRPR_VAL_MV_SOURCE_WINDOW.FAT&amp;VAR:ID1=BBBY&amp;VAR:SDATE=20070518&amp;VAR:FDATE=20070228&amp;VAR:FREQ=DAILY&amp;VAR:RELITEM=&amp;VAR:CURRENCY=&amp;VAR:DB_TYPE=&amp;VAR:UNITS=M&amp;VAR:SHS_OUT_TY","PE=&amp;window=popup&amp;width=535&amp;height=425&amp;START_MAXIMIZED=FALSE&amp;Y=120"}</definedName>
    <definedName name="_443__FDSAUDITLINK__" hidden="1">{"fdsup://directions/FAT Viewer?action=UPDATE&amp;creator=factSet&amp;DYN_ARGS=true&amp;DOC_NAME=FAT:RGA_ENTRPR_VAL_MV_SOURCE_WINDOW.FAT&amp;VAR:ID1=BBBY&amp;VAR:SDATE=20070518&amp;VAR:FDATE=20070228&amp;VAR:FREQ=DAILY&amp;VAR:RELITEM=&amp;VAR:CURRENCY=&amp;VAR:DB_TYPE=&amp;VAR:UNITS=M&amp;VAR:SHS_OUT_TY","PE=&amp;window=popup&amp;width=535&amp;height=425&amp;START_MAXIMIZED=FALSE&amp;Y=120"}</definedName>
    <definedName name="_444__FDSAUDITLINK__" localSheetId="5" hidden="1">{"fdsup://directions/FAT Viewer?action=UPDATE&amp;creator=factSet&amp;DYN_ARGS=true&amp;DOC_NAME=FAT:RGA_ENTRPR_VAL_MV_SOURCE_WINDOW.FAT&amp;VAR:ID1=BBBY&amp;VAR:SDATE=20070525&amp;VAR:FDATE=20070228&amp;VAR:FREQ=DAILY&amp;VAR:RELITEM=&amp;VAR:CURRENCY=&amp;VAR:DB_TYPE=&amp;VAR:UNITS=M&amp;VAR:SHS_OUT_TY","PE=&amp;window=popup&amp;width=535&amp;height=425&amp;START_MAXIMIZED=FALSE&amp;Y=120"}</definedName>
    <definedName name="_444__FDSAUDITLINK__" hidden="1">{"fdsup://directions/FAT Viewer?action=UPDATE&amp;creator=factSet&amp;DYN_ARGS=true&amp;DOC_NAME=FAT:RGA_ENTRPR_VAL_MV_SOURCE_WINDOW.FAT&amp;VAR:ID1=BBBY&amp;VAR:SDATE=20070525&amp;VAR:FDATE=20070228&amp;VAR:FREQ=DAILY&amp;VAR:RELITEM=&amp;VAR:CURRENCY=&amp;VAR:DB_TYPE=&amp;VAR:UNITS=M&amp;VAR:SHS_OUT_TY","PE=&amp;window=popup&amp;width=535&amp;height=425&amp;START_MAXIMIZED=FALSE&amp;Y=120"}</definedName>
    <definedName name="_445__FDSAUDITLINK__" localSheetId="5" hidden="1">{"fdsup://directions/FAT Viewer?action=UPDATE&amp;creator=factSet&amp;DYN_ARGS=true&amp;DOC_NAME=FAT:RGA_ENTRPR_VAL_MV_SOURCE_WINDOW.FAT&amp;VAR:ID1=BBBY&amp;VAR:SDATE=20070601&amp;VAR:FDATE=20070228&amp;VAR:FREQ=DAILY&amp;VAR:RELITEM=&amp;VAR:CURRENCY=&amp;VAR:DB_TYPE=&amp;VAR:UNITS=M&amp;VAR:SHS_OUT_TY","PE=&amp;window=popup&amp;width=535&amp;height=425&amp;START_MAXIMIZED=FALSE&amp;Y=120"}</definedName>
    <definedName name="_445__FDSAUDITLINK__" hidden="1">{"fdsup://directions/FAT Viewer?action=UPDATE&amp;creator=factSet&amp;DYN_ARGS=true&amp;DOC_NAME=FAT:RGA_ENTRPR_VAL_MV_SOURCE_WINDOW.FAT&amp;VAR:ID1=BBBY&amp;VAR:SDATE=20070601&amp;VAR:FDATE=20070228&amp;VAR:FREQ=DAILY&amp;VAR:RELITEM=&amp;VAR:CURRENCY=&amp;VAR:DB_TYPE=&amp;VAR:UNITS=M&amp;VAR:SHS_OUT_TY","PE=&amp;window=popup&amp;width=535&amp;height=425&amp;START_MAXIMIZED=FALSE&amp;Y=120"}</definedName>
    <definedName name="_446__FDSAUDITLINK__" localSheetId="5" hidden="1">{"fdsup://directions/FAT Viewer?action=UPDATE&amp;creator=factSet&amp;DYN_ARGS=true&amp;DOC_NAME=FAT:RGA_ENTRPR_VAL_MV_SOURCE_WINDOW.FAT&amp;VAR:ID1=BBBY&amp;VAR:SDATE=20070608&amp;VAR:FDATE=20070228&amp;VAR:FREQ=DAILY&amp;VAR:RELITEM=&amp;VAR:CURRENCY=&amp;VAR:DB_TYPE=&amp;VAR:UNITS=M&amp;VAR:SHS_OUT_TY","PE=&amp;window=popup&amp;width=535&amp;height=425&amp;START_MAXIMIZED=FALSE&amp;Y=120"}</definedName>
    <definedName name="_446__FDSAUDITLINK__" hidden="1">{"fdsup://directions/FAT Viewer?action=UPDATE&amp;creator=factSet&amp;DYN_ARGS=true&amp;DOC_NAME=FAT:RGA_ENTRPR_VAL_MV_SOURCE_WINDOW.FAT&amp;VAR:ID1=BBBY&amp;VAR:SDATE=20070608&amp;VAR:FDATE=20070228&amp;VAR:FREQ=DAILY&amp;VAR:RELITEM=&amp;VAR:CURRENCY=&amp;VAR:DB_TYPE=&amp;VAR:UNITS=M&amp;VAR:SHS_OUT_TY","PE=&amp;window=popup&amp;width=535&amp;height=425&amp;START_MAXIMIZED=FALSE&amp;Y=120"}</definedName>
    <definedName name="_447__FDSAUDITLINK__" localSheetId="5" hidden="1">{"fdsup://directions/FAT Viewer?action=UPDATE&amp;creator=factSet&amp;DYN_ARGS=true&amp;DOC_NAME=FAT:RGA_ENTRPR_VAL_MV_SOURCE_WINDOW.FAT&amp;VAR:ID1=BBBY&amp;VAR:SDATE=20070615&amp;VAR:FDATE=20070228&amp;VAR:FREQ=DAILY&amp;VAR:RELITEM=&amp;VAR:CURRENCY=&amp;VAR:DB_TYPE=&amp;VAR:UNITS=M&amp;VAR:SHS_OUT_TY","PE=&amp;window=popup&amp;width=535&amp;height=425&amp;START_MAXIMIZED=FALSE&amp;Y=120"}</definedName>
    <definedName name="_447__FDSAUDITLINK__" hidden="1">{"fdsup://directions/FAT Viewer?action=UPDATE&amp;creator=factSet&amp;DYN_ARGS=true&amp;DOC_NAME=FAT:RGA_ENTRPR_VAL_MV_SOURCE_WINDOW.FAT&amp;VAR:ID1=BBBY&amp;VAR:SDATE=20070615&amp;VAR:FDATE=20070228&amp;VAR:FREQ=DAILY&amp;VAR:RELITEM=&amp;VAR:CURRENCY=&amp;VAR:DB_TYPE=&amp;VAR:UNITS=M&amp;VAR:SHS_OUT_TY","PE=&amp;window=popup&amp;width=535&amp;height=425&amp;START_MAXIMIZED=FALSE&amp;Y=120"}</definedName>
    <definedName name="_448__FDSAUDITLINK__" localSheetId="5" hidden="1">{"fdsup://directions/FAT Viewer?action=UPDATE&amp;creator=factSet&amp;DYN_ARGS=true&amp;DOC_NAME=FAT:RGA_ENTRPR_VAL_MV_SOURCE_WINDOW.FAT&amp;VAR:ID1=BBBY&amp;VAR:SDATE=20070622&amp;VAR:FDATE=20070228&amp;VAR:FREQ=DAILY&amp;VAR:RELITEM=&amp;VAR:CURRENCY=&amp;VAR:DB_TYPE=&amp;VAR:UNITS=M&amp;VAR:SHS_OUT_TY","PE=&amp;window=popup&amp;width=535&amp;height=425&amp;START_MAXIMIZED=FALSE&amp;Y=120"}</definedName>
    <definedName name="_448__FDSAUDITLINK__" hidden="1">{"fdsup://directions/FAT Viewer?action=UPDATE&amp;creator=factSet&amp;DYN_ARGS=true&amp;DOC_NAME=FAT:RGA_ENTRPR_VAL_MV_SOURCE_WINDOW.FAT&amp;VAR:ID1=BBBY&amp;VAR:SDATE=20070622&amp;VAR:FDATE=20070228&amp;VAR:FREQ=DAILY&amp;VAR:RELITEM=&amp;VAR:CURRENCY=&amp;VAR:DB_TYPE=&amp;VAR:UNITS=M&amp;VAR:SHS_OUT_TY","PE=&amp;window=popup&amp;width=535&amp;height=425&amp;START_MAXIMIZED=FALSE&amp;Y=120"}</definedName>
    <definedName name="_449__FDSAUDITLINK__" localSheetId="5" hidden="1">{"fdsup://directions/FAT Viewer?action=UPDATE&amp;creator=factSet&amp;DYN_ARGS=true&amp;DOC_NAME=FAT:RGA_ENTRPR_VAL_MV_SOURCE_WINDOW.FAT&amp;VAR:ID1=BBBY&amp;VAR:SDATE=20070629&amp;VAR:FDATE=20070228&amp;VAR:FREQ=DAILY&amp;VAR:RELITEM=&amp;VAR:CURRENCY=&amp;VAR:DB_TYPE=&amp;VAR:UNITS=M&amp;VAR:SHS_OUT_TY","PE=&amp;window=popup&amp;width=535&amp;height=425&amp;START_MAXIMIZED=FALSE&amp;Y=120"}</definedName>
    <definedName name="_449__FDSAUDITLINK__" hidden="1">{"fdsup://directions/FAT Viewer?action=UPDATE&amp;creator=factSet&amp;DYN_ARGS=true&amp;DOC_NAME=FAT:RGA_ENTRPR_VAL_MV_SOURCE_WINDOW.FAT&amp;VAR:ID1=BBBY&amp;VAR:SDATE=20070629&amp;VAR:FDATE=20070228&amp;VAR:FREQ=DAILY&amp;VAR:RELITEM=&amp;VAR:CURRENCY=&amp;VAR:DB_TYPE=&amp;VAR:UNITS=M&amp;VAR:SHS_OUT_TY","PE=&amp;window=popup&amp;width=535&amp;height=425&amp;START_MAXIMIZED=FALSE&amp;Y=120"}</definedName>
    <definedName name="_45__FDSAUDITLINK__" localSheetId="5" hidden="1">{"fdsup://directions/FAT Viewer?action=UPDATE&amp;creator=factSet&amp;DYN_ARGS=true&amp;DOC_NAME=FAT:RGA_ENTRPR_VAL_MV_SOURCE_WINDOW.FAT&amp;VAR:ID1=BBBY&amp;VAR:SDATE=19991001&amp;VAR:FDATE=19990226&amp;VAR:FREQ=DAILY&amp;VAR:RELITEM=&amp;VAR:CURRENCY=&amp;VAR:DB_TYPE=&amp;VAR:UNITS=M&amp;VAR:SHS_OUT_TY","PE=&amp;window=popup&amp;width=535&amp;height=425&amp;START_MAXIMIZED=FALSE&amp;Y=120"}</definedName>
    <definedName name="_45__FDSAUDITLINK__" hidden="1">{"fdsup://directions/FAT Viewer?action=UPDATE&amp;creator=factSet&amp;DYN_ARGS=true&amp;DOC_NAME=FAT:RGA_ENTRPR_VAL_MV_SOURCE_WINDOW.FAT&amp;VAR:ID1=BBBY&amp;VAR:SDATE=19991001&amp;VAR:FDATE=19990226&amp;VAR:FREQ=DAILY&amp;VAR:RELITEM=&amp;VAR:CURRENCY=&amp;VAR:DB_TYPE=&amp;VAR:UNITS=M&amp;VAR:SHS_OUT_TY","PE=&amp;window=popup&amp;width=535&amp;height=425&amp;START_MAXIMIZED=FALSE&amp;Y=120"}</definedName>
    <definedName name="_450__FDSAUDITLINK__" localSheetId="5" hidden="1">{"fdsup://directions/FAT Viewer?action=UPDATE&amp;creator=factSet&amp;DYN_ARGS=true&amp;DOC_NAME=FAT:RGA_ENTRPR_VAL_MV_SOURCE_WINDOW.FAT&amp;VAR:ID1=BBBY&amp;VAR:SDATE=20070706&amp;VAR:FDATE=20070228&amp;VAR:FREQ=DAILY&amp;VAR:RELITEM=&amp;VAR:CURRENCY=&amp;VAR:DB_TYPE=&amp;VAR:UNITS=M&amp;VAR:SHS_OUT_TY","PE=&amp;window=popup&amp;width=535&amp;height=425&amp;START_MAXIMIZED=FALSE&amp;Y=120"}</definedName>
    <definedName name="_450__FDSAUDITLINK__" hidden="1">{"fdsup://directions/FAT Viewer?action=UPDATE&amp;creator=factSet&amp;DYN_ARGS=true&amp;DOC_NAME=FAT:RGA_ENTRPR_VAL_MV_SOURCE_WINDOW.FAT&amp;VAR:ID1=BBBY&amp;VAR:SDATE=20070706&amp;VAR:FDATE=20070228&amp;VAR:FREQ=DAILY&amp;VAR:RELITEM=&amp;VAR:CURRENCY=&amp;VAR:DB_TYPE=&amp;VAR:UNITS=M&amp;VAR:SHS_OUT_TY","PE=&amp;window=popup&amp;width=535&amp;height=425&amp;START_MAXIMIZED=FALSE&amp;Y=120"}</definedName>
    <definedName name="_451__FDSAUDITLINK__" localSheetId="5" hidden="1">{"fdsup://directions/FAT Viewer?action=UPDATE&amp;creator=factSet&amp;DYN_ARGS=true&amp;DOC_NAME=FAT:RGA_ENTRPR_VAL_MV_SOURCE_WINDOW.FAT&amp;VAR:ID1=BBBY&amp;VAR:SDATE=20070713&amp;VAR:FDATE=20070228&amp;VAR:FREQ=DAILY&amp;VAR:RELITEM=&amp;VAR:CURRENCY=&amp;VAR:DB_TYPE=&amp;VAR:UNITS=M&amp;VAR:SHS_OUT_TY","PE=&amp;window=popup&amp;width=535&amp;height=425&amp;START_MAXIMIZED=FALSE&amp;Y=120"}</definedName>
    <definedName name="_451__FDSAUDITLINK__" hidden="1">{"fdsup://directions/FAT Viewer?action=UPDATE&amp;creator=factSet&amp;DYN_ARGS=true&amp;DOC_NAME=FAT:RGA_ENTRPR_VAL_MV_SOURCE_WINDOW.FAT&amp;VAR:ID1=BBBY&amp;VAR:SDATE=20070713&amp;VAR:FDATE=20070228&amp;VAR:FREQ=DAILY&amp;VAR:RELITEM=&amp;VAR:CURRENCY=&amp;VAR:DB_TYPE=&amp;VAR:UNITS=M&amp;VAR:SHS_OUT_TY","PE=&amp;window=popup&amp;width=535&amp;height=425&amp;START_MAXIMIZED=FALSE&amp;Y=120"}</definedName>
    <definedName name="_452__FDSAUDITLINK__" localSheetId="5" hidden="1">{"fdsup://directions/FAT Viewer?action=UPDATE&amp;creator=factSet&amp;DYN_ARGS=true&amp;DOC_NAME=FAT:RGA_ENTRPR_VAL_MV_SOURCE_WINDOW.FAT&amp;VAR:ID1=BBBY&amp;VAR:SDATE=20070720&amp;VAR:FDATE=20070228&amp;VAR:FREQ=DAILY&amp;VAR:RELITEM=&amp;VAR:CURRENCY=&amp;VAR:DB_TYPE=&amp;VAR:UNITS=M&amp;VAR:SHS_OUT_TY","PE=&amp;window=popup&amp;width=535&amp;height=425&amp;START_MAXIMIZED=FALSE&amp;Y=120"}</definedName>
    <definedName name="_452__FDSAUDITLINK__" hidden="1">{"fdsup://directions/FAT Viewer?action=UPDATE&amp;creator=factSet&amp;DYN_ARGS=true&amp;DOC_NAME=FAT:RGA_ENTRPR_VAL_MV_SOURCE_WINDOW.FAT&amp;VAR:ID1=BBBY&amp;VAR:SDATE=20070720&amp;VAR:FDATE=20070228&amp;VAR:FREQ=DAILY&amp;VAR:RELITEM=&amp;VAR:CURRENCY=&amp;VAR:DB_TYPE=&amp;VAR:UNITS=M&amp;VAR:SHS_OUT_TY","PE=&amp;window=popup&amp;width=535&amp;height=425&amp;START_MAXIMIZED=FALSE&amp;Y=120"}</definedName>
    <definedName name="_453__FDSAUDITLINK__" localSheetId="5" hidden="1">{"fdsup://directions/FAT Viewer?action=UPDATE&amp;creator=factSet&amp;DYN_ARGS=true&amp;DOC_NAME=FAT:RGA_ENTRPR_VAL_MV_SOURCE_WINDOW.FAT&amp;VAR:ID1=BBBY&amp;VAR:SDATE=20070727&amp;VAR:FDATE=20070228&amp;VAR:FREQ=DAILY&amp;VAR:RELITEM=&amp;VAR:CURRENCY=&amp;VAR:DB_TYPE=&amp;VAR:UNITS=M&amp;VAR:SHS_OUT_TY","PE=&amp;window=popup&amp;width=535&amp;height=425&amp;START_MAXIMIZED=FALSE&amp;Y=120"}</definedName>
    <definedName name="_453__FDSAUDITLINK__" hidden="1">{"fdsup://directions/FAT Viewer?action=UPDATE&amp;creator=factSet&amp;DYN_ARGS=true&amp;DOC_NAME=FAT:RGA_ENTRPR_VAL_MV_SOURCE_WINDOW.FAT&amp;VAR:ID1=BBBY&amp;VAR:SDATE=20070727&amp;VAR:FDATE=20070228&amp;VAR:FREQ=DAILY&amp;VAR:RELITEM=&amp;VAR:CURRENCY=&amp;VAR:DB_TYPE=&amp;VAR:UNITS=M&amp;VAR:SHS_OUT_TY","PE=&amp;window=popup&amp;width=535&amp;height=425&amp;START_MAXIMIZED=FALSE&amp;Y=120"}</definedName>
    <definedName name="_454__FDSAUDITLINK__" localSheetId="5" hidden="1">{"fdsup://directions/FAT Viewer?action=UPDATE&amp;creator=factSet&amp;DYN_ARGS=true&amp;DOC_NAME=FAT:RGA_ENTRPR_VAL_MV_SOURCE_WINDOW.FAT&amp;VAR:ID1=BBBY&amp;VAR:SDATE=20070803&amp;VAR:FDATE=20070228&amp;VAR:FREQ=DAILY&amp;VAR:RELITEM=&amp;VAR:CURRENCY=&amp;VAR:DB_TYPE=&amp;VAR:UNITS=M&amp;VAR:SHS_OUT_TY","PE=&amp;window=popup&amp;width=535&amp;height=425&amp;START_MAXIMIZED=FALSE&amp;Y=120"}</definedName>
    <definedName name="_454__FDSAUDITLINK__" hidden="1">{"fdsup://directions/FAT Viewer?action=UPDATE&amp;creator=factSet&amp;DYN_ARGS=true&amp;DOC_NAME=FAT:RGA_ENTRPR_VAL_MV_SOURCE_WINDOW.FAT&amp;VAR:ID1=BBBY&amp;VAR:SDATE=20070803&amp;VAR:FDATE=20070228&amp;VAR:FREQ=DAILY&amp;VAR:RELITEM=&amp;VAR:CURRENCY=&amp;VAR:DB_TYPE=&amp;VAR:UNITS=M&amp;VAR:SHS_OUT_TY","PE=&amp;window=popup&amp;width=535&amp;height=425&amp;START_MAXIMIZED=FALSE&amp;Y=120"}</definedName>
    <definedName name="_455__FDSAUDITLINK__" localSheetId="5" hidden="1">{"fdsup://directions/FAT Viewer?action=UPDATE&amp;creator=factSet&amp;DYN_ARGS=true&amp;DOC_NAME=FAT:RGA_ENTRPR_VAL_MV_SOURCE_WINDOW.FAT&amp;VAR:ID1=BBBY&amp;VAR:SDATE=20070810&amp;VAR:FDATE=20070228&amp;VAR:FREQ=DAILY&amp;VAR:RELITEM=&amp;VAR:CURRENCY=&amp;VAR:DB_TYPE=&amp;VAR:UNITS=M&amp;VAR:SHS_OUT_TY","PE=&amp;window=popup&amp;width=535&amp;height=425&amp;START_MAXIMIZED=FALSE&amp;Y=120"}</definedName>
    <definedName name="_455__FDSAUDITLINK__" hidden="1">{"fdsup://directions/FAT Viewer?action=UPDATE&amp;creator=factSet&amp;DYN_ARGS=true&amp;DOC_NAME=FAT:RGA_ENTRPR_VAL_MV_SOURCE_WINDOW.FAT&amp;VAR:ID1=BBBY&amp;VAR:SDATE=20070810&amp;VAR:FDATE=20070228&amp;VAR:FREQ=DAILY&amp;VAR:RELITEM=&amp;VAR:CURRENCY=&amp;VAR:DB_TYPE=&amp;VAR:UNITS=M&amp;VAR:SHS_OUT_TY","PE=&amp;window=popup&amp;width=535&amp;height=425&amp;START_MAXIMIZED=FALSE&amp;Y=120"}</definedName>
    <definedName name="_456__FDSAUDITLINK__" localSheetId="5" hidden="1">{"fdsup://directions/FAT Viewer?action=UPDATE&amp;creator=factSet&amp;DYN_ARGS=true&amp;DOC_NAME=FAT:RGA_ENTRPR_VAL_MV_SOURCE_WINDOW.FAT&amp;VAR:ID1=BBBY&amp;VAR:SDATE=20070817&amp;VAR:FDATE=20070228&amp;VAR:FREQ=DAILY&amp;VAR:RELITEM=&amp;VAR:CURRENCY=&amp;VAR:DB_TYPE=&amp;VAR:UNITS=M&amp;VAR:SHS_OUT_TY","PE=&amp;window=popup&amp;width=535&amp;height=425&amp;START_MAXIMIZED=FALSE&amp;Y=120"}</definedName>
    <definedName name="_456__FDSAUDITLINK__" hidden="1">{"fdsup://directions/FAT Viewer?action=UPDATE&amp;creator=factSet&amp;DYN_ARGS=true&amp;DOC_NAME=FAT:RGA_ENTRPR_VAL_MV_SOURCE_WINDOW.FAT&amp;VAR:ID1=BBBY&amp;VAR:SDATE=20070817&amp;VAR:FDATE=20070228&amp;VAR:FREQ=DAILY&amp;VAR:RELITEM=&amp;VAR:CURRENCY=&amp;VAR:DB_TYPE=&amp;VAR:UNITS=M&amp;VAR:SHS_OUT_TY","PE=&amp;window=popup&amp;width=535&amp;height=425&amp;START_MAXIMIZED=FALSE&amp;Y=120"}</definedName>
    <definedName name="_457__FDSAUDITLINK__" localSheetId="5" hidden="1">{"fdsup://directions/FAT Viewer?action=UPDATE&amp;creator=factSet&amp;DYN_ARGS=true&amp;DOC_NAME=FAT:RGA_ENTRPR_VAL_MV_SOURCE_WINDOW.FAT&amp;VAR:ID1=BBBY&amp;VAR:SDATE=20070824&amp;VAR:FDATE=20070228&amp;VAR:FREQ=DAILY&amp;VAR:RELITEM=&amp;VAR:CURRENCY=&amp;VAR:DB_TYPE=&amp;VAR:UNITS=M&amp;VAR:SHS_OUT_TY","PE=&amp;window=popup&amp;width=535&amp;height=425&amp;START_MAXIMIZED=FALSE&amp;Y=120"}</definedName>
    <definedName name="_457__FDSAUDITLINK__" hidden="1">{"fdsup://directions/FAT Viewer?action=UPDATE&amp;creator=factSet&amp;DYN_ARGS=true&amp;DOC_NAME=FAT:RGA_ENTRPR_VAL_MV_SOURCE_WINDOW.FAT&amp;VAR:ID1=BBBY&amp;VAR:SDATE=20070824&amp;VAR:FDATE=20070228&amp;VAR:FREQ=DAILY&amp;VAR:RELITEM=&amp;VAR:CURRENCY=&amp;VAR:DB_TYPE=&amp;VAR:UNITS=M&amp;VAR:SHS_OUT_TY","PE=&amp;window=popup&amp;width=535&amp;height=425&amp;START_MAXIMIZED=FALSE&amp;Y=120"}</definedName>
    <definedName name="_458__FDSAUDITLINK__" localSheetId="5" hidden="1">{"fdsup://directions/FAT Viewer?action=UPDATE&amp;creator=factSet&amp;DYN_ARGS=true&amp;DOC_NAME=FAT:RGA_ENTRPR_VAL_MV_SOURCE_WINDOW.FAT&amp;VAR:ID1=BBBY&amp;VAR:SDATE=20070831&amp;VAR:FDATE=20070228&amp;VAR:FREQ=DAILY&amp;VAR:RELITEM=&amp;VAR:CURRENCY=&amp;VAR:DB_TYPE=&amp;VAR:UNITS=M&amp;VAR:SHS_OUT_TY","PE=&amp;window=popup&amp;width=535&amp;height=425&amp;START_MAXIMIZED=FALSE&amp;Y=120"}</definedName>
    <definedName name="_458__FDSAUDITLINK__" hidden="1">{"fdsup://directions/FAT Viewer?action=UPDATE&amp;creator=factSet&amp;DYN_ARGS=true&amp;DOC_NAME=FAT:RGA_ENTRPR_VAL_MV_SOURCE_WINDOW.FAT&amp;VAR:ID1=BBBY&amp;VAR:SDATE=20070831&amp;VAR:FDATE=20070228&amp;VAR:FREQ=DAILY&amp;VAR:RELITEM=&amp;VAR:CURRENCY=&amp;VAR:DB_TYPE=&amp;VAR:UNITS=M&amp;VAR:SHS_OUT_TY","PE=&amp;window=popup&amp;width=535&amp;height=425&amp;START_MAXIMIZED=FALSE&amp;Y=120"}</definedName>
    <definedName name="_459__FDSAUDITLINK__" localSheetId="5" hidden="1">{"fdsup://directions/FAT Viewer?action=UPDATE&amp;creator=factSet&amp;DYN_ARGS=true&amp;DOC_NAME=FAT:RGA_ENTRPR_VAL_MV_SOURCE_WINDOW.FAT&amp;VAR:ID1=BBBY&amp;VAR:SDATE=20070907&amp;VAR:FDATE=20070228&amp;VAR:FREQ=DAILY&amp;VAR:RELITEM=&amp;VAR:CURRENCY=&amp;VAR:DB_TYPE=&amp;VAR:UNITS=M&amp;VAR:SHS_OUT_TY","PE=&amp;window=popup&amp;width=535&amp;height=425&amp;START_MAXIMIZED=FALSE&amp;Y=120"}</definedName>
    <definedName name="_459__FDSAUDITLINK__" hidden="1">{"fdsup://directions/FAT Viewer?action=UPDATE&amp;creator=factSet&amp;DYN_ARGS=true&amp;DOC_NAME=FAT:RGA_ENTRPR_VAL_MV_SOURCE_WINDOW.FAT&amp;VAR:ID1=BBBY&amp;VAR:SDATE=20070907&amp;VAR:FDATE=20070228&amp;VAR:FREQ=DAILY&amp;VAR:RELITEM=&amp;VAR:CURRENCY=&amp;VAR:DB_TYPE=&amp;VAR:UNITS=M&amp;VAR:SHS_OUT_TY","PE=&amp;window=popup&amp;width=535&amp;height=425&amp;START_MAXIMIZED=FALSE&amp;Y=120"}</definedName>
    <definedName name="_46__FDSAUDITLINK__" localSheetId="5" hidden="1">{"fdsup://directions/FAT Viewer?action=UPDATE&amp;creator=factSet&amp;DYN_ARGS=true&amp;DOC_NAME=FAT:RGA_ENTRPR_VAL_MV_SOURCE_WINDOW.FAT&amp;VAR:ID1=BBBY&amp;VAR:SDATE=19991008&amp;VAR:FDATE=19990226&amp;VAR:FREQ=DAILY&amp;VAR:RELITEM=&amp;VAR:CURRENCY=&amp;VAR:DB_TYPE=&amp;VAR:UNITS=M&amp;VAR:SHS_OUT_TY","PE=&amp;window=popup&amp;width=535&amp;height=425&amp;START_MAXIMIZED=FALSE&amp;Y=120"}</definedName>
    <definedName name="_46__FDSAUDITLINK__" hidden="1">{"fdsup://directions/FAT Viewer?action=UPDATE&amp;creator=factSet&amp;DYN_ARGS=true&amp;DOC_NAME=FAT:RGA_ENTRPR_VAL_MV_SOURCE_WINDOW.FAT&amp;VAR:ID1=BBBY&amp;VAR:SDATE=19991008&amp;VAR:FDATE=19990226&amp;VAR:FREQ=DAILY&amp;VAR:RELITEM=&amp;VAR:CURRENCY=&amp;VAR:DB_TYPE=&amp;VAR:UNITS=M&amp;VAR:SHS_OUT_TY","PE=&amp;window=popup&amp;width=535&amp;height=425&amp;START_MAXIMIZED=FALSE&amp;Y=120"}</definedName>
    <definedName name="_460__FDSAUDITLINK__" localSheetId="5" hidden="1">{"fdsup://directions/FAT Viewer?action=UPDATE&amp;creator=factSet&amp;DYN_ARGS=true&amp;DOC_NAME=FAT:RGA_ENTRPR_VAL_MV_SOURCE_WINDOW.FAT&amp;VAR:ID1=BBBY&amp;VAR:SDATE=20070914&amp;VAR:FDATE=20070228&amp;VAR:FREQ=DAILY&amp;VAR:RELITEM=&amp;VAR:CURRENCY=&amp;VAR:DB_TYPE=&amp;VAR:UNITS=M&amp;VAR:SHS_OUT_TY","PE=&amp;window=popup&amp;width=535&amp;height=425&amp;START_MAXIMIZED=FALSE&amp;Y=120"}</definedName>
    <definedName name="_460__FDSAUDITLINK__" hidden="1">{"fdsup://directions/FAT Viewer?action=UPDATE&amp;creator=factSet&amp;DYN_ARGS=true&amp;DOC_NAME=FAT:RGA_ENTRPR_VAL_MV_SOURCE_WINDOW.FAT&amp;VAR:ID1=BBBY&amp;VAR:SDATE=20070914&amp;VAR:FDATE=20070228&amp;VAR:FREQ=DAILY&amp;VAR:RELITEM=&amp;VAR:CURRENCY=&amp;VAR:DB_TYPE=&amp;VAR:UNITS=M&amp;VAR:SHS_OUT_TY","PE=&amp;window=popup&amp;width=535&amp;height=425&amp;START_MAXIMIZED=FALSE&amp;Y=120"}</definedName>
    <definedName name="_461__FDSAUDITLINK__" localSheetId="5" hidden="1">{"fdsup://directions/FAT Viewer?action=UPDATE&amp;creator=factSet&amp;DYN_ARGS=true&amp;DOC_NAME=FAT:RGA_ENTRPR_VAL_MV_SOURCE_WINDOW.FAT&amp;VAR:ID1=BBBY&amp;VAR:SDATE=20070921&amp;VAR:FDATE=20070228&amp;VAR:FREQ=DAILY&amp;VAR:RELITEM=&amp;VAR:CURRENCY=&amp;VAR:DB_TYPE=&amp;VAR:UNITS=M&amp;VAR:SHS_OUT_TY","PE=&amp;window=popup&amp;width=535&amp;height=425&amp;START_MAXIMIZED=FALSE&amp;Y=120"}</definedName>
    <definedName name="_461__FDSAUDITLINK__" hidden="1">{"fdsup://directions/FAT Viewer?action=UPDATE&amp;creator=factSet&amp;DYN_ARGS=true&amp;DOC_NAME=FAT:RGA_ENTRPR_VAL_MV_SOURCE_WINDOW.FAT&amp;VAR:ID1=BBBY&amp;VAR:SDATE=20070921&amp;VAR:FDATE=20070228&amp;VAR:FREQ=DAILY&amp;VAR:RELITEM=&amp;VAR:CURRENCY=&amp;VAR:DB_TYPE=&amp;VAR:UNITS=M&amp;VAR:SHS_OUT_TY","PE=&amp;window=popup&amp;width=535&amp;height=425&amp;START_MAXIMIZED=FALSE&amp;Y=120"}</definedName>
    <definedName name="_462__FDSAUDITLINK__" localSheetId="5" hidden="1">{"fdsup://directions/FAT Viewer?action=UPDATE&amp;creator=factSet&amp;DYN_ARGS=true&amp;DOC_NAME=FAT:RGA_ENTRPR_VAL_MV_SOURCE_WINDOW.FAT&amp;VAR:ID1=BBBY&amp;VAR:SDATE=20070928&amp;VAR:FDATE=20070228&amp;VAR:FREQ=DAILY&amp;VAR:RELITEM=&amp;VAR:CURRENCY=&amp;VAR:DB_TYPE=&amp;VAR:UNITS=M&amp;VAR:SHS_OUT_TY","PE=&amp;window=popup&amp;width=535&amp;height=425&amp;START_MAXIMIZED=FALSE&amp;Y=120"}</definedName>
    <definedName name="_462__FDSAUDITLINK__" hidden="1">{"fdsup://directions/FAT Viewer?action=UPDATE&amp;creator=factSet&amp;DYN_ARGS=true&amp;DOC_NAME=FAT:RGA_ENTRPR_VAL_MV_SOURCE_WINDOW.FAT&amp;VAR:ID1=BBBY&amp;VAR:SDATE=20070928&amp;VAR:FDATE=20070228&amp;VAR:FREQ=DAILY&amp;VAR:RELITEM=&amp;VAR:CURRENCY=&amp;VAR:DB_TYPE=&amp;VAR:UNITS=M&amp;VAR:SHS_OUT_TY","PE=&amp;window=popup&amp;width=535&amp;height=425&amp;START_MAXIMIZED=FALSE&amp;Y=120"}</definedName>
    <definedName name="_463__FDSAUDITLINK__" localSheetId="5" hidden="1">{"fdsup://directions/FAT Viewer?action=UPDATE&amp;creator=factSet&amp;DYN_ARGS=true&amp;DOC_NAME=FAT:RGA_ENTRPR_VAL_MV_SOURCE_WINDOW.FAT&amp;VAR:ID1=BBBY&amp;VAR:SDATE=20071005&amp;VAR:FDATE=20070228&amp;VAR:FREQ=DAILY&amp;VAR:RELITEM=&amp;VAR:CURRENCY=&amp;VAR:DB_TYPE=&amp;VAR:UNITS=M&amp;VAR:SHS_OUT_TY","PE=&amp;window=popup&amp;width=535&amp;height=425&amp;START_MAXIMIZED=FALSE&amp;Y=120"}</definedName>
    <definedName name="_463__FDSAUDITLINK__" hidden="1">{"fdsup://directions/FAT Viewer?action=UPDATE&amp;creator=factSet&amp;DYN_ARGS=true&amp;DOC_NAME=FAT:RGA_ENTRPR_VAL_MV_SOURCE_WINDOW.FAT&amp;VAR:ID1=BBBY&amp;VAR:SDATE=20071005&amp;VAR:FDATE=20070228&amp;VAR:FREQ=DAILY&amp;VAR:RELITEM=&amp;VAR:CURRENCY=&amp;VAR:DB_TYPE=&amp;VAR:UNITS=M&amp;VAR:SHS_OUT_TY","PE=&amp;window=popup&amp;width=535&amp;height=425&amp;START_MAXIMIZED=FALSE&amp;Y=120"}</definedName>
    <definedName name="_464__FDSAUDITLINK__" localSheetId="5" hidden="1">{"fdsup://directions/FAT Viewer?action=UPDATE&amp;creator=factSet&amp;DYN_ARGS=true&amp;DOC_NAME=FAT:RGA_ENTRPR_VAL_MV_SOURCE_WINDOW.FAT&amp;VAR:ID1=BBBY&amp;VAR:SDATE=20071012&amp;VAR:FDATE=20070228&amp;VAR:FREQ=DAILY&amp;VAR:RELITEM=&amp;VAR:CURRENCY=&amp;VAR:DB_TYPE=&amp;VAR:UNITS=M&amp;VAR:SHS_OUT_TY","PE=&amp;window=popup&amp;width=535&amp;height=425&amp;START_MAXIMIZED=FALSE&amp;Y=120"}</definedName>
    <definedName name="_464__FDSAUDITLINK__" hidden="1">{"fdsup://directions/FAT Viewer?action=UPDATE&amp;creator=factSet&amp;DYN_ARGS=true&amp;DOC_NAME=FAT:RGA_ENTRPR_VAL_MV_SOURCE_WINDOW.FAT&amp;VAR:ID1=BBBY&amp;VAR:SDATE=20071012&amp;VAR:FDATE=20070228&amp;VAR:FREQ=DAILY&amp;VAR:RELITEM=&amp;VAR:CURRENCY=&amp;VAR:DB_TYPE=&amp;VAR:UNITS=M&amp;VAR:SHS_OUT_TY","PE=&amp;window=popup&amp;width=535&amp;height=425&amp;START_MAXIMIZED=FALSE&amp;Y=120"}</definedName>
    <definedName name="_465__FDSAUDITLINK__" localSheetId="5" hidden="1">{"fdsup://directions/FAT Viewer?action=UPDATE&amp;creator=factSet&amp;DYN_ARGS=true&amp;DOC_NAME=FAT:RGA_ENTRPR_VAL_MV_SOURCE_WINDOW.FAT&amp;VAR:ID1=BBBY&amp;VAR:SDATE=20071019&amp;VAR:FDATE=20070228&amp;VAR:FREQ=DAILY&amp;VAR:RELITEM=&amp;VAR:CURRENCY=&amp;VAR:DB_TYPE=&amp;VAR:UNITS=M&amp;VAR:SHS_OUT_TY","PE=&amp;window=popup&amp;width=535&amp;height=425&amp;START_MAXIMIZED=FALSE&amp;Y=120"}</definedName>
    <definedName name="_465__FDSAUDITLINK__" hidden="1">{"fdsup://directions/FAT Viewer?action=UPDATE&amp;creator=factSet&amp;DYN_ARGS=true&amp;DOC_NAME=FAT:RGA_ENTRPR_VAL_MV_SOURCE_WINDOW.FAT&amp;VAR:ID1=BBBY&amp;VAR:SDATE=20071019&amp;VAR:FDATE=20070228&amp;VAR:FREQ=DAILY&amp;VAR:RELITEM=&amp;VAR:CURRENCY=&amp;VAR:DB_TYPE=&amp;VAR:UNITS=M&amp;VAR:SHS_OUT_TY","PE=&amp;window=popup&amp;width=535&amp;height=425&amp;START_MAXIMIZED=FALSE&amp;Y=120"}</definedName>
    <definedName name="_466__FDSAUDITLINK__" localSheetId="5" hidden="1">{"fdsup://directions/FAT Viewer?action=UPDATE&amp;creator=factSet&amp;DYN_ARGS=true&amp;DOC_NAME=FAT:RGA_ENTRPR_VAL_MV_SOURCE_WINDOW.FAT&amp;VAR:ID1=BBBY&amp;VAR:SDATE=20071026&amp;VAR:FDATE=20070228&amp;VAR:FREQ=DAILY&amp;VAR:RELITEM=&amp;VAR:CURRENCY=&amp;VAR:DB_TYPE=&amp;VAR:UNITS=M&amp;VAR:SHS_OUT_TY","PE=&amp;window=popup&amp;width=535&amp;height=425&amp;START_MAXIMIZED=FALSE&amp;Y=120"}</definedName>
    <definedName name="_466__FDSAUDITLINK__" hidden="1">{"fdsup://directions/FAT Viewer?action=UPDATE&amp;creator=factSet&amp;DYN_ARGS=true&amp;DOC_NAME=FAT:RGA_ENTRPR_VAL_MV_SOURCE_WINDOW.FAT&amp;VAR:ID1=BBBY&amp;VAR:SDATE=20071026&amp;VAR:FDATE=20070228&amp;VAR:FREQ=DAILY&amp;VAR:RELITEM=&amp;VAR:CURRENCY=&amp;VAR:DB_TYPE=&amp;VAR:UNITS=M&amp;VAR:SHS_OUT_TY","PE=&amp;window=popup&amp;width=535&amp;height=425&amp;START_MAXIMIZED=FALSE&amp;Y=120"}</definedName>
    <definedName name="_467__FDSAUDITLINK__" localSheetId="5" hidden="1">{"fdsup://directions/FAT Viewer?action=UPDATE&amp;creator=factSet&amp;DYN_ARGS=true&amp;DOC_NAME=FAT:RGA_ENTRPR_VAL_MV_SOURCE_WINDOW.FAT&amp;VAR:ID1=BBBY&amp;VAR:SDATE=20071102&amp;VAR:FDATE=20070228&amp;VAR:FREQ=DAILY&amp;VAR:RELITEM=&amp;VAR:CURRENCY=&amp;VAR:DB_TYPE=&amp;VAR:UNITS=M&amp;VAR:SHS_OUT_TY","PE=&amp;window=popup&amp;width=535&amp;height=425&amp;START_MAXIMIZED=FALSE&amp;Y=120"}</definedName>
    <definedName name="_467__FDSAUDITLINK__" hidden="1">{"fdsup://directions/FAT Viewer?action=UPDATE&amp;creator=factSet&amp;DYN_ARGS=true&amp;DOC_NAME=FAT:RGA_ENTRPR_VAL_MV_SOURCE_WINDOW.FAT&amp;VAR:ID1=BBBY&amp;VAR:SDATE=20071102&amp;VAR:FDATE=20070228&amp;VAR:FREQ=DAILY&amp;VAR:RELITEM=&amp;VAR:CURRENCY=&amp;VAR:DB_TYPE=&amp;VAR:UNITS=M&amp;VAR:SHS_OUT_TY","PE=&amp;window=popup&amp;width=535&amp;height=425&amp;START_MAXIMIZED=FALSE&amp;Y=120"}</definedName>
    <definedName name="_468__FDSAUDITLINK__" localSheetId="5" hidden="1">{"fdsup://directions/FAT Viewer?action=UPDATE&amp;creator=factSet&amp;DYN_ARGS=true&amp;DOC_NAME=FAT:RGA_ENTRPR_VAL_MV_SOURCE_WINDOW.FAT&amp;VAR:ID1=BBBY&amp;VAR:SDATE=20071109&amp;VAR:FDATE=20070228&amp;VAR:FREQ=DAILY&amp;VAR:RELITEM=&amp;VAR:CURRENCY=&amp;VAR:DB_TYPE=&amp;VAR:UNITS=M&amp;VAR:SHS_OUT_TY","PE=&amp;window=popup&amp;width=535&amp;height=425&amp;START_MAXIMIZED=FALSE&amp;Y=120"}</definedName>
    <definedName name="_468__FDSAUDITLINK__" hidden="1">{"fdsup://directions/FAT Viewer?action=UPDATE&amp;creator=factSet&amp;DYN_ARGS=true&amp;DOC_NAME=FAT:RGA_ENTRPR_VAL_MV_SOURCE_WINDOW.FAT&amp;VAR:ID1=BBBY&amp;VAR:SDATE=20071109&amp;VAR:FDATE=20070228&amp;VAR:FREQ=DAILY&amp;VAR:RELITEM=&amp;VAR:CURRENCY=&amp;VAR:DB_TYPE=&amp;VAR:UNITS=M&amp;VAR:SHS_OUT_TY","PE=&amp;window=popup&amp;width=535&amp;height=425&amp;START_MAXIMIZED=FALSE&amp;Y=120"}</definedName>
    <definedName name="_469__FDSAUDITLINK__" localSheetId="5" hidden="1">{"fdsup://directions/FAT Viewer?action=UPDATE&amp;creator=factSet&amp;DYN_ARGS=true&amp;DOC_NAME=FAT:RGA_ENTRPR_VAL_MV_SOURCE_WINDOW.FAT&amp;VAR:ID1=BBBY&amp;VAR:SDATE=20071116&amp;VAR:FDATE=20070228&amp;VAR:FREQ=DAILY&amp;VAR:RELITEM=&amp;VAR:CURRENCY=&amp;VAR:DB_TYPE=&amp;VAR:UNITS=M&amp;VAR:SHS_OUT_TY","PE=&amp;window=popup&amp;width=535&amp;height=425&amp;START_MAXIMIZED=FALSE&amp;Y=120"}</definedName>
    <definedName name="_469__FDSAUDITLINK__" hidden="1">{"fdsup://directions/FAT Viewer?action=UPDATE&amp;creator=factSet&amp;DYN_ARGS=true&amp;DOC_NAME=FAT:RGA_ENTRPR_VAL_MV_SOURCE_WINDOW.FAT&amp;VAR:ID1=BBBY&amp;VAR:SDATE=20071116&amp;VAR:FDATE=20070228&amp;VAR:FREQ=DAILY&amp;VAR:RELITEM=&amp;VAR:CURRENCY=&amp;VAR:DB_TYPE=&amp;VAR:UNITS=M&amp;VAR:SHS_OUT_TY","PE=&amp;window=popup&amp;width=535&amp;height=425&amp;START_MAXIMIZED=FALSE&amp;Y=120"}</definedName>
    <definedName name="_47__FDSAUDITLINK__" localSheetId="5" hidden="1">{"fdsup://directions/FAT Viewer?action=UPDATE&amp;creator=factSet&amp;DYN_ARGS=true&amp;DOC_NAME=FAT:RGA_ENTRPR_VAL_MV_SOURCE_WINDOW.FAT&amp;VAR:ID1=BBBY&amp;VAR:SDATE=19991015&amp;VAR:FDATE=19990226&amp;VAR:FREQ=DAILY&amp;VAR:RELITEM=&amp;VAR:CURRENCY=&amp;VAR:DB_TYPE=&amp;VAR:UNITS=M&amp;VAR:SHS_OUT_TY","PE=&amp;window=popup&amp;width=535&amp;height=425&amp;START_MAXIMIZED=FALSE&amp;Y=120"}</definedName>
    <definedName name="_47__FDSAUDITLINK__" hidden="1">{"fdsup://directions/FAT Viewer?action=UPDATE&amp;creator=factSet&amp;DYN_ARGS=true&amp;DOC_NAME=FAT:RGA_ENTRPR_VAL_MV_SOURCE_WINDOW.FAT&amp;VAR:ID1=BBBY&amp;VAR:SDATE=19991015&amp;VAR:FDATE=19990226&amp;VAR:FREQ=DAILY&amp;VAR:RELITEM=&amp;VAR:CURRENCY=&amp;VAR:DB_TYPE=&amp;VAR:UNITS=M&amp;VAR:SHS_OUT_TY","PE=&amp;window=popup&amp;width=535&amp;height=425&amp;START_MAXIMIZED=FALSE&amp;Y=120"}</definedName>
    <definedName name="_470__FDSAUDITLINK__" localSheetId="5" hidden="1">{"fdsup://directions/FAT Viewer?action=UPDATE&amp;creator=factSet&amp;DYN_ARGS=true&amp;DOC_NAME=FAT:RGA_ENTRPR_VAL_MV_SOURCE_WINDOW.FAT&amp;VAR:ID1=BBBY&amp;VAR:SDATE=20071123&amp;VAR:FDATE=20070228&amp;VAR:FREQ=DAILY&amp;VAR:RELITEM=&amp;VAR:CURRENCY=&amp;VAR:DB_TYPE=&amp;VAR:UNITS=M&amp;VAR:SHS_OUT_TY","PE=&amp;window=popup&amp;width=535&amp;height=425&amp;START_MAXIMIZED=FALSE&amp;Y=120"}</definedName>
    <definedName name="_470__FDSAUDITLINK__" hidden="1">{"fdsup://directions/FAT Viewer?action=UPDATE&amp;creator=factSet&amp;DYN_ARGS=true&amp;DOC_NAME=FAT:RGA_ENTRPR_VAL_MV_SOURCE_WINDOW.FAT&amp;VAR:ID1=BBBY&amp;VAR:SDATE=20071123&amp;VAR:FDATE=20070228&amp;VAR:FREQ=DAILY&amp;VAR:RELITEM=&amp;VAR:CURRENCY=&amp;VAR:DB_TYPE=&amp;VAR:UNITS=M&amp;VAR:SHS_OUT_TY","PE=&amp;window=popup&amp;width=535&amp;height=425&amp;START_MAXIMIZED=FALSE&amp;Y=120"}</definedName>
    <definedName name="_471__FDSAUDITLINK__" localSheetId="5" hidden="1">{"fdsup://directions/FAT Viewer?action=UPDATE&amp;creator=factSet&amp;DYN_ARGS=true&amp;DOC_NAME=FAT:RGA_ENTRPR_VAL_MV_SOURCE_WINDOW.FAT&amp;VAR:ID1=BBBY&amp;VAR:SDATE=20071130&amp;VAR:FDATE=20070228&amp;VAR:FREQ=DAILY&amp;VAR:RELITEM=&amp;VAR:CURRENCY=&amp;VAR:DB_TYPE=&amp;VAR:UNITS=M&amp;VAR:SHS_OUT_TY","PE=&amp;window=popup&amp;width=535&amp;height=425&amp;START_MAXIMIZED=FALSE&amp;Y=120"}</definedName>
    <definedName name="_471__FDSAUDITLINK__" hidden="1">{"fdsup://directions/FAT Viewer?action=UPDATE&amp;creator=factSet&amp;DYN_ARGS=true&amp;DOC_NAME=FAT:RGA_ENTRPR_VAL_MV_SOURCE_WINDOW.FAT&amp;VAR:ID1=BBBY&amp;VAR:SDATE=20071130&amp;VAR:FDATE=20070228&amp;VAR:FREQ=DAILY&amp;VAR:RELITEM=&amp;VAR:CURRENCY=&amp;VAR:DB_TYPE=&amp;VAR:UNITS=M&amp;VAR:SHS_OUT_TY","PE=&amp;window=popup&amp;width=535&amp;height=425&amp;START_MAXIMIZED=FALSE&amp;Y=120"}</definedName>
    <definedName name="_472__FDSAUDITLINK__" localSheetId="5" hidden="1">{"fdsup://directions/FAT Viewer?action=UPDATE&amp;creator=factSet&amp;DYN_ARGS=true&amp;DOC_NAME=FAT:RGA_ENTRPR_VAL_MV_SOURCE_WINDOW.FAT&amp;VAR:ID1=BBBY&amp;VAR:SDATE=20071207&amp;VAR:FDATE=20070228&amp;VAR:FREQ=DAILY&amp;VAR:RELITEM=&amp;VAR:CURRENCY=&amp;VAR:DB_TYPE=&amp;VAR:UNITS=M&amp;VAR:SHS_OUT_TY","PE=&amp;window=popup&amp;width=535&amp;height=425&amp;START_MAXIMIZED=FALSE&amp;Y=120"}</definedName>
    <definedName name="_472__FDSAUDITLINK__" hidden="1">{"fdsup://directions/FAT Viewer?action=UPDATE&amp;creator=factSet&amp;DYN_ARGS=true&amp;DOC_NAME=FAT:RGA_ENTRPR_VAL_MV_SOURCE_WINDOW.FAT&amp;VAR:ID1=BBBY&amp;VAR:SDATE=20071207&amp;VAR:FDATE=20070228&amp;VAR:FREQ=DAILY&amp;VAR:RELITEM=&amp;VAR:CURRENCY=&amp;VAR:DB_TYPE=&amp;VAR:UNITS=M&amp;VAR:SHS_OUT_TY","PE=&amp;window=popup&amp;width=535&amp;height=425&amp;START_MAXIMIZED=FALSE&amp;Y=120"}</definedName>
    <definedName name="_473__FDSAUDITLINK__" localSheetId="5" hidden="1">{"fdsup://directions/FAT Viewer?action=UPDATE&amp;creator=factSet&amp;DYN_ARGS=true&amp;DOC_NAME=FAT:RGA_ENTRPR_VAL_MV_SOURCE_WINDOW.FAT&amp;VAR:ID1=BBBY&amp;VAR:SDATE=20071214&amp;VAR:FDATE=20070228&amp;VAR:FREQ=DAILY&amp;VAR:RELITEM=&amp;VAR:CURRENCY=&amp;VAR:DB_TYPE=&amp;VAR:UNITS=M&amp;VAR:SHS_OUT_TY","PE=&amp;window=popup&amp;width=535&amp;height=425&amp;START_MAXIMIZED=FALSE&amp;Y=120"}</definedName>
    <definedName name="_473__FDSAUDITLINK__" hidden="1">{"fdsup://directions/FAT Viewer?action=UPDATE&amp;creator=factSet&amp;DYN_ARGS=true&amp;DOC_NAME=FAT:RGA_ENTRPR_VAL_MV_SOURCE_WINDOW.FAT&amp;VAR:ID1=BBBY&amp;VAR:SDATE=20071214&amp;VAR:FDATE=20070228&amp;VAR:FREQ=DAILY&amp;VAR:RELITEM=&amp;VAR:CURRENCY=&amp;VAR:DB_TYPE=&amp;VAR:UNITS=M&amp;VAR:SHS_OUT_TY","PE=&amp;window=popup&amp;width=535&amp;height=425&amp;START_MAXIMIZED=FALSE&amp;Y=120"}</definedName>
    <definedName name="_474__FDSAUDITLINK__" localSheetId="5" hidden="1">{"fdsup://directions/FAT Viewer?action=UPDATE&amp;creator=factSet&amp;DYN_ARGS=true&amp;DOC_NAME=FAT:RGA_ENTRPR_VAL_MV_SOURCE_WINDOW.FAT&amp;VAR:ID1=BBBY&amp;VAR:SDATE=20071221&amp;VAR:FDATE=20070228&amp;VAR:FREQ=DAILY&amp;VAR:RELITEM=&amp;VAR:CURRENCY=&amp;VAR:DB_TYPE=&amp;VAR:UNITS=M&amp;VAR:SHS_OUT_TY","PE=&amp;window=popup&amp;width=535&amp;height=425&amp;START_MAXIMIZED=FALSE&amp;Y=120"}</definedName>
    <definedName name="_474__FDSAUDITLINK__" hidden="1">{"fdsup://directions/FAT Viewer?action=UPDATE&amp;creator=factSet&amp;DYN_ARGS=true&amp;DOC_NAME=FAT:RGA_ENTRPR_VAL_MV_SOURCE_WINDOW.FAT&amp;VAR:ID1=BBBY&amp;VAR:SDATE=20071221&amp;VAR:FDATE=20070228&amp;VAR:FREQ=DAILY&amp;VAR:RELITEM=&amp;VAR:CURRENCY=&amp;VAR:DB_TYPE=&amp;VAR:UNITS=M&amp;VAR:SHS_OUT_TY","PE=&amp;window=popup&amp;width=535&amp;height=425&amp;START_MAXIMIZED=FALSE&amp;Y=120"}</definedName>
    <definedName name="_475__FDSAUDITLINK__" localSheetId="5" hidden="1">{"fdsup://directions/FAT Viewer?action=UPDATE&amp;creator=factSet&amp;DYN_ARGS=true&amp;DOC_NAME=FAT:RGA_ENTRPR_VAL_MV_SOURCE_WINDOW.FAT&amp;VAR:ID1=BBBY&amp;VAR:SDATE=20071228&amp;VAR:FDATE=20070228&amp;VAR:FREQ=DAILY&amp;VAR:RELITEM=&amp;VAR:CURRENCY=&amp;VAR:DB_TYPE=&amp;VAR:UNITS=M&amp;VAR:SHS_OUT_TY","PE=&amp;window=popup&amp;width=535&amp;height=425&amp;START_MAXIMIZED=FALSE&amp;Y=120"}</definedName>
    <definedName name="_475__FDSAUDITLINK__" hidden="1">{"fdsup://directions/FAT Viewer?action=UPDATE&amp;creator=factSet&amp;DYN_ARGS=true&amp;DOC_NAME=FAT:RGA_ENTRPR_VAL_MV_SOURCE_WINDOW.FAT&amp;VAR:ID1=BBBY&amp;VAR:SDATE=20071228&amp;VAR:FDATE=20070228&amp;VAR:FREQ=DAILY&amp;VAR:RELITEM=&amp;VAR:CURRENCY=&amp;VAR:DB_TYPE=&amp;VAR:UNITS=M&amp;VAR:SHS_OUT_TY","PE=&amp;window=popup&amp;width=535&amp;height=425&amp;START_MAXIMIZED=FALSE&amp;Y=120"}</definedName>
    <definedName name="_476__FDSAUDITLINK__" localSheetId="5" hidden="1">{"fdsup://directions/FAT Viewer?action=UPDATE&amp;creator=factSet&amp;DYN_ARGS=true&amp;DOC_NAME=FAT:RGA_ENTRPR_VAL_MV_SOURCE_WINDOW.FAT&amp;VAR:ID1=BBBY&amp;VAR:SDATE=20080104&amp;VAR:FDATE=20070228&amp;VAR:FREQ=DAILY&amp;VAR:RELITEM=&amp;VAR:CURRENCY=&amp;VAR:DB_TYPE=&amp;VAR:UNITS=M&amp;VAR:SHS_OUT_TY","PE=&amp;window=popup&amp;width=535&amp;height=425&amp;START_MAXIMIZED=FALSE&amp;Y=120"}</definedName>
    <definedName name="_476__FDSAUDITLINK__" hidden="1">{"fdsup://directions/FAT Viewer?action=UPDATE&amp;creator=factSet&amp;DYN_ARGS=true&amp;DOC_NAME=FAT:RGA_ENTRPR_VAL_MV_SOURCE_WINDOW.FAT&amp;VAR:ID1=BBBY&amp;VAR:SDATE=20080104&amp;VAR:FDATE=20070228&amp;VAR:FREQ=DAILY&amp;VAR:RELITEM=&amp;VAR:CURRENCY=&amp;VAR:DB_TYPE=&amp;VAR:UNITS=M&amp;VAR:SHS_OUT_TY","PE=&amp;window=popup&amp;width=535&amp;height=425&amp;START_MAXIMIZED=FALSE&amp;Y=120"}</definedName>
    <definedName name="_477__FDSAUDITLINK__" localSheetId="5" hidden="1">{"fdsup://directions/FAT Viewer?action=UPDATE&amp;creator=factSet&amp;DYN_ARGS=true&amp;DOC_NAME=FAT:RGA_ENTRPR_VAL_MV_SOURCE_WINDOW.FAT&amp;VAR:ID1=BBBY&amp;VAR:SDATE=20080111&amp;VAR:FDATE=20070228&amp;VAR:FREQ=DAILY&amp;VAR:RELITEM=&amp;VAR:CURRENCY=&amp;VAR:DB_TYPE=&amp;VAR:UNITS=M&amp;VAR:SHS_OUT_TY","PE=&amp;window=popup&amp;width=535&amp;height=425&amp;START_MAXIMIZED=FALSE&amp;Y=120"}</definedName>
    <definedName name="_477__FDSAUDITLINK__" hidden="1">{"fdsup://directions/FAT Viewer?action=UPDATE&amp;creator=factSet&amp;DYN_ARGS=true&amp;DOC_NAME=FAT:RGA_ENTRPR_VAL_MV_SOURCE_WINDOW.FAT&amp;VAR:ID1=BBBY&amp;VAR:SDATE=20080111&amp;VAR:FDATE=20070228&amp;VAR:FREQ=DAILY&amp;VAR:RELITEM=&amp;VAR:CURRENCY=&amp;VAR:DB_TYPE=&amp;VAR:UNITS=M&amp;VAR:SHS_OUT_TY","PE=&amp;window=popup&amp;width=535&amp;height=425&amp;START_MAXIMIZED=FALSE&amp;Y=120"}</definedName>
    <definedName name="_478__FDSAUDITLINK__" localSheetId="5" hidden="1">{"fdsup://directions/FAT Viewer?action=UPDATE&amp;creator=factSet&amp;DYN_ARGS=true&amp;DOC_NAME=FAT:RGA_ENTRPR_VAL_MV_SOURCE_WINDOW.FAT&amp;VAR:ID1=BBBY&amp;VAR:SDATE=20080118&amp;VAR:FDATE=20070228&amp;VAR:FREQ=DAILY&amp;VAR:RELITEM=&amp;VAR:CURRENCY=&amp;VAR:DB_TYPE=&amp;VAR:UNITS=M&amp;VAR:SHS_OUT_TY","PE=&amp;window=popup&amp;width=535&amp;height=425&amp;START_MAXIMIZED=FALSE&amp;Y=120"}</definedName>
    <definedName name="_478__FDSAUDITLINK__" hidden="1">{"fdsup://directions/FAT Viewer?action=UPDATE&amp;creator=factSet&amp;DYN_ARGS=true&amp;DOC_NAME=FAT:RGA_ENTRPR_VAL_MV_SOURCE_WINDOW.FAT&amp;VAR:ID1=BBBY&amp;VAR:SDATE=20080118&amp;VAR:FDATE=20070228&amp;VAR:FREQ=DAILY&amp;VAR:RELITEM=&amp;VAR:CURRENCY=&amp;VAR:DB_TYPE=&amp;VAR:UNITS=M&amp;VAR:SHS_OUT_TY","PE=&amp;window=popup&amp;width=535&amp;height=425&amp;START_MAXIMIZED=FALSE&amp;Y=120"}</definedName>
    <definedName name="_479__FDSAUDITLINK__" localSheetId="5" hidden="1">{"fdsup://directions/FAT Viewer?action=UPDATE&amp;creator=factSet&amp;DYN_ARGS=true&amp;DOC_NAME=FAT:RGA_ENTRPR_VAL_MV_SOURCE_WINDOW.FAT&amp;VAR:ID1=BBBY&amp;VAR:SDATE=20080125&amp;VAR:FDATE=20070228&amp;VAR:FREQ=DAILY&amp;VAR:RELITEM=&amp;VAR:CURRENCY=&amp;VAR:DB_TYPE=&amp;VAR:UNITS=M&amp;VAR:SHS_OUT_TY","PE=&amp;window=popup&amp;width=535&amp;height=425&amp;START_MAXIMIZED=FALSE&amp;Y=120"}</definedName>
    <definedName name="_479__FDSAUDITLINK__" hidden="1">{"fdsup://directions/FAT Viewer?action=UPDATE&amp;creator=factSet&amp;DYN_ARGS=true&amp;DOC_NAME=FAT:RGA_ENTRPR_VAL_MV_SOURCE_WINDOW.FAT&amp;VAR:ID1=BBBY&amp;VAR:SDATE=20080125&amp;VAR:FDATE=20070228&amp;VAR:FREQ=DAILY&amp;VAR:RELITEM=&amp;VAR:CURRENCY=&amp;VAR:DB_TYPE=&amp;VAR:UNITS=M&amp;VAR:SHS_OUT_TY","PE=&amp;window=popup&amp;width=535&amp;height=425&amp;START_MAXIMIZED=FALSE&amp;Y=120"}</definedName>
    <definedName name="_48__FDSAUDITLINK__" localSheetId="5" hidden="1">{"fdsup://directions/FAT Viewer?action=UPDATE&amp;creator=factSet&amp;DYN_ARGS=true&amp;DOC_NAME=FAT:RGA_ENTRPR_VAL_MV_SOURCE_WINDOW.FAT&amp;VAR:ID1=BBBY&amp;VAR:SDATE=19991022&amp;VAR:FDATE=19990226&amp;VAR:FREQ=DAILY&amp;VAR:RELITEM=&amp;VAR:CURRENCY=&amp;VAR:DB_TYPE=&amp;VAR:UNITS=M&amp;VAR:SHS_OUT_TY","PE=&amp;window=popup&amp;width=535&amp;height=425&amp;START_MAXIMIZED=FALSE&amp;Y=120"}</definedName>
    <definedName name="_48__FDSAUDITLINK__" hidden="1">{"fdsup://directions/FAT Viewer?action=UPDATE&amp;creator=factSet&amp;DYN_ARGS=true&amp;DOC_NAME=FAT:RGA_ENTRPR_VAL_MV_SOURCE_WINDOW.FAT&amp;VAR:ID1=BBBY&amp;VAR:SDATE=19991022&amp;VAR:FDATE=19990226&amp;VAR:FREQ=DAILY&amp;VAR:RELITEM=&amp;VAR:CURRENCY=&amp;VAR:DB_TYPE=&amp;VAR:UNITS=M&amp;VAR:SHS_OUT_TY","PE=&amp;window=popup&amp;width=535&amp;height=425&amp;START_MAXIMIZED=FALSE&amp;Y=120"}</definedName>
    <definedName name="_480__FDSAUDITLINK__" localSheetId="5" hidden="1">{"fdsup://directions/FAT Viewer?action=UPDATE&amp;creator=factSet&amp;DYN_ARGS=true&amp;DOC_NAME=FAT:RGA_ENTRPR_VAL_MV_SOURCE_WINDOW.FAT&amp;VAR:ID1=BBBY&amp;VAR:SDATE=20080201&amp;VAR:FDATE=20070228&amp;VAR:FREQ=DAILY&amp;VAR:RELITEM=&amp;VAR:CURRENCY=&amp;VAR:DB_TYPE=&amp;VAR:UNITS=M&amp;VAR:SHS_OUT_TY","PE=&amp;window=popup&amp;width=535&amp;height=425&amp;START_MAXIMIZED=FALSE&amp;Y=120"}</definedName>
    <definedName name="_480__FDSAUDITLINK__" hidden="1">{"fdsup://directions/FAT Viewer?action=UPDATE&amp;creator=factSet&amp;DYN_ARGS=true&amp;DOC_NAME=FAT:RGA_ENTRPR_VAL_MV_SOURCE_WINDOW.FAT&amp;VAR:ID1=BBBY&amp;VAR:SDATE=20080201&amp;VAR:FDATE=20070228&amp;VAR:FREQ=DAILY&amp;VAR:RELITEM=&amp;VAR:CURRENCY=&amp;VAR:DB_TYPE=&amp;VAR:UNITS=M&amp;VAR:SHS_OUT_TY","PE=&amp;window=popup&amp;width=535&amp;height=425&amp;START_MAXIMIZED=FALSE&amp;Y=120"}</definedName>
    <definedName name="_481__FDSAUDITLINK__" localSheetId="5" hidden="1">{"fdsup://directions/FAT Viewer?action=UPDATE&amp;creator=factSet&amp;DYN_ARGS=true&amp;DOC_NAME=FAT:RGA_ENTRPR_VAL_MV_SOURCE_WINDOW.FAT&amp;VAR:ID1=BBBY&amp;VAR:SDATE=20080208&amp;VAR:FDATE=20070228&amp;VAR:FREQ=DAILY&amp;VAR:RELITEM=&amp;VAR:CURRENCY=&amp;VAR:DB_TYPE=&amp;VAR:UNITS=M&amp;VAR:SHS_OUT_TY","PE=&amp;window=popup&amp;width=535&amp;height=425&amp;START_MAXIMIZED=FALSE&amp;Y=120"}</definedName>
    <definedName name="_481__FDSAUDITLINK__" hidden="1">{"fdsup://directions/FAT Viewer?action=UPDATE&amp;creator=factSet&amp;DYN_ARGS=true&amp;DOC_NAME=FAT:RGA_ENTRPR_VAL_MV_SOURCE_WINDOW.FAT&amp;VAR:ID1=BBBY&amp;VAR:SDATE=20080208&amp;VAR:FDATE=20070228&amp;VAR:FREQ=DAILY&amp;VAR:RELITEM=&amp;VAR:CURRENCY=&amp;VAR:DB_TYPE=&amp;VAR:UNITS=M&amp;VAR:SHS_OUT_TY","PE=&amp;window=popup&amp;width=535&amp;height=425&amp;START_MAXIMIZED=FALSE&amp;Y=120"}</definedName>
    <definedName name="_482__FDSAUDITLINK__" localSheetId="5" hidden="1">{"fdsup://directions/FAT Viewer?action=UPDATE&amp;creator=factSet&amp;DYN_ARGS=true&amp;DOC_NAME=FAT:RGA_ENTRPR_VAL_MV_SOURCE_WINDOW.FAT&amp;VAR:ID1=BBBY&amp;VAR:SDATE=20080215&amp;VAR:FDATE=20070228&amp;VAR:FREQ=DAILY&amp;VAR:RELITEM=&amp;VAR:CURRENCY=&amp;VAR:DB_TYPE=&amp;VAR:UNITS=M&amp;VAR:SHS_OUT_TY","PE=&amp;window=popup&amp;width=535&amp;height=425&amp;START_MAXIMIZED=FALSE&amp;Y=120"}</definedName>
    <definedName name="_482__FDSAUDITLINK__" hidden="1">{"fdsup://directions/FAT Viewer?action=UPDATE&amp;creator=factSet&amp;DYN_ARGS=true&amp;DOC_NAME=FAT:RGA_ENTRPR_VAL_MV_SOURCE_WINDOW.FAT&amp;VAR:ID1=BBBY&amp;VAR:SDATE=20080215&amp;VAR:FDATE=20070228&amp;VAR:FREQ=DAILY&amp;VAR:RELITEM=&amp;VAR:CURRENCY=&amp;VAR:DB_TYPE=&amp;VAR:UNITS=M&amp;VAR:SHS_OUT_TY","PE=&amp;window=popup&amp;width=535&amp;height=425&amp;START_MAXIMIZED=FALSE&amp;Y=120"}</definedName>
    <definedName name="_483__FDSAUDITLINK__" localSheetId="5" hidden="1">{"fdsup://directions/FAT Viewer?action=UPDATE&amp;creator=factSet&amp;DYN_ARGS=true&amp;DOC_NAME=FAT:RGA_ENTRPR_VAL_MV_SOURCE_WINDOW.FAT&amp;VAR:ID1=BBBY&amp;VAR:SDATE=20080222&amp;VAR:FDATE=20070228&amp;VAR:FREQ=DAILY&amp;VAR:RELITEM=&amp;VAR:CURRENCY=&amp;VAR:DB_TYPE=&amp;VAR:UNITS=M&amp;VAR:SHS_OUT_TY","PE=&amp;window=popup&amp;width=535&amp;height=425&amp;START_MAXIMIZED=FALSE&amp;Y=120"}</definedName>
    <definedName name="_483__FDSAUDITLINK__" hidden="1">{"fdsup://directions/FAT Viewer?action=UPDATE&amp;creator=factSet&amp;DYN_ARGS=true&amp;DOC_NAME=FAT:RGA_ENTRPR_VAL_MV_SOURCE_WINDOW.FAT&amp;VAR:ID1=BBBY&amp;VAR:SDATE=20080222&amp;VAR:FDATE=20070228&amp;VAR:FREQ=DAILY&amp;VAR:RELITEM=&amp;VAR:CURRENCY=&amp;VAR:DB_TYPE=&amp;VAR:UNITS=M&amp;VAR:SHS_OUT_TY","PE=&amp;window=popup&amp;width=535&amp;height=425&amp;START_MAXIMIZED=FALSE&amp;Y=120"}</definedName>
    <definedName name="_484__FDSAUDITLINK__" localSheetId="5" hidden="1">{"fdsup://directions/FAT Viewer?action=UPDATE&amp;creator=factSet&amp;DYN_ARGS=true&amp;DOC_NAME=FAT:RGA_ENTRPR_VAL_MV_SOURCE_WINDOW.FAT&amp;VAR:ID1=BBBY&amp;VAR:SDATE=20080229&amp;VAR:FDATE=20080229&amp;VAR:FREQ=DAILY&amp;VAR:RELITEM=&amp;VAR:CURRENCY=&amp;VAR:DB_TYPE=&amp;VAR:UNITS=M&amp;VAR:SHS_OUT_TY","PE=&amp;window=popup&amp;width=535&amp;height=425&amp;START_MAXIMIZED=FALSE&amp;Y=120"}</definedName>
    <definedName name="_484__FDSAUDITLINK__" hidden="1">{"fdsup://directions/FAT Viewer?action=UPDATE&amp;creator=factSet&amp;DYN_ARGS=true&amp;DOC_NAME=FAT:RGA_ENTRPR_VAL_MV_SOURCE_WINDOW.FAT&amp;VAR:ID1=BBBY&amp;VAR:SDATE=20080229&amp;VAR:FDATE=20080229&amp;VAR:FREQ=DAILY&amp;VAR:RELITEM=&amp;VAR:CURRENCY=&amp;VAR:DB_TYPE=&amp;VAR:UNITS=M&amp;VAR:SHS_OUT_TY","PE=&amp;window=popup&amp;width=535&amp;height=425&amp;START_MAXIMIZED=FALSE&amp;Y=120"}</definedName>
    <definedName name="_485__FDSAUDITLINK__" localSheetId="5" hidden="1">{"fdsup://directions/FAT Viewer?action=UPDATE&amp;creator=factSet&amp;DYN_ARGS=true&amp;DOC_NAME=FAT:RGA_ENTRPR_VAL_MV_SOURCE_WINDOW.FAT&amp;VAR:ID1=BBBY&amp;VAR:SDATE=20080307&amp;VAR:FDATE=20080229&amp;VAR:FREQ=DAILY&amp;VAR:RELITEM=&amp;VAR:CURRENCY=&amp;VAR:DB_TYPE=&amp;VAR:UNITS=M&amp;VAR:SHS_OUT_TY","PE=&amp;window=popup&amp;width=535&amp;height=425&amp;START_MAXIMIZED=FALSE&amp;Y=120"}</definedName>
    <definedName name="_485__FDSAUDITLINK__" hidden="1">{"fdsup://directions/FAT Viewer?action=UPDATE&amp;creator=factSet&amp;DYN_ARGS=true&amp;DOC_NAME=FAT:RGA_ENTRPR_VAL_MV_SOURCE_WINDOW.FAT&amp;VAR:ID1=BBBY&amp;VAR:SDATE=20080307&amp;VAR:FDATE=20080229&amp;VAR:FREQ=DAILY&amp;VAR:RELITEM=&amp;VAR:CURRENCY=&amp;VAR:DB_TYPE=&amp;VAR:UNITS=M&amp;VAR:SHS_OUT_TY","PE=&amp;window=popup&amp;width=535&amp;height=425&amp;START_MAXIMIZED=FALSE&amp;Y=120"}</definedName>
    <definedName name="_486__FDSAUDITLINK__" localSheetId="5" hidden="1">{"fdsup://directions/FAT Viewer?action=UPDATE&amp;creator=factSet&amp;DYN_ARGS=true&amp;DOC_NAME=FAT:RGA_ENTRPR_VAL_MV_SOURCE_WINDOW.FAT&amp;VAR:ID1=BBBY&amp;VAR:SDATE=20080314&amp;VAR:FDATE=20080229&amp;VAR:FREQ=DAILY&amp;VAR:RELITEM=&amp;VAR:CURRENCY=&amp;VAR:DB_TYPE=&amp;VAR:UNITS=M&amp;VAR:SHS_OUT_TY","PE=&amp;window=popup&amp;width=535&amp;height=425&amp;START_MAXIMIZED=FALSE&amp;Y=120"}</definedName>
    <definedName name="_486__FDSAUDITLINK__" hidden="1">{"fdsup://directions/FAT Viewer?action=UPDATE&amp;creator=factSet&amp;DYN_ARGS=true&amp;DOC_NAME=FAT:RGA_ENTRPR_VAL_MV_SOURCE_WINDOW.FAT&amp;VAR:ID1=BBBY&amp;VAR:SDATE=20080314&amp;VAR:FDATE=20080229&amp;VAR:FREQ=DAILY&amp;VAR:RELITEM=&amp;VAR:CURRENCY=&amp;VAR:DB_TYPE=&amp;VAR:UNITS=M&amp;VAR:SHS_OUT_TY","PE=&amp;window=popup&amp;width=535&amp;height=425&amp;START_MAXIMIZED=FALSE&amp;Y=120"}</definedName>
    <definedName name="_487__FDSAUDITLINK__" localSheetId="5" hidden="1">{"fdsup://directions/FAT Viewer?action=UPDATE&amp;creator=factSet&amp;DYN_ARGS=true&amp;DOC_NAME=FAT:RGA_ENTRPR_VAL_MV_SOURCE_WINDOW.FAT&amp;VAR:ID1=BBBY&amp;VAR:SDATE=20080320&amp;VAR:FDATE=20080229&amp;VAR:FREQ=DAILY&amp;VAR:RELITEM=&amp;VAR:CURRENCY=&amp;VAR:DB_TYPE=&amp;VAR:UNITS=M&amp;VAR:SHS_OUT_TY","PE=&amp;window=popup&amp;width=535&amp;height=425&amp;START_MAXIMIZED=FALSE&amp;Y=120"}</definedName>
    <definedName name="_487__FDSAUDITLINK__" hidden="1">{"fdsup://directions/FAT Viewer?action=UPDATE&amp;creator=factSet&amp;DYN_ARGS=true&amp;DOC_NAME=FAT:RGA_ENTRPR_VAL_MV_SOURCE_WINDOW.FAT&amp;VAR:ID1=BBBY&amp;VAR:SDATE=20080320&amp;VAR:FDATE=20080229&amp;VAR:FREQ=DAILY&amp;VAR:RELITEM=&amp;VAR:CURRENCY=&amp;VAR:DB_TYPE=&amp;VAR:UNITS=M&amp;VAR:SHS_OUT_TY","PE=&amp;window=popup&amp;width=535&amp;height=425&amp;START_MAXIMIZED=FALSE&amp;Y=120"}</definedName>
    <definedName name="_488__FDSAUDITLINK__" localSheetId="5" hidden="1">{"fdsup://directions/FAT Viewer?action=UPDATE&amp;creator=factSet&amp;DYN_ARGS=true&amp;DOC_NAME=FAT:RGA_ENTRPR_VAL_MV_SOURCE_WINDOW.FAT&amp;VAR:ID1=BBBY&amp;VAR:SDATE=20080328&amp;VAR:FDATE=20080229&amp;VAR:FREQ=DAILY&amp;VAR:RELITEM=&amp;VAR:CURRENCY=&amp;VAR:DB_TYPE=&amp;VAR:UNITS=M&amp;VAR:SHS_OUT_TY","PE=&amp;window=popup&amp;width=535&amp;height=425&amp;START_MAXIMIZED=FALSE&amp;Y=120"}</definedName>
    <definedName name="_488__FDSAUDITLINK__" hidden="1">{"fdsup://directions/FAT Viewer?action=UPDATE&amp;creator=factSet&amp;DYN_ARGS=true&amp;DOC_NAME=FAT:RGA_ENTRPR_VAL_MV_SOURCE_WINDOW.FAT&amp;VAR:ID1=BBBY&amp;VAR:SDATE=20080328&amp;VAR:FDATE=20080229&amp;VAR:FREQ=DAILY&amp;VAR:RELITEM=&amp;VAR:CURRENCY=&amp;VAR:DB_TYPE=&amp;VAR:UNITS=M&amp;VAR:SHS_OUT_TY","PE=&amp;window=popup&amp;width=535&amp;height=425&amp;START_MAXIMIZED=FALSE&amp;Y=120"}</definedName>
    <definedName name="_489__FDSAUDITLINK__" localSheetId="5" hidden="1">{"fdsup://directions/FAT Viewer?action=UPDATE&amp;creator=factSet&amp;DYN_ARGS=true&amp;DOC_NAME=FAT:RGA_ENTRPR_VAL_MV_SOURCE_WINDOW.FAT&amp;VAR:ID1=BBBY&amp;VAR:SDATE=20080404&amp;VAR:FDATE=20080229&amp;VAR:FREQ=DAILY&amp;VAR:RELITEM=&amp;VAR:CURRENCY=&amp;VAR:DB_TYPE=&amp;VAR:UNITS=M&amp;VAR:SHS_OUT_TY","PE=&amp;window=popup&amp;width=535&amp;height=425&amp;START_MAXIMIZED=FALSE&amp;Y=120"}</definedName>
    <definedName name="_489__FDSAUDITLINK__" hidden="1">{"fdsup://directions/FAT Viewer?action=UPDATE&amp;creator=factSet&amp;DYN_ARGS=true&amp;DOC_NAME=FAT:RGA_ENTRPR_VAL_MV_SOURCE_WINDOW.FAT&amp;VAR:ID1=BBBY&amp;VAR:SDATE=20080404&amp;VAR:FDATE=20080229&amp;VAR:FREQ=DAILY&amp;VAR:RELITEM=&amp;VAR:CURRENCY=&amp;VAR:DB_TYPE=&amp;VAR:UNITS=M&amp;VAR:SHS_OUT_TY","PE=&amp;window=popup&amp;width=535&amp;height=425&amp;START_MAXIMIZED=FALSE&amp;Y=120"}</definedName>
    <definedName name="_49__FDSAUDITLINK__" localSheetId="5" hidden="1">{"fdsup://directions/FAT Viewer?action=UPDATE&amp;creator=factSet&amp;DYN_ARGS=true&amp;DOC_NAME=FAT:RGA_ENTRPR_VAL_MV_SOURCE_WINDOW.FAT&amp;VAR:ID1=BBBY&amp;VAR:SDATE=19991029&amp;VAR:FDATE=19990226&amp;VAR:FREQ=DAILY&amp;VAR:RELITEM=&amp;VAR:CURRENCY=&amp;VAR:DB_TYPE=&amp;VAR:UNITS=M&amp;VAR:SHS_OUT_TY","PE=&amp;window=popup&amp;width=535&amp;height=425&amp;START_MAXIMIZED=FALSE&amp;Y=120"}</definedName>
    <definedName name="_49__FDSAUDITLINK__" hidden="1">{"fdsup://directions/FAT Viewer?action=UPDATE&amp;creator=factSet&amp;DYN_ARGS=true&amp;DOC_NAME=FAT:RGA_ENTRPR_VAL_MV_SOURCE_WINDOW.FAT&amp;VAR:ID1=BBBY&amp;VAR:SDATE=19991029&amp;VAR:FDATE=19990226&amp;VAR:FREQ=DAILY&amp;VAR:RELITEM=&amp;VAR:CURRENCY=&amp;VAR:DB_TYPE=&amp;VAR:UNITS=M&amp;VAR:SHS_OUT_TY","PE=&amp;window=popup&amp;width=535&amp;height=425&amp;START_MAXIMIZED=FALSE&amp;Y=120"}</definedName>
    <definedName name="_490__FDSAUDITLINK__" localSheetId="5" hidden="1">{"fdsup://directions/FAT Viewer?action=UPDATE&amp;creator=factSet&amp;DYN_ARGS=true&amp;DOC_NAME=FAT:RGA_ENTRPR_VAL_MV_SOURCE_WINDOW.FAT&amp;VAR:ID1=BBBY&amp;VAR:SDATE=20080411&amp;VAR:FDATE=20080229&amp;VAR:FREQ=DAILY&amp;VAR:RELITEM=&amp;VAR:CURRENCY=&amp;VAR:DB_TYPE=&amp;VAR:UNITS=M&amp;VAR:SHS_OUT_TY","PE=&amp;window=popup&amp;width=535&amp;height=425&amp;START_MAXIMIZED=FALSE&amp;Y=120"}</definedName>
    <definedName name="_490__FDSAUDITLINK__" hidden="1">{"fdsup://directions/FAT Viewer?action=UPDATE&amp;creator=factSet&amp;DYN_ARGS=true&amp;DOC_NAME=FAT:RGA_ENTRPR_VAL_MV_SOURCE_WINDOW.FAT&amp;VAR:ID1=BBBY&amp;VAR:SDATE=20080411&amp;VAR:FDATE=20080229&amp;VAR:FREQ=DAILY&amp;VAR:RELITEM=&amp;VAR:CURRENCY=&amp;VAR:DB_TYPE=&amp;VAR:UNITS=M&amp;VAR:SHS_OUT_TY","PE=&amp;window=popup&amp;width=535&amp;height=425&amp;START_MAXIMIZED=FALSE&amp;Y=120"}</definedName>
    <definedName name="_491__FDSAUDITLINK__" localSheetId="5" hidden="1">{"fdsup://directions/FAT Viewer?action=UPDATE&amp;creator=factSet&amp;DYN_ARGS=true&amp;DOC_NAME=FAT:RGA_ENTRPR_VAL_MV_SOURCE_WINDOW.FAT&amp;VAR:ID1=BBBY&amp;VAR:SDATE=20080418&amp;VAR:FDATE=20080229&amp;VAR:FREQ=DAILY&amp;VAR:RELITEM=&amp;VAR:CURRENCY=&amp;VAR:DB_TYPE=&amp;VAR:UNITS=M&amp;VAR:SHS_OUT_TY","PE=&amp;window=popup&amp;width=535&amp;height=425&amp;START_MAXIMIZED=FALSE&amp;Y=120"}</definedName>
    <definedName name="_491__FDSAUDITLINK__" hidden="1">{"fdsup://directions/FAT Viewer?action=UPDATE&amp;creator=factSet&amp;DYN_ARGS=true&amp;DOC_NAME=FAT:RGA_ENTRPR_VAL_MV_SOURCE_WINDOW.FAT&amp;VAR:ID1=BBBY&amp;VAR:SDATE=20080418&amp;VAR:FDATE=20080229&amp;VAR:FREQ=DAILY&amp;VAR:RELITEM=&amp;VAR:CURRENCY=&amp;VAR:DB_TYPE=&amp;VAR:UNITS=M&amp;VAR:SHS_OUT_TY","PE=&amp;window=popup&amp;width=535&amp;height=425&amp;START_MAXIMIZED=FALSE&amp;Y=120"}</definedName>
    <definedName name="_492__FDSAUDITLINK__" localSheetId="5" hidden="1">{"fdsup://directions/FAT Viewer?action=UPDATE&amp;creator=factSet&amp;DYN_ARGS=true&amp;DOC_NAME=FAT:RGA_ENTRPR_VAL_MV_SOURCE_WINDOW.FAT&amp;VAR:ID1=BBBY&amp;VAR:SDATE=20080425&amp;VAR:FDATE=20080229&amp;VAR:FREQ=DAILY&amp;VAR:RELITEM=&amp;VAR:CURRENCY=&amp;VAR:DB_TYPE=&amp;VAR:UNITS=M&amp;VAR:SHS_OUT_TY","PE=&amp;window=popup&amp;width=535&amp;height=425&amp;START_MAXIMIZED=FALSE&amp;Y=120"}</definedName>
    <definedName name="_492__FDSAUDITLINK__" hidden="1">{"fdsup://directions/FAT Viewer?action=UPDATE&amp;creator=factSet&amp;DYN_ARGS=true&amp;DOC_NAME=FAT:RGA_ENTRPR_VAL_MV_SOURCE_WINDOW.FAT&amp;VAR:ID1=BBBY&amp;VAR:SDATE=20080425&amp;VAR:FDATE=20080229&amp;VAR:FREQ=DAILY&amp;VAR:RELITEM=&amp;VAR:CURRENCY=&amp;VAR:DB_TYPE=&amp;VAR:UNITS=M&amp;VAR:SHS_OUT_TY","PE=&amp;window=popup&amp;width=535&amp;height=425&amp;START_MAXIMIZED=FALSE&amp;Y=120"}</definedName>
    <definedName name="_493__FDSAUDITLINK__" localSheetId="5" hidden="1">{"fdsup://directions/FAT Viewer?action=UPDATE&amp;creator=factSet&amp;DYN_ARGS=true&amp;DOC_NAME=FAT:RGA_ENTRPR_VAL_MV_SOURCE_WINDOW.FAT&amp;VAR:ID1=BBBY&amp;VAR:SDATE=20080502&amp;VAR:FDATE=20080229&amp;VAR:FREQ=DAILY&amp;VAR:RELITEM=&amp;VAR:CURRENCY=&amp;VAR:DB_TYPE=&amp;VAR:UNITS=M&amp;VAR:SHS_OUT_TY","PE=&amp;window=popup&amp;width=535&amp;height=425&amp;START_MAXIMIZED=FALSE&amp;Y=120"}</definedName>
    <definedName name="_493__FDSAUDITLINK__" hidden="1">{"fdsup://directions/FAT Viewer?action=UPDATE&amp;creator=factSet&amp;DYN_ARGS=true&amp;DOC_NAME=FAT:RGA_ENTRPR_VAL_MV_SOURCE_WINDOW.FAT&amp;VAR:ID1=BBBY&amp;VAR:SDATE=20080502&amp;VAR:FDATE=20080229&amp;VAR:FREQ=DAILY&amp;VAR:RELITEM=&amp;VAR:CURRENCY=&amp;VAR:DB_TYPE=&amp;VAR:UNITS=M&amp;VAR:SHS_OUT_TY","PE=&amp;window=popup&amp;width=535&amp;height=425&amp;START_MAXIMIZED=FALSE&amp;Y=120"}</definedName>
    <definedName name="_494__FDSAUDITLINK__" localSheetId="5" hidden="1">{"fdsup://directions/FAT Viewer?action=UPDATE&amp;creator=factSet&amp;DYN_ARGS=true&amp;DOC_NAME=FAT:RGA_ENTRPR_VAL_MV_SOURCE_WINDOW.FAT&amp;VAR:ID1=BBBY&amp;VAR:SDATE=20080509&amp;VAR:FDATE=20080229&amp;VAR:FREQ=DAILY&amp;VAR:RELITEM=&amp;VAR:CURRENCY=&amp;VAR:DB_TYPE=&amp;VAR:UNITS=M&amp;VAR:SHS_OUT_TY","PE=&amp;window=popup&amp;width=535&amp;height=425&amp;START_MAXIMIZED=FALSE&amp;Y=120"}</definedName>
    <definedName name="_494__FDSAUDITLINK__" hidden="1">{"fdsup://directions/FAT Viewer?action=UPDATE&amp;creator=factSet&amp;DYN_ARGS=true&amp;DOC_NAME=FAT:RGA_ENTRPR_VAL_MV_SOURCE_WINDOW.FAT&amp;VAR:ID1=BBBY&amp;VAR:SDATE=20080509&amp;VAR:FDATE=20080229&amp;VAR:FREQ=DAILY&amp;VAR:RELITEM=&amp;VAR:CURRENCY=&amp;VAR:DB_TYPE=&amp;VAR:UNITS=M&amp;VAR:SHS_OUT_TY","PE=&amp;window=popup&amp;width=535&amp;height=425&amp;START_MAXIMIZED=FALSE&amp;Y=120"}</definedName>
    <definedName name="_495__FDSAUDITLINK__" localSheetId="5" hidden="1">{"fdsup://directions/FAT Viewer?action=UPDATE&amp;creator=factSet&amp;DYN_ARGS=true&amp;DOC_NAME=FAT:RGA_ENTRPR_VAL_MV_SOURCE_WINDOW.FAT&amp;VAR:ID1=BBBY&amp;VAR:SDATE=20080516&amp;VAR:FDATE=20080229&amp;VAR:FREQ=DAILY&amp;VAR:RELITEM=&amp;VAR:CURRENCY=&amp;VAR:DB_TYPE=&amp;VAR:UNITS=M&amp;VAR:SHS_OUT_TY","PE=&amp;window=popup&amp;width=535&amp;height=425&amp;START_MAXIMIZED=FALSE&amp;Y=120"}</definedName>
    <definedName name="_495__FDSAUDITLINK__" hidden="1">{"fdsup://directions/FAT Viewer?action=UPDATE&amp;creator=factSet&amp;DYN_ARGS=true&amp;DOC_NAME=FAT:RGA_ENTRPR_VAL_MV_SOURCE_WINDOW.FAT&amp;VAR:ID1=BBBY&amp;VAR:SDATE=20080516&amp;VAR:FDATE=20080229&amp;VAR:FREQ=DAILY&amp;VAR:RELITEM=&amp;VAR:CURRENCY=&amp;VAR:DB_TYPE=&amp;VAR:UNITS=M&amp;VAR:SHS_OUT_TY","PE=&amp;window=popup&amp;width=535&amp;height=425&amp;START_MAXIMIZED=FALSE&amp;Y=120"}</definedName>
    <definedName name="_496__FDSAUDITLINK__" localSheetId="5" hidden="1">{"fdsup://directions/FAT Viewer?action=UPDATE&amp;creator=factSet&amp;DYN_ARGS=true&amp;DOC_NAME=FAT:RGA_ENTRPR_VAL_MV_SOURCE_WINDOW.FAT&amp;VAR:ID1=BBBY&amp;VAR:SDATE=20080523&amp;VAR:FDATE=20080229&amp;VAR:FREQ=DAILY&amp;VAR:RELITEM=&amp;VAR:CURRENCY=&amp;VAR:DB_TYPE=&amp;VAR:UNITS=M&amp;VAR:SHS_OUT_TY","PE=&amp;window=popup&amp;width=535&amp;height=425&amp;START_MAXIMIZED=FALSE&amp;Y=120"}</definedName>
    <definedName name="_496__FDSAUDITLINK__" hidden="1">{"fdsup://directions/FAT Viewer?action=UPDATE&amp;creator=factSet&amp;DYN_ARGS=true&amp;DOC_NAME=FAT:RGA_ENTRPR_VAL_MV_SOURCE_WINDOW.FAT&amp;VAR:ID1=BBBY&amp;VAR:SDATE=20080523&amp;VAR:FDATE=20080229&amp;VAR:FREQ=DAILY&amp;VAR:RELITEM=&amp;VAR:CURRENCY=&amp;VAR:DB_TYPE=&amp;VAR:UNITS=M&amp;VAR:SHS_OUT_TY","PE=&amp;window=popup&amp;width=535&amp;height=425&amp;START_MAXIMIZED=FALSE&amp;Y=120"}</definedName>
    <definedName name="_497__FDSAUDITLINK__" localSheetId="5" hidden="1">{"fdsup://directions/FAT Viewer?action=UPDATE&amp;creator=factSet&amp;DYN_ARGS=true&amp;DOC_NAME=FAT:RGA_ENTRPR_VAL_MV_SOURCE_WINDOW.FAT&amp;VAR:ID1=BBBY&amp;VAR:SDATE=20080530&amp;VAR:FDATE=20080229&amp;VAR:FREQ=DAILY&amp;VAR:RELITEM=&amp;VAR:CURRENCY=&amp;VAR:DB_TYPE=&amp;VAR:UNITS=M&amp;VAR:SHS_OUT_TY","PE=&amp;window=popup&amp;width=535&amp;height=425&amp;START_MAXIMIZED=FALSE&amp;Y=120"}</definedName>
    <definedName name="_497__FDSAUDITLINK__" hidden="1">{"fdsup://directions/FAT Viewer?action=UPDATE&amp;creator=factSet&amp;DYN_ARGS=true&amp;DOC_NAME=FAT:RGA_ENTRPR_VAL_MV_SOURCE_WINDOW.FAT&amp;VAR:ID1=BBBY&amp;VAR:SDATE=20080530&amp;VAR:FDATE=20080229&amp;VAR:FREQ=DAILY&amp;VAR:RELITEM=&amp;VAR:CURRENCY=&amp;VAR:DB_TYPE=&amp;VAR:UNITS=M&amp;VAR:SHS_OUT_TY","PE=&amp;window=popup&amp;width=535&amp;height=425&amp;START_MAXIMIZED=FALSE&amp;Y=120"}</definedName>
    <definedName name="_498__FDSAUDITLINK__" localSheetId="5" hidden="1">{"fdsup://directions/FAT Viewer?action=UPDATE&amp;creator=factSet&amp;DYN_ARGS=true&amp;DOC_NAME=FAT:RGA_ENTRPR_VAL_MV_SOURCE_WINDOW.FAT&amp;VAR:ID1=BBBY&amp;VAR:SDATE=20080606&amp;VAR:FDATE=20080229&amp;VAR:FREQ=DAILY&amp;VAR:RELITEM=&amp;VAR:CURRENCY=&amp;VAR:DB_TYPE=&amp;VAR:UNITS=M&amp;VAR:SHS_OUT_TY","PE=&amp;window=popup&amp;width=535&amp;height=425&amp;START_MAXIMIZED=FALSE&amp;Y=120"}</definedName>
    <definedName name="_498__FDSAUDITLINK__" hidden="1">{"fdsup://directions/FAT Viewer?action=UPDATE&amp;creator=factSet&amp;DYN_ARGS=true&amp;DOC_NAME=FAT:RGA_ENTRPR_VAL_MV_SOURCE_WINDOW.FAT&amp;VAR:ID1=BBBY&amp;VAR:SDATE=20080606&amp;VAR:FDATE=20080229&amp;VAR:FREQ=DAILY&amp;VAR:RELITEM=&amp;VAR:CURRENCY=&amp;VAR:DB_TYPE=&amp;VAR:UNITS=M&amp;VAR:SHS_OUT_TY","PE=&amp;window=popup&amp;width=535&amp;height=425&amp;START_MAXIMIZED=FALSE&amp;Y=120"}</definedName>
    <definedName name="_499__FDSAUDITLINK__" localSheetId="5" hidden="1">{"fdsup://directions/FAT Viewer?action=UPDATE&amp;creator=factSet&amp;DYN_ARGS=true&amp;DOC_NAME=FAT:RGA_ENTRPR_VAL_MV_SOURCE_WINDOW.FAT&amp;VAR:ID1=BBBY&amp;VAR:SDATE=20080613&amp;VAR:FDATE=20080229&amp;VAR:FREQ=DAILY&amp;VAR:RELITEM=&amp;VAR:CURRENCY=&amp;VAR:DB_TYPE=&amp;VAR:UNITS=M&amp;VAR:SHS_OUT_TY","PE=&amp;window=popup&amp;width=535&amp;height=425&amp;START_MAXIMIZED=FALSE&amp;Y=120"}</definedName>
    <definedName name="_499__FDSAUDITLINK__" hidden="1">{"fdsup://directions/FAT Viewer?action=UPDATE&amp;creator=factSet&amp;DYN_ARGS=true&amp;DOC_NAME=FAT:RGA_ENTRPR_VAL_MV_SOURCE_WINDOW.FAT&amp;VAR:ID1=BBBY&amp;VAR:SDATE=20080613&amp;VAR:FDATE=20080229&amp;VAR:FREQ=DAILY&amp;VAR:RELITEM=&amp;VAR:CURRENCY=&amp;VAR:DB_TYPE=&amp;VAR:UNITS=M&amp;VAR:SHS_OUT_TY","PE=&amp;window=popup&amp;width=535&amp;height=425&amp;START_MAXIMIZED=FALSE&amp;Y=120"}</definedName>
    <definedName name="_5__FDSAUDITLINK__" localSheetId="5" hidden="1">{"fdsup://directions/FAT Viewer?action=UPDATE&amp;creator=factSet&amp;DYN_ARGS=true&amp;DOC_NAME=FAT:RGA_ENTRPR_VAL_MV_SOURCE_WINDOW.FAT&amp;VAR:ID1=BBBY&amp;VAR:SDATE=19981224&amp;VAR:FDATE=19980227&amp;VAR:FREQ=DAILY&amp;VAR:RELITEM=&amp;VAR:CURRENCY=&amp;VAR:DB_TYPE=&amp;VAR:UNITS=M&amp;VAR:SHS_OUT_TY","PE=&amp;window=popup&amp;width=535&amp;height=425&amp;START_MAXIMIZED=FALSE&amp;Y=120"}</definedName>
    <definedName name="_5__FDSAUDITLINK__" hidden="1">{"fdsup://directions/FAT Viewer?action=UPDATE&amp;creator=factSet&amp;DYN_ARGS=true&amp;DOC_NAME=FAT:RGA_ENTRPR_VAL_MV_SOURCE_WINDOW.FAT&amp;VAR:ID1=BBBY&amp;VAR:SDATE=19981224&amp;VAR:FDATE=19980227&amp;VAR:FREQ=DAILY&amp;VAR:RELITEM=&amp;VAR:CURRENCY=&amp;VAR:DB_TYPE=&amp;VAR:UNITS=M&amp;VAR:SHS_OUT_TY","PE=&amp;window=popup&amp;width=535&amp;height=425&amp;START_MAXIMIZED=FALSE&amp;Y=120"}</definedName>
    <definedName name="_50__FDSAUDITLINK__" localSheetId="5" hidden="1">{"fdsup://directions/FAT Viewer?action=UPDATE&amp;creator=factSet&amp;DYN_ARGS=true&amp;DOC_NAME=FAT:RGA_ENTRPR_VAL_MV_SOURCE_WINDOW.FAT&amp;VAR:ID1=BBBY&amp;VAR:SDATE=19991105&amp;VAR:FDATE=19990226&amp;VAR:FREQ=DAILY&amp;VAR:RELITEM=&amp;VAR:CURRENCY=&amp;VAR:DB_TYPE=&amp;VAR:UNITS=M&amp;VAR:SHS_OUT_TY","PE=&amp;window=popup&amp;width=535&amp;height=425&amp;START_MAXIMIZED=FALSE&amp;Y=120"}</definedName>
    <definedName name="_50__FDSAUDITLINK__" hidden="1">{"fdsup://directions/FAT Viewer?action=UPDATE&amp;creator=factSet&amp;DYN_ARGS=true&amp;DOC_NAME=FAT:RGA_ENTRPR_VAL_MV_SOURCE_WINDOW.FAT&amp;VAR:ID1=BBBY&amp;VAR:SDATE=19991105&amp;VAR:FDATE=19990226&amp;VAR:FREQ=DAILY&amp;VAR:RELITEM=&amp;VAR:CURRENCY=&amp;VAR:DB_TYPE=&amp;VAR:UNITS=M&amp;VAR:SHS_OUT_TY","PE=&amp;window=popup&amp;width=535&amp;height=425&amp;START_MAXIMIZED=FALSE&amp;Y=120"}</definedName>
    <definedName name="_500__FDSAUDITLINK__" localSheetId="5" hidden="1">{"fdsup://directions/FAT Viewer?action=UPDATE&amp;creator=factSet&amp;DYN_ARGS=true&amp;DOC_NAME=FAT:RGA_ENTRPR_VAL_MV_SOURCE_WINDOW.FAT&amp;VAR:ID1=BBBY&amp;VAR:SDATE=20080620&amp;VAR:FDATE=20080229&amp;VAR:FREQ=DAILY&amp;VAR:RELITEM=&amp;VAR:CURRENCY=&amp;VAR:DB_TYPE=&amp;VAR:UNITS=M&amp;VAR:SHS_OUT_TY","PE=&amp;window=popup&amp;width=535&amp;height=425&amp;START_MAXIMIZED=FALSE&amp;Y=120"}</definedName>
    <definedName name="_500__FDSAUDITLINK__" hidden="1">{"fdsup://directions/FAT Viewer?action=UPDATE&amp;creator=factSet&amp;DYN_ARGS=true&amp;DOC_NAME=FAT:RGA_ENTRPR_VAL_MV_SOURCE_WINDOW.FAT&amp;VAR:ID1=BBBY&amp;VAR:SDATE=20080620&amp;VAR:FDATE=20080229&amp;VAR:FREQ=DAILY&amp;VAR:RELITEM=&amp;VAR:CURRENCY=&amp;VAR:DB_TYPE=&amp;VAR:UNITS=M&amp;VAR:SHS_OUT_TY","PE=&amp;window=popup&amp;width=535&amp;height=425&amp;START_MAXIMIZED=FALSE&amp;Y=120"}</definedName>
    <definedName name="_501__FDSAUDITLINK__" localSheetId="5" hidden="1">{"fdsup://directions/FAT Viewer?action=UPDATE&amp;creator=factSet&amp;DYN_ARGS=true&amp;DOC_NAME=FAT:RGA_ENTRPR_VAL_MV_SOURCE_WINDOW.FAT&amp;VAR:ID1=BBBY&amp;VAR:SDATE=20080627&amp;VAR:FDATE=20080229&amp;VAR:FREQ=DAILY&amp;VAR:RELITEM=&amp;VAR:CURRENCY=&amp;VAR:DB_TYPE=&amp;VAR:UNITS=M&amp;VAR:SHS_OUT_TY","PE=&amp;window=popup&amp;width=535&amp;height=425&amp;START_MAXIMIZED=FALSE&amp;Y=120"}</definedName>
    <definedName name="_501__FDSAUDITLINK__" hidden="1">{"fdsup://directions/FAT Viewer?action=UPDATE&amp;creator=factSet&amp;DYN_ARGS=true&amp;DOC_NAME=FAT:RGA_ENTRPR_VAL_MV_SOURCE_WINDOW.FAT&amp;VAR:ID1=BBBY&amp;VAR:SDATE=20080627&amp;VAR:FDATE=20080229&amp;VAR:FREQ=DAILY&amp;VAR:RELITEM=&amp;VAR:CURRENCY=&amp;VAR:DB_TYPE=&amp;VAR:UNITS=M&amp;VAR:SHS_OUT_TY","PE=&amp;window=popup&amp;width=535&amp;height=425&amp;START_MAXIMIZED=FALSE&amp;Y=120"}</definedName>
    <definedName name="_502__FDSAUDITLINK__" localSheetId="5" hidden="1">{"fdsup://directions/FAT Viewer?action=UPDATE&amp;creator=factSet&amp;DYN_ARGS=true&amp;DOC_NAME=FAT:RGA_ENTRPR_VAL_MV_SOURCE_WINDOW.FAT&amp;VAR:ID1=BBBY&amp;VAR:SDATE=20080703&amp;VAR:FDATE=20080229&amp;VAR:FREQ=DAILY&amp;VAR:RELITEM=&amp;VAR:CURRENCY=&amp;VAR:DB_TYPE=&amp;VAR:UNITS=M&amp;VAR:SHS_OUT_TY","PE=&amp;window=popup&amp;width=535&amp;height=425&amp;START_MAXIMIZED=FALSE&amp;Y=120"}</definedName>
    <definedName name="_502__FDSAUDITLINK__" hidden="1">{"fdsup://directions/FAT Viewer?action=UPDATE&amp;creator=factSet&amp;DYN_ARGS=true&amp;DOC_NAME=FAT:RGA_ENTRPR_VAL_MV_SOURCE_WINDOW.FAT&amp;VAR:ID1=BBBY&amp;VAR:SDATE=20080703&amp;VAR:FDATE=20080229&amp;VAR:FREQ=DAILY&amp;VAR:RELITEM=&amp;VAR:CURRENCY=&amp;VAR:DB_TYPE=&amp;VAR:UNITS=M&amp;VAR:SHS_OUT_TY","PE=&amp;window=popup&amp;width=535&amp;height=425&amp;START_MAXIMIZED=FALSE&amp;Y=120"}</definedName>
    <definedName name="_503__FDSAUDITLINK__" localSheetId="5" hidden="1">{"fdsup://directions/FAT Viewer?action=UPDATE&amp;creator=factSet&amp;DYN_ARGS=true&amp;DOC_NAME=FAT:RGA_ENTRPR_VAL_MV_SOURCE_WINDOW.FAT&amp;VAR:ID1=BBBY&amp;VAR:SDATE=20080711&amp;VAR:FDATE=20080229&amp;VAR:FREQ=DAILY&amp;VAR:RELITEM=&amp;VAR:CURRENCY=&amp;VAR:DB_TYPE=&amp;VAR:UNITS=M&amp;VAR:SHS_OUT_TY","PE=&amp;window=popup&amp;width=535&amp;height=425&amp;START_MAXIMIZED=FALSE&amp;Y=120"}</definedName>
    <definedName name="_503__FDSAUDITLINK__" hidden="1">{"fdsup://directions/FAT Viewer?action=UPDATE&amp;creator=factSet&amp;DYN_ARGS=true&amp;DOC_NAME=FAT:RGA_ENTRPR_VAL_MV_SOURCE_WINDOW.FAT&amp;VAR:ID1=BBBY&amp;VAR:SDATE=20080711&amp;VAR:FDATE=20080229&amp;VAR:FREQ=DAILY&amp;VAR:RELITEM=&amp;VAR:CURRENCY=&amp;VAR:DB_TYPE=&amp;VAR:UNITS=M&amp;VAR:SHS_OUT_TY","PE=&amp;window=popup&amp;width=535&amp;height=425&amp;START_MAXIMIZED=FALSE&amp;Y=120"}</definedName>
    <definedName name="_504__FDSAUDITLINK__" localSheetId="5" hidden="1">{"fdsup://directions/FAT Viewer?action=UPDATE&amp;creator=factSet&amp;DYN_ARGS=true&amp;DOC_NAME=FAT:RGA_ENTRPR_VAL_MV_SOURCE_WINDOW.FAT&amp;VAR:ID1=BBBY&amp;VAR:SDATE=20080718&amp;VAR:FDATE=20080229&amp;VAR:FREQ=DAILY&amp;VAR:RELITEM=&amp;VAR:CURRENCY=&amp;VAR:DB_TYPE=&amp;VAR:UNITS=M&amp;VAR:SHS_OUT_TY","PE=&amp;window=popup&amp;width=535&amp;height=425&amp;START_MAXIMIZED=FALSE&amp;Y=120"}</definedName>
    <definedName name="_504__FDSAUDITLINK__" hidden="1">{"fdsup://directions/FAT Viewer?action=UPDATE&amp;creator=factSet&amp;DYN_ARGS=true&amp;DOC_NAME=FAT:RGA_ENTRPR_VAL_MV_SOURCE_WINDOW.FAT&amp;VAR:ID1=BBBY&amp;VAR:SDATE=20080718&amp;VAR:FDATE=20080229&amp;VAR:FREQ=DAILY&amp;VAR:RELITEM=&amp;VAR:CURRENCY=&amp;VAR:DB_TYPE=&amp;VAR:UNITS=M&amp;VAR:SHS_OUT_TY","PE=&amp;window=popup&amp;width=535&amp;height=425&amp;START_MAXIMIZED=FALSE&amp;Y=120"}</definedName>
    <definedName name="_505__FDSAUDITLINK__" localSheetId="5" hidden="1">{"fdsup://directions/FAT Viewer?action=UPDATE&amp;creator=factSet&amp;DYN_ARGS=true&amp;DOC_NAME=FAT:RGA_ENTRPR_VAL_MV_SOURCE_WINDOW.FAT&amp;VAR:ID1=BBBY&amp;VAR:SDATE=20080725&amp;VAR:FDATE=20080229&amp;VAR:FREQ=DAILY&amp;VAR:RELITEM=&amp;VAR:CURRENCY=&amp;VAR:DB_TYPE=&amp;VAR:UNITS=M&amp;VAR:SHS_OUT_TY","PE=&amp;window=popup&amp;width=535&amp;height=425&amp;START_MAXIMIZED=FALSE&amp;Y=120"}</definedName>
    <definedName name="_505__FDSAUDITLINK__" hidden="1">{"fdsup://directions/FAT Viewer?action=UPDATE&amp;creator=factSet&amp;DYN_ARGS=true&amp;DOC_NAME=FAT:RGA_ENTRPR_VAL_MV_SOURCE_WINDOW.FAT&amp;VAR:ID1=BBBY&amp;VAR:SDATE=20080725&amp;VAR:FDATE=20080229&amp;VAR:FREQ=DAILY&amp;VAR:RELITEM=&amp;VAR:CURRENCY=&amp;VAR:DB_TYPE=&amp;VAR:UNITS=M&amp;VAR:SHS_OUT_TY","PE=&amp;window=popup&amp;width=535&amp;height=425&amp;START_MAXIMIZED=FALSE&amp;Y=120"}</definedName>
    <definedName name="_506__FDSAUDITLINK__" localSheetId="5" hidden="1">{"fdsup://directions/FAT Viewer?action=UPDATE&amp;creator=factSet&amp;DYN_ARGS=true&amp;DOC_NAME=FAT:RGA_ENTRPR_VAL_MV_SOURCE_WINDOW.FAT&amp;VAR:ID1=BBBY&amp;VAR:SDATE=20080801&amp;VAR:FDATE=20080229&amp;VAR:FREQ=DAILY&amp;VAR:RELITEM=&amp;VAR:CURRENCY=&amp;VAR:DB_TYPE=&amp;VAR:UNITS=M&amp;VAR:SHS_OUT_TY","PE=&amp;window=popup&amp;width=535&amp;height=425&amp;START_MAXIMIZED=FALSE&amp;Y=120"}</definedName>
    <definedName name="_506__FDSAUDITLINK__" hidden="1">{"fdsup://directions/FAT Viewer?action=UPDATE&amp;creator=factSet&amp;DYN_ARGS=true&amp;DOC_NAME=FAT:RGA_ENTRPR_VAL_MV_SOURCE_WINDOW.FAT&amp;VAR:ID1=BBBY&amp;VAR:SDATE=20080801&amp;VAR:FDATE=20080229&amp;VAR:FREQ=DAILY&amp;VAR:RELITEM=&amp;VAR:CURRENCY=&amp;VAR:DB_TYPE=&amp;VAR:UNITS=M&amp;VAR:SHS_OUT_TY","PE=&amp;window=popup&amp;width=535&amp;height=425&amp;START_MAXIMIZED=FALSE&amp;Y=120"}</definedName>
    <definedName name="_507__FDSAUDITLINK__" localSheetId="5" hidden="1">{"fdsup://directions/FAT Viewer?action=UPDATE&amp;creator=factSet&amp;DYN_ARGS=true&amp;DOC_NAME=FAT:RGA_ENTRPR_VAL_MV_SOURCE_WINDOW.FAT&amp;VAR:ID1=BBBY&amp;VAR:SDATE=20080808&amp;VAR:FDATE=20080229&amp;VAR:FREQ=DAILY&amp;VAR:RELITEM=&amp;VAR:CURRENCY=&amp;VAR:DB_TYPE=&amp;VAR:UNITS=M&amp;VAR:SHS_OUT_TY","PE=&amp;window=popup&amp;width=535&amp;height=425&amp;START_MAXIMIZED=FALSE&amp;Y=120"}</definedName>
    <definedName name="_507__FDSAUDITLINK__" hidden="1">{"fdsup://directions/FAT Viewer?action=UPDATE&amp;creator=factSet&amp;DYN_ARGS=true&amp;DOC_NAME=FAT:RGA_ENTRPR_VAL_MV_SOURCE_WINDOW.FAT&amp;VAR:ID1=BBBY&amp;VAR:SDATE=20080808&amp;VAR:FDATE=20080229&amp;VAR:FREQ=DAILY&amp;VAR:RELITEM=&amp;VAR:CURRENCY=&amp;VAR:DB_TYPE=&amp;VAR:UNITS=M&amp;VAR:SHS_OUT_TY","PE=&amp;window=popup&amp;width=535&amp;height=425&amp;START_MAXIMIZED=FALSE&amp;Y=120"}</definedName>
    <definedName name="_508__FDSAUDITLINK__" localSheetId="5" hidden="1">{"fdsup://directions/FAT Viewer?action=UPDATE&amp;creator=factSet&amp;DYN_ARGS=true&amp;DOC_NAME=FAT:RGA_ENTRPR_VAL_MV_SOURCE_WINDOW.FAT&amp;VAR:ID1=BBBY&amp;VAR:SDATE=20080815&amp;VAR:FDATE=20080229&amp;VAR:FREQ=DAILY&amp;VAR:RELITEM=&amp;VAR:CURRENCY=&amp;VAR:DB_TYPE=&amp;VAR:UNITS=M&amp;VAR:SHS_OUT_TY","PE=&amp;window=popup&amp;width=535&amp;height=425&amp;START_MAXIMIZED=FALSE&amp;Y=120"}</definedName>
    <definedName name="_508__FDSAUDITLINK__" hidden="1">{"fdsup://directions/FAT Viewer?action=UPDATE&amp;creator=factSet&amp;DYN_ARGS=true&amp;DOC_NAME=FAT:RGA_ENTRPR_VAL_MV_SOURCE_WINDOW.FAT&amp;VAR:ID1=BBBY&amp;VAR:SDATE=20080815&amp;VAR:FDATE=20080229&amp;VAR:FREQ=DAILY&amp;VAR:RELITEM=&amp;VAR:CURRENCY=&amp;VAR:DB_TYPE=&amp;VAR:UNITS=M&amp;VAR:SHS_OUT_TY","PE=&amp;window=popup&amp;width=535&amp;height=425&amp;START_MAXIMIZED=FALSE&amp;Y=120"}</definedName>
    <definedName name="_509__FDSAUDITLINK__" localSheetId="5" hidden="1">{"fdsup://directions/FAT Viewer?action=UPDATE&amp;creator=factSet&amp;DYN_ARGS=true&amp;DOC_NAME=FAT:RGA_ENTRPR_VAL_MV_SOURCE_WINDOW.FAT&amp;VAR:ID1=BBBY&amp;VAR:SDATE=20080822&amp;VAR:FDATE=20080229&amp;VAR:FREQ=DAILY&amp;VAR:RELITEM=&amp;VAR:CURRENCY=&amp;VAR:DB_TYPE=&amp;VAR:UNITS=M&amp;VAR:SHS_OUT_TY","PE=&amp;window=popup&amp;width=535&amp;height=425&amp;START_MAXIMIZED=FALSE&amp;Y=120"}</definedName>
    <definedName name="_509__FDSAUDITLINK__" hidden="1">{"fdsup://directions/FAT Viewer?action=UPDATE&amp;creator=factSet&amp;DYN_ARGS=true&amp;DOC_NAME=FAT:RGA_ENTRPR_VAL_MV_SOURCE_WINDOW.FAT&amp;VAR:ID1=BBBY&amp;VAR:SDATE=20080822&amp;VAR:FDATE=20080229&amp;VAR:FREQ=DAILY&amp;VAR:RELITEM=&amp;VAR:CURRENCY=&amp;VAR:DB_TYPE=&amp;VAR:UNITS=M&amp;VAR:SHS_OUT_TY","PE=&amp;window=popup&amp;width=535&amp;height=425&amp;START_MAXIMIZED=FALSE&amp;Y=120"}</definedName>
    <definedName name="_51__FDSAUDITLINK__" localSheetId="5" hidden="1">{"fdsup://directions/FAT Viewer?action=UPDATE&amp;creator=factSet&amp;DYN_ARGS=true&amp;DOC_NAME=FAT:RGA_ENTRPR_VAL_MV_SOURCE_WINDOW.FAT&amp;VAR:ID1=BBBY&amp;VAR:SDATE=19991112&amp;VAR:FDATE=19990226&amp;VAR:FREQ=DAILY&amp;VAR:RELITEM=&amp;VAR:CURRENCY=&amp;VAR:DB_TYPE=&amp;VAR:UNITS=M&amp;VAR:SHS_OUT_TY","PE=&amp;window=popup&amp;width=535&amp;height=425&amp;START_MAXIMIZED=FALSE&amp;Y=120"}</definedName>
    <definedName name="_51__FDSAUDITLINK__" hidden="1">{"fdsup://directions/FAT Viewer?action=UPDATE&amp;creator=factSet&amp;DYN_ARGS=true&amp;DOC_NAME=FAT:RGA_ENTRPR_VAL_MV_SOURCE_WINDOW.FAT&amp;VAR:ID1=BBBY&amp;VAR:SDATE=19991112&amp;VAR:FDATE=19990226&amp;VAR:FREQ=DAILY&amp;VAR:RELITEM=&amp;VAR:CURRENCY=&amp;VAR:DB_TYPE=&amp;VAR:UNITS=M&amp;VAR:SHS_OUT_TY","PE=&amp;window=popup&amp;width=535&amp;height=425&amp;START_MAXIMIZED=FALSE&amp;Y=120"}</definedName>
    <definedName name="_510__FDSAUDITLINK__" localSheetId="5" hidden="1">{"fdsup://directions/FAT Viewer?action=UPDATE&amp;creator=factSet&amp;DYN_ARGS=true&amp;DOC_NAME=FAT:RGA_ENTRPR_VAL_MV_SOURCE_WINDOW.FAT&amp;VAR:ID1=BBBY&amp;VAR:SDATE=20080829&amp;VAR:FDATE=20080229&amp;VAR:FREQ=DAILY&amp;VAR:RELITEM=&amp;VAR:CURRENCY=&amp;VAR:DB_TYPE=&amp;VAR:UNITS=M&amp;VAR:SHS_OUT_TY","PE=&amp;window=popup&amp;width=535&amp;height=425&amp;START_MAXIMIZED=FALSE&amp;Y=120"}</definedName>
    <definedName name="_510__FDSAUDITLINK__" hidden="1">{"fdsup://directions/FAT Viewer?action=UPDATE&amp;creator=factSet&amp;DYN_ARGS=true&amp;DOC_NAME=FAT:RGA_ENTRPR_VAL_MV_SOURCE_WINDOW.FAT&amp;VAR:ID1=BBBY&amp;VAR:SDATE=20080829&amp;VAR:FDATE=20080229&amp;VAR:FREQ=DAILY&amp;VAR:RELITEM=&amp;VAR:CURRENCY=&amp;VAR:DB_TYPE=&amp;VAR:UNITS=M&amp;VAR:SHS_OUT_TY","PE=&amp;window=popup&amp;width=535&amp;height=425&amp;START_MAXIMIZED=FALSE&amp;Y=120"}</definedName>
    <definedName name="_511__FDSAUDITLINK__" localSheetId="5" hidden="1">{"fdsup://directions/FAT Viewer?action=UPDATE&amp;creator=factSet&amp;DYN_ARGS=true&amp;DOC_NAME=FAT:RGA_ENTRPR_VAL_MV_SOURCE_WINDOW.FAT&amp;VAR:ID1=BBBY&amp;VAR:SDATE=20080905&amp;VAR:FDATE=20080229&amp;VAR:FREQ=DAILY&amp;VAR:RELITEM=&amp;VAR:CURRENCY=&amp;VAR:DB_TYPE=&amp;VAR:UNITS=M&amp;VAR:SHS_OUT_TY","PE=&amp;window=popup&amp;width=535&amp;height=425&amp;START_MAXIMIZED=FALSE&amp;Y=120"}</definedName>
    <definedName name="_511__FDSAUDITLINK__" hidden="1">{"fdsup://directions/FAT Viewer?action=UPDATE&amp;creator=factSet&amp;DYN_ARGS=true&amp;DOC_NAME=FAT:RGA_ENTRPR_VAL_MV_SOURCE_WINDOW.FAT&amp;VAR:ID1=BBBY&amp;VAR:SDATE=20080905&amp;VAR:FDATE=20080229&amp;VAR:FREQ=DAILY&amp;VAR:RELITEM=&amp;VAR:CURRENCY=&amp;VAR:DB_TYPE=&amp;VAR:UNITS=M&amp;VAR:SHS_OUT_TY","PE=&amp;window=popup&amp;width=535&amp;height=425&amp;START_MAXIMIZED=FALSE&amp;Y=120"}</definedName>
    <definedName name="_512__FDSAUDITLINK__" localSheetId="5" hidden="1">{"fdsup://directions/FAT Viewer?action=UPDATE&amp;creator=factSet&amp;DYN_ARGS=true&amp;DOC_NAME=FAT:RGA_ENTRPR_VAL_MV_SOURCE_WINDOW.FAT&amp;VAR:ID1=BBBY&amp;VAR:SDATE=20080912&amp;VAR:FDATE=20080229&amp;VAR:FREQ=DAILY&amp;VAR:RELITEM=&amp;VAR:CURRENCY=&amp;VAR:DB_TYPE=&amp;VAR:UNITS=M&amp;VAR:SHS_OUT_TY","PE=&amp;window=popup&amp;width=535&amp;height=425&amp;START_MAXIMIZED=FALSE&amp;Y=120"}</definedName>
    <definedName name="_512__FDSAUDITLINK__" hidden="1">{"fdsup://directions/FAT Viewer?action=UPDATE&amp;creator=factSet&amp;DYN_ARGS=true&amp;DOC_NAME=FAT:RGA_ENTRPR_VAL_MV_SOURCE_WINDOW.FAT&amp;VAR:ID1=BBBY&amp;VAR:SDATE=20080912&amp;VAR:FDATE=20080229&amp;VAR:FREQ=DAILY&amp;VAR:RELITEM=&amp;VAR:CURRENCY=&amp;VAR:DB_TYPE=&amp;VAR:UNITS=M&amp;VAR:SHS_OUT_TY","PE=&amp;window=popup&amp;width=535&amp;height=425&amp;START_MAXIMIZED=FALSE&amp;Y=120"}</definedName>
    <definedName name="_513__FDSAUDITLINK__" localSheetId="5" hidden="1">{"fdsup://directions/FAT Viewer?action=UPDATE&amp;creator=factSet&amp;DYN_ARGS=true&amp;DOC_NAME=FAT:RGA_ENTRPR_VAL_MV_SOURCE_WINDOW.FAT&amp;VAR:ID1=BBBY&amp;VAR:SDATE=20080919&amp;VAR:FDATE=20080229&amp;VAR:FREQ=DAILY&amp;VAR:RELITEM=&amp;VAR:CURRENCY=&amp;VAR:DB_TYPE=&amp;VAR:UNITS=M&amp;VAR:SHS_OUT_TY","PE=&amp;window=popup&amp;width=535&amp;height=425&amp;START_MAXIMIZED=FALSE&amp;Y=120"}</definedName>
    <definedName name="_513__FDSAUDITLINK__" hidden="1">{"fdsup://directions/FAT Viewer?action=UPDATE&amp;creator=factSet&amp;DYN_ARGS=true&amp;DOC_NAME=FAT:RGA_ENTRPR_VAL_MV_SOURCE_WINDOW.FAT&amp;VAR:ID1=BBBY&amp;VAR:SDATE=20080919&amp;VAR:FDATE=20080229&amp;VAR:FREQ=DAILY&amp;VAR:RELITEM=&amp;VAR:CURRENCY=&amp;VAR:DB_TYPE=&amp;VAR:UNITS=M&amp;VAR:SHS_OUT_TY","PE=&amp;window=popup&amp;width=535&amp;height=425&amp;START_MAXIMIZED=FALSE&amp;Y=120"}</definedName>
    <definedName name="_514__FDSAUDITLINK__" localSheetId="5" hidden="1">{"fdsup://directions/FAT Viewer?action=UPDATE&amp;creator=factSet&amp;DYN_ARGS=true&amp;DOC_NAME=FAT:RGA_ENTRPR_VAL_MV_SOURCE_WINDOW.FAT&amp;VAR:ID1=BBBY&amp;VAR:SDATE=20080926&amp;VAR:FDATE=20080229&amp;VAR:FREQ=DAILY&amp;VAR:RELITEM=&amp;VAR:CURRENCY=&amp;VAR:DB_TYPE=&amp;VAR:UNITS=M&amp;VAR:SHS_OUT_TY","PE=&amp;window=popup&amp;width=535&amp;height=425&amp;START_MAXIMIZED=FALSE&amp;Y=120"}</definedName>
    <definedName name="_514__FDSAUDITLINK__" hidden="1">{"fdsup://directions/FAT Viewer?action=UPDATE&amp;creator=factSet&amp;DYN_ARGS=true&amp;DOC_NAME=FAT:RGA_ENTRPR_VAL_MV_SOURCE_WINDOW.FAT&amp;VAR:ID1=BBBY&amp;VAR:SDATE=20080926&amp;VAR:FDATE=20080229&amp;VAR:FREQ=DAILY&amp;VAR:RELITEM=&amp;VAR:CURRENCY=&amp;VAR:DB_TYPE=&amp;VAR:UNITS=M&amp;VAR:SHS_OUT_TY","PE=&amp;window=popup&amp;width=535&amp;height=425&amp;START_MAXIMIZED=FALSE&amp;Y=120"}</definedName>
    <definedName name="_515__FDSAUDITLINK__" localSheetId="5" hidden="1">{"fdsup://directions/FAT Viewer?action=UPDATE&amp;creator=factSet&amp;DYN_ARGS=true&amp;DOC_NAME=FAT:RGA_ENTRPR_VAL_MV_SOURCE_WINDOW.FAT&amp;VAR:ID1=BBBY&amp;VAR:SDATE=20081003&amp;VAR:FDATE=20080229&amp;VAR:FREQ=DAILY&amp;VAR:RELITEM=&amp;VAR:CURRENCY=&amp;VAR:DB_TYPE=&amp;VAR:UNITS=M&amp;VAR:SHS_OUT_TY","PE=&amp;window=popup&amp;width=535&amp;height=425&amp;START_MAXIMIZED=FALSE&amp;Y=120"}</definedName>
    <definedName name="_515__FDSAUDITLINK__" hidden="1">{"fdsup://directions/FAT Viewer?action=UPDATE&amp;creator=factSet&amp;DYN_ARGS=true&amp;DOC_NAME=FAT:RGA_ENTRPR_VAL_MV_SOURCE_WINDOW.FAT&amp;VAR:ID1=BBBY&amp;VAR:SDATE=20081003&amp;VAR:FDATE=20080229&amp;VAR:FREQ=DAILY&amp;VAR:RELITEM=&amp;VAR:CURRENCY=&amp;VAR:DB_TYPE=&amp;VAR:UNITS=M&amp;VAR:SHS_OUT_TY","PE=&amp;window=popup&amp;width=535&amp;height=425&amp;START_MAXIMIZED=FALSE&amp;Y=120"}</definedName>
    <definedName name="_516__FDSAUDITLINK__" localSheetId="5" hidden="1">{"fdsup://directions/FAT Viewer?action=UPDATE&amp;creator=factSet&amp;DYN_ARGS=true&amp;DOC_NAME=FAT:RGA_ENTRPR_VAL_MV_SOURCE_WINDOW.FAT&amp;VAR:ID1=BBBY&amp;VAR:SDATE=20081010&amp;VAR:FDATE=20080229&amp;VAR:FREQ=DAILY&amp;VAR:RELITEM=&amp;VAR:CURRENCY=&amp;VAR:DB_TYPE=&amp;VAR:UNITS=M&amp;VAR:SHS_OUT_TY","PE=&amp;window=popup&amp;width=535&amp;height=425&amp;START_MAXIMIZED=FALSE&amp;Y=120"}</definedName>
    <definedName name="_516__FDSAUDITLINK__" hidden="1">{"fdsup://directions/FAT Viewer?action=UPDATE&amp;creator=factSet&amp;DYN_ARGS=true&amp;DOC_NAME=FAT:RGA_ENTRPR_VAL_MV_SOURCE_WINDOW.FAT&amp;VAR:ID1=BBBY&amp;VAR:SDATE=20081010&amp;VAR:FDATE=20080229&amp;VAR:FREQ=DAILY&amp;VAR:RELITEM=&amp;VAR:CURRENCY=&amp;VAR:DB_TYPE=&amp;VAR:UNITS=M&amp;VAR:SHS_OUT_TY","PE=&amp;window=popup&amp;width=535&amp;height=425&amp;START_MAXIMIZED=FALSE&amp;Y=120"}</definedName>
    <definedName name="_517__FDSAUDITLINK__" localSheetId="5" hidden="1">{"fdsup://directions/FAT Viewer?action=UPDATE&amp;creator=factSet&amp;DYN_ARGS=true&amp;DOC_NAME=FAT:RGA_ENTRPR_VAL_MV_SOURCE_WINDOW.FAT&amp;VAR:ID1=BBBY&amp;VAR:SDATE=20081017&amp;VAR:FDATE=20080229&amp;VAR:FREQ=DAILY&amp;VAR:RELITEM=&amp;VAR:CURRENCY=&amp;VAR:DB_TYPE=&amp;VAR:UNITS=M&amp;VAR:SHS_OUT_TY","PE=&amp;window=popup&amp;width=535&amp;height=425&amp;START_MAXIMIZED=FALSE&amp;Y=120"}</definedName>
    <definedName name="_517__FDSAUDITLINK__" hidden="1">{"fdsup://directions/FAT Viewer?action=UPDATE&amp;creator=factSet&amp;DYN_ARGS=true&amp;DOC_NAME=FAT:RGA_ENTRPR_VAL_MV_SOURCE_WINDOW.FAT&amp;VAR:ID1=BBBY&amp;VAR:SDATE=20081017&amp;VAR:FDATE=20080229&amp;VAR:FREQ=DAILY&amp;VAR:RELITEM=&amp;VAR:CURRENCY=&amp;VAR:DB_TYPE=&amp;VAR:UNITS=M&amp;VAR:SHS_OUT_TY","PE=&amp;window=popup&amp;width=535&amp;height=425&amp;START_MAXIMIZED=FALSE&amp;Y=120"}</definedName>
    <definedName name="_518__FDSAUDITLINK__" localSheetId="5" hidden="1">{"fdsup://directions/FAT Viewer?action=UPDATE&amp;creator=factSet&amp;DYN_ARGS=true&amp;DOC_NAME=FAT:RGA_ENTRPR_VAL_MV_SOURCE_WINDOW.FAT&amp;VAR:ID1=BBBY&amp;VAR:SDATE=20081024&amp;VAR:FDATE=20080229&amp;VAR:FREQ=DAILY&amp;VAR:RELITEM=&amp;VAR:CURRENCY=&amp;VAR:DB_TYPE=&amp;VAR:UNITS=M&amp;VAR:SHS_OUT_TY","PE=&amp;window=popup&amp;width=535&amp;height=425&amp;START_MAXIMIZED=FALSE&amp;Y=120"}</definedName>
    <definedName name="_518__FDSAUDITLINK__" hidden="1">{"fdsup://directions/FAT Viewer?action=UPDATE&amp;creator=factSet&amp;DYN_ARGS=true&amp;DOC_NAME=FAT:RGA_ENTRPR_VAL_MV_SOURCE_WINDOW.FAT&amp;VAR:ID1=BBBY&amp;VAR:SDATE=20081024&amp;VAR:FDATE=20080229&amp;VAR:FREQ=DAILY&amp;VAR:RELITEM=&amp;VAR:CURRENCY=&amp;VAR:DB_TYPE=&amp;VAR:UNITS=M&amp;VAR:SHS_OUT_TY","PE=&amp;window=popup&amp;width=535&amp;height=425&amp;START_MAXIMIZED=FALSE&amp;Y=120"}</definedName>
    <definedName name="_519__FDSAUDITLINK__" localSheetId="5" hidden="1">{"fdsup://directions/FAT Viewer?action=UPDATE&amp;creator=factSet&amp;DYN_ARGS=true&amp;DOC_NAME=FAT:RGA_ENTRPR_VAL_MV_SOURCE_WINDOW.FAT&amp;VAR:ID1=BBBY&amp;VAR:SDATE=20081031&amp;VAR:FDATE=20080229&amp;VAR:FREQ=DAILY&amp;VAR:RELITEM=&amp;VAR:CURRENCY=&amp;VAR:DB_TYPE=&amp;VAR:UNITS=M&amp;VAR:SHS_OUT_TY","PE=&amp;window=popup&amp;width=535&amp;height=425&amp;START_MAXIMIZED=FALSE&amp;Y=120"}</definedName>
    <definedName name="_519__FDSAUDITLINK__" hidden="1">{"fdsup://directions/FAT Viewer?action=UPDATE&amp;creator=factSet&amp;DYN_ARGS=true&amp;DOC_NAME=FAT:RGA_ENTRPR_VAL_MV_SOURCE_WINDOW.FAT&amp;VAR:ID1=BBBY&amp;VAR:SDATE=20081031&amp;VAR:FDATE=20080229&amp;VAR:FREQ=DAILY&amp;VAR:RELITEM=&amp;VAR:CURRENCY=&amp;VAR:DB_TYPE=&amp;VAR:UNITS=M&amp;VAR:SHS_OUT_TY","PE=&amp;window=popup&amp;width=535&amp;height=425&amp;START_MAXIMIZED=FALSE&amp;Y=120"}</definedName>
    <definedName name="_52__FDSAUDITLINK__" localSheetId="5" hidden="1">{"fdsup://directions/FAT Viewer?action=UPDATE&amp;creator=factSet&amp;DYN_ARGS=true&amp;DOC_NAME=FAT:RGA_ENTRPR_VAL_MV_SOURCE_WINDOW.FAT&amp;VAR:ID1=BBBY&amp;VAR:SDATE=19991119&amp;VAR:FDATE=19990226&amp;VAR:FREQ=DAILY&amp;VAR:RELITEM=&amp;VAR:CURRENCY=&amp;VAR:DB_TYPE=&amp;VAR:UNITS=M&amp;VAR:SHS_OUT_TY","PE=&amp;window=popup&amp;width=535&amp;height=425&amp;START_MAXIMIZED=FALSE&amp;Y=120"}</definedName>
    <definedName name="_52__FDSAUDITLINK__" hidden="1">{"fdsup://directions/FAT Viewer?action=UPDATE&amp;creator=factSet&amp;DYN_ARGS=true&amp;DOC_NAME=FAT:RGA_ENTRPR_VAL_MV_SOURCE_WINDOW.FAT&amp;VAR:ID1=BBBY&amp;VAR:SDATE=19991119&amp;VAR:FDATE=19990226&amp;VAR:FREQ=DAILY&amp;VAR:RELITEM=&amp;VAR:CURRENCY=&amp;VAR:DB_TYPE=&amp;VAR:UNITS=M&amp;VAR:SHS_OUT_TY","PE=&amp;window=popup&amp;width=535&amp;height=425&amp;START_MAXIMIZED=FALSE&amp;Y=120"}</definedName>
    <definedName name="_520__FDSAUDITLINK__" localSheetId="5" hidden="1">{"fdsup://directions/FAT Viewer?action=UPDATE&amp;creator=factSet&amp;DYN_ARGS=true&amp;DOC_NAME=FAT:RGA_ENTRPR_VAL_MV_SOURCE_WINDOW.FAT&amp;VAR:ID1=BBBY&amp;VAR:SDATE=20081107&amp;VAR:FDATE=20080229&amp;VAR:FREQ=DAILY&amp;VAR:RELITEM=&amp;VAR:CURRENCY=&amp;VAR:DB_TYPE=&amp;VAR:UNITS=M&amp;VAR:SHS_OUT_TY","PE=&amp;window=popup&amp;width=535&amp;height=425&amp;START_MAXIMIZED=FALSE&amp;Y=120"}</definedName>
    <definedName name="_520__FDSAUDITLINK__" hidden="1">{"fdsup://directions/FAT Viewer?action=UPDATE&amp;creator=factSet&amp;DYN_ARGS=true&amp;DOC_NAME=FAT:RGA_ENTRPR_VAL_MV_SOURCE_WINDOW.FAT&amp;VAR:ID1=BBBY&amp;VAR:SDATE=20081107&amp;VAR:FDATE=20080229&amp;VAR:FREQ=DAILY&amp;VAR:RELITEM=&amp;VAR:CURRENCY=&amp;VAR:DB_TYPE=&amp;VAR:UNITS=M&amp;VAR:SHS_OUT_TY","PE=&amp;window=popup&amp;width=535&amp;height=425&amp;START_MAXIMIZED=FALSE&amp;Y=120"}</definedName>
    <definedName name="_521__FDSAUDITLINK__" localSheetId="5" hidden="1">{"fdsup://directions/FAT Viewer?action=UPDATE&amp;creator=factSet&amp;DYN_ARGS=true&amp;DOC_NAME=FAT:RGA_ENTRPR_VAL_MV_SOURCE_WINDOW.FAT&amp;VAR:ID1=BBBY&amp;VAR:SDATE=20081114&amp;VAR:FDATE=20080229&amp;VAR:FREQ=DAILY&amp;VAR:RELITEM=&amp;VAR:CURRENCY=&amp;VAR:DB_TYPE=&amp;VAR:UNITS=M&amp;VAR:SHS_OUT_TY","PE=&amp;window=popup&amp;width=535&amp;height=425&amp;START_MAXIMIZED=FALSE&amp;Y=120"}</definedName>
    <definedName name="_521__FDSAUDITLINK__" hidden="1">{"fdsup://directions/FAT Viewer?action=UPDATE&amp;creator=factSet&amp;DYN_ARGS=true&amp;DOC_NAME=FAT:RGA_ENTRPR_VAL_MV_SOURCE_WINDOW.FAT&amp;VAR:ID1=BBBY&amp;VAR:SDATE=20081114&amp;VAR:FDATE=20080229&amp;VAR:FREQ=DAILY&amp;VAR:RELITEM=&amp;VAR:CURRENCY=&amp;VAR:DB_TYPE=&amp;VAR:UNITS=M&amp;VAR:SHS_OUT_TY","PE=&amp;window=popup&amp;width=535&amp;height=425&amp;START_MAXIMIZED=FALSE&amp;Y=120"}</definedName>
    <definedName name="_522__FDSAUDITLINK__" localSheetId="5" hidden="1">{"fdsup://directions/FAT Viewer?action=UPDATE&amp;creator=factSet&amp;DYN_ARGS=true&amp;DOC_NAME=FAT:RGA_ENTRPR_VAL_MV_SOURCE_WINDOW.FAT&amp;VAR:ID1=BBBY&amp;VAR:SDATE=20081121&amp;VAR:FDATE=20080229&amp;VAR:FREQ=DAILY&amp;VAR:RELITEM=&amp;VAR:CURRENCY=&amp;VAR:DB_TYPE=&amp;VAR:UNITS=M&amp;VAR:SHS_OUT_TY","PE=&amp;window=popup&amp;width=535&amp;height=425&amp;START_MAXIMIZED=FALSE&amp;Y=120"}</definedName>
    <definedName name="_522__FDSAUDITLINK__" hidden="1">{"fdsup://directions/FAT Viewer?action=UPDATE&amp;creator=factSet&amp;DYN_ARGS=true&amp;DOC_NAME=FAT:RGA_ENTRPR_VAL_MV_SOURCE_WINDOW.FAT&amp;VAR:ID1=BBBY&amp;VAR:SDATE=20081121&amp;VAR:FDATE=20080229&amp;VAR:FREQ=DAILY&amp;VAR:RELITEM=&amp;VAR:CURRENCY=&amp;VAR:DB_TYPE=&amp;VAR:UNITS=M&amp;VAR:SHS_OUT_TY","PE=&amp;window=popup&amp;width=535&amp;height=425&amp;START_MAXIMIZED=FALSE&amp;Y=120"}</definedName>
    <definedName name="_523__FDSAUDITLINK__" localSheetId="5" hidden="1">{"fdsup://directions/FAT Viewer?action=UPDATE&amp;creator=factSet&amp;DYN_ARGS=true&amp;DOC_NAME=FAT:RGA_ENTRPR_VAL_MV_SOURCE_WINDOW.FAT&amp;VAR:ID1=BBBY&amp;VAR:SDATE=20081128&amp;VAR:FDATE=20080229&amp;VAR:FREQ=DAILY&amp;VAR:RELITEM=&amp;VAR:CURRENCY=&amp;VAR:DB_TYPE=&amp;VAR:UNITS=M&amp;VAR:SHS_OUT_TY","PE=&amp;window=popup&amp;width=535&amp;height=425&amp;START_MAXIMIZED=FALSE&amp;Y=120"}</definedName>
    <definedName name="_523__FDSAUDITLINK__" hidden="1">{"fdsup://directions/FAT Viewer?action=UPDATE&amp;creator=factSet&amp;DYN_ARGS=true&amp;DOC_NAME=FAT:RGA_ENTRPR_VAL_MV_SOURCE_WINDOW.FAT&amp;VAR:ID1=BBBY&amp;VAR:SDATE=20081128&amp;VAR:FDATE=20080229&amp;VAR:FREQ=DAILY&amp;VAR:RELITEM=&amp;VAR:CURRENCY=&amp;VAR:DB_TYPE=&amp;VAR:UNITS=M&amp;VAR:SHS_OUT_TY","PE=&amp;window=popup&amp;width=535&amp;height=425&amp;START_MAXIMIZED=FALSE&amp;Y=120"}</definedName>
    <definedName name="_524__FDSAUDITLINK__" localSheetId="5" hidden="1">{"fdsup://directions/FAT Viewer?action=UPDATE&amp;creator=factSet&amp;DYN_ARGS=true&amp;DOC_NAME=FAT:RGA_ENTRPR_VAL_MV_SOURCE_WINDOW.FAT&amp;VAR:ID1=BBBY&amp;VAR:SDATE=20081205&amp;VAR:FDATE=20080229&amp;VAR:FREQ=DAILY&amp;VAR:RELITEM=&amp;VAR:CURRENCY=&amp;VAR:DB_TYPE=&amp;VAR:UNITS=M&amp;VAR:SHS_OUT_TY","PE=&amp;window=popup&amp;width=535&amp;height=425&amp;START_MAXIMIZED=FALSE&amp;Y=120"}</definedName>
    <definedName name="_524__FDSAUDITLINK__" hidden="1">{"fdsup://directions/FAT Viewer?action=UPDATE&amp;creator=factSet&amp;DYN_ARGS=true&amp;DOC_NAME=FAT:RGA_ENTRPR_VAL_MV_SOURCE_WINDOW.FAT&amp;VAR:ID1=BBBY&amp;VAR:SDATE=20081205&amp;VAR:FDATE=20080229&amp;VAR:FREQ=DAILY&amp;VAR:RELITEM=&amp;VAR:CURRENCY=&amp;VAR:DB_TYPE=&amp;VAR:UNITS=M&amp;VAR:SHS_OUT_TY","PE=&amp;window=popup&amp;width=535&amp;height=425&amp;START_MAXIMIZED=FALSE&amp;Y=120"}</definedName>
    <definedName name="_53__FDSAUDITLINK__" localSheetId="5" hidden="1">{"fdsup://directions/FAT Viewer?action=UPDATE&amp;creator=factSet&amp;DYN_ARGS=true&amp;DOC_NAME=FAT:RGA_ENTRPR_VAL_MV_SOURCE_WINDOW.FAT&amp;VAR:ID1=BBBY&amp;VAR:SDATE=19991126&amp;VAR:FDATE=19990226&amp;VAR:FREQ=DAILY&amp;VAR:RELITEM=&amp;VAR:CURRENCY=&amp;VAR:DB_TYPE=&amp;VAR:UNITS=M&amp;VAR:SHS_OUT_TY","PE=&amp;window=popup&amp;width=535&amp;height=425&amp;START_MAXIMIZED=FALSE&amp;Y=120"}</definedName>
    <definedName name="_53__FDSAUDITLINK__" hidden="1">{"fdsup://directions/FAT Viewer?action=UPDATE&amp;creator=factSet&amp;DYN_ARGS=true&amp;DOC_NAME=FAT:RGA_ENTRPR_VAL_MV_SOURCE_WINDOW.FAT&amp;VAR:ID1=BBBY&amp;VAR:SDATE=19991126&amp;VAR:FDATE=19990226&amp;VAR:FREQ=DAILY&amp;VAR:RELITEM=&amp;VAR:CURRENCY=&amp;VAR:DB_TYPE=&amp;VAR:UNITS=M&amp;VAR:SHS_OUT_TY","PE=&amp;window=popup&amp;width=535&amp;height=425&amp;START_MAXIMIZED=FALSE&amp;Y=120"}</definedName>
    <definedName name="_54__FDSAUDITLINK__" localSheetId="5" hidden="1">{"fdsup://directions/FAT Viewer?action=UPDATE&amp;creator=factSet&amp;DYN_ARGS=true&amp;DOC_NAME=FAT:RGA_ENTRPR_VAL_MV_SOURCE_WINDOW.FAT&amp;VAR:ID1=BBBY&amp;VAR:SDATE=19991203&amp;VAR:FDATE=19990226&amp;VAR:FREQ=DAILY&amp;VAR:RELITEM=&amp;VAR:CURRENCY=&amp;VAR:DB_TYPE=&amp;VAR:UNITS=M&amp;VAR:SHS_OUT_TY","PE=&amp;window=popup&amp;width=535&amp;height=425&amp;START_MAXIMIZED=FALSE&amp;Y=120"}</definedName>
    <definedName name="_54__FDSAUDITLINK__" hidden="1">{"fdsup://directions/FAT Viewer?action=UPDATE&amp;creator=factSet&amp;DYN_ARGS=true&amp;DOC_NAME=FAT:RGA_ENTRPR_VAL_MV_SOURCE_WINDOW.FAT&amp;VAR:ID1=BBBY&amp;VAR:SDATE=19991203&amp;VAR:FDATE=19990226&amp;VAR:FREQ=DAILY&amp;VAR:RELITEM=&amp;VAR:CURRENCY=&amp;VAR:DB_TYPE=&amp;VAR:UNITS=M&amp;VAR:SHS_OUT_TY","PE=&amp;window=popup&amp;width=535&amp;height=425&amp;START_MAXIMIZED=FALSE&amp;Y=120"}</definedName>
    <definedName name="_55__FDSAUDITLINK__" localSheetId="5" hidden="1">{"fdsup://directions/FAT Viewer?action=UPDATE&amp;creator=factSet&amp;DYN_ARGS=true&amp;DOC_NAME=FAT:RGA_ENTRPR_VAL_MV_SOURCE_WINDOW.FAT&amp;VAR:ID1=BBBY&amp;VAR:SDATE=19991210&amp;VAR:FDATE=19990226&amp;VAR:FREQ=DAILY&amp;VAR:RELITEM=&amp;VAR:CURRENCY=&amp;VAR:DB_TYPE=&amp;VAR:UNITS=M&amp;VAR:SHS_OUT_TY","PE=&amp;window=popup&amp;width=535&amp;height=425&amp;START_MAXIMIZED=FALSE&amp;Y=120"}</definedName>
    <definedName name="_55__FDSAUDITLINK__" hidden="1">{"fdsup://directions/FAT Viewer?action=UPDATE&amp;creator=factSet&amp;DYN_ARGS=true&amp;DOC_NAME=FAT:RGA_ENTRPR_VAL_MV_SOURCE_WINDOW.FAT&amp;VAR:ID1=BBBY&amp;VAR:SDATE=19991210&amp;VAR:FDATE=19990226&amp;VAR:FREQ=DAILY&amp;VAR:RELITEM=&amp;VAR:CURRENCY=&amp;VAR:DB_TYPE=&amp;VAR:UNITS=M&amp;VAR:SHS_OUT_TY","PE=&amp;window=popup&amp;width=535&amp;height=425&amp;START_MAXIMIZED=FALSE&amp;Y=120"}</definedName>
    <definedName name="_56__FDSAUDITLINK__" localSheetId="5" hidden="1">{"fdsup://directions/FAT Viewer?action=UPDATE&amp;creator=factSet&amp;DYN_ARGS=true&amp;DOC_NAME=FAT:RGA_ENTRPR_VAL_MV_SOURCE_WINDOW.FAT&amp;VAR:ID1=BBBY&amp;VAR:SDATE=19991217&amp;VAR:FDATE=19990226&amp;VAR:FREQ=DAILY&amp;VAR:RELITEM=&amp;VAR:CURRENCY=&amp;VAR:DB_TYPE=&amp;VAR:UNITS=M&amp;VAR:SHS_OUT_TY","PE=&amp;window=popup&amp;width=535&amp;height=425&amp;START_MAXIMIZED=FALSE&amp;Y=120"}</definedName>
    <definedName name="_56__FDSAUDITLINK__" hidden="1">{"fdsup://directions/FAT Viewer?action=UPDATE&amp;creator=factSet&amp;DYN_ARGS=true&amp;DOC_NAME=FAT:RGA_ENTRPR_VAL_MV_SOURCE_WINDOW.FAT&amp;VAR:ID1=BBBY&amp;VAR:SDATE=19991217&amp;VAR:FDATE=19990226&amp;VAR:FREQ=DAILY&amp;VAR:RELITEM=&amp;VAR:CURRENCY=&amp;VAR:DB_TYPE=&amp;VAR:UNITS=M&amp;VAR:SHS_OUT_TY","PE=&amp;window=popup&amp;width=535&amp;height=425&amp;START_MAXIMIZED=FALSE&amp;Y=120"}</definedName>
    <definedName name="_57__FDSAUDITLINK__" localSheetId="5" hidden="1">{"fdsup://directions/FAT Viewer?action=UPDATE&amp;creator=factSet&amp;DYN_ARGS=true&amp;DOC_NAME=FAT:RGA_ENTRPR_VAL_MV_SOURCE_WINDOW.FAT&amp;VAR:ID1=BBBY&amp;VAR:SDATE=19991223&amp;VAR:FDATE=19990226&amp;VAR:FREQ=DAILY&amp;VAR:RELITEM=&amp;VAR:CURRENCY=&amp;VAR:DB_TYPE=&amp;VAR:UNITS=M&amp;VAR:SHS_OUT_TY","PE=&amp;window=popup&amp;width=535&amp;height=425&amp;START_MAXIMIZED=FALSE&amp;Y=120"}</definedName>
    <definedName name="_57__FDSAUDITLINK__" hidden="1">{"fdsup://directions/FAT Viewer?action=UPDATE&amp;creator=factSet&amp;DYN_ARGS=true&amp;DOC_NAME=FAT:RGA_ENTRPR_VAL_MV_SOURCE_WINDOW.FAT&amp;VAR:ID1=BBBY&amp;VAR:SDATE=19991223&amp;VAR:FDATE=19990226&amp;VAR:FREQ=DAILY&amp;VAR:RELITEM=&amp;VAR:CURRENCY=&amp;VAR:DB_TYPE=&amp;VAR:UNITS=M&amp;VAR:SHS_OUT_TY","PE=&amp;window=popup&amp;width=535&amp;height=425&amp;START_MAXIMIZED=FALSE&amp;Y=120"}</definedName>
    <definedName name="_58__FDSAUDITLINK__" localSheetId="5" hidden="1">{"fdsup://directions/FAT Viewer?action=UPDATE&amp;creator=factSet&amp;DYN_ARGS=true&amp;DOC_NAME=FAT:RGA_ENTRPR_VAL_MV_SOURCE_WINDOW.FAT&amp;VAR:ID1=BBBY&amp;VAR:SDATE=19991231&amp;VAR:FDATE=19990226&amp;VAR:FREQ=DAILY&amp;VAR:RELITEM=&amp;VAR:CURRENCY=&amp;VAR:DB_TYPE=&amp;VAR:UNITS=M&amp;VAR:SHS_OUT_TY","PE=&amp;window=popup&amp;width=535&amp;height=425&amp;START_MAXIMIZED=FALSE&amp;Y=120"}</definedName>
    <definedName name="_58__FDSAUDITLINK__" hidden="1">{"fdsup://directions/FAT Viewer?action=UPDATE&amp;creator=factSet&amp;DYN_ARGS=true&amp;DOC_NAME=FAT:RGA_ENTRPR_VAL_MV_SOURCE_WINDOW.FAT&amp;VAR:ID1=BBBY&amp;VAR:SDATE=19991231&amp;VAR:FDATE=19990226&amp;VAR:FREQ=DAILY&amp;VAR:RELITEM=&amp;VAR:CURRENCY=&amp;VAR:DB_TYPE=&amp;VAR:UNITS=M&amp;VAR:SHS_OUT_TY","PE=&amp;window=popup&amp;width=535&amp;height=425&amp;START_MAXIMIZED=FALSE&amp;Y=120"}</definedName>
    <definedName name="_59__FDSAUDITLINK__" localSheetId="5" hidden="1">{"fdsup://directions/FAT Viewer?action=UPDATE&amp;creator=factSet&amp;DYN_ARGS=true&amp;DOC_NAME=FAT:RGA_ENTRPR_VAL_MV_SOURCE_WINDOW.FAT&amp;VAR:ID1=BBBY&amp;VAR:SDATE=20000107&amp;VAR:FDATE=19990226&amp;VAR:FREQ=DAILY&amp;VAR:RELITEM=&amp;VAR:CURRENCY=&amp;VAR:DB_TYPE=&amp;VAR:UNITS=M&amp;VAR:SHS_OUT_TY","PE=&amp;window=popup&amp;width=535&amp;height=425&amp;START_MAXIMIZED=FALSE&amp;Y=120"}</definedName>
    <definedName name="_59__FDSAUDITLINK__" hidden="1">{"fdsup://directions/FAT Viewer?action=UPDATE&amp;creator=factSet&amp;DYN_ARGS=true&amp;DOC_NAME=FAT:RGA_ENTRPR_VAL_MV_SOURCE_WINDOW.FAT&amp;VAR:ID1=BBBY&amp;VAR:SDATE=20000107&amp;VAR:FDATE=19990226&amp;VAR:FREQ=DAILY&amp;VAR:RELITEM=&amp;VAR:CURRENCY=&amp;VAR:DB_TYPE=&amp;VAR:UNITS=M&amp;VAR:SHS_OUT_TY","PE=&amp;window=popup&amp;width=535&amp;height=425&amp;START_MAXIMIZED=FALSE&amp;Y=120"}</definedName>
    <definedName name="_6__FDSAUDITLINK__" localSheetId="5" hidden="1">{"fdsup://directions/FAT Viewer?action=UPDATE&amp;creator=factSet&amp;DYN_ARGS=true&amp;DOC_NAME=FAT:RGA_ENTRPR_VAL_MV_SOURCE_WINDOW.FAT&amp;VAR:ID1=BBBY&amp;VAR:SDATE=19981231&amp;VAR:FDATE=19980227&amp;VAR:FREQ=DAILY&amp;VAR:RELITEM=&amp;VAR:CURRENCY=&amp;VAR:DB_TYPE=&amp;VAR:UNITS=M&amp;VAR:SHS_OUT_TY","PE=&amp;window=popup&amp;width=535&amp;height=425&amp;START_MAXIMIZED=FALSE&amp;Y=120"}</definedName>
    <definedName name="_6__FDSAUDITLINK__" hidden="1">{"fdsup://directions/FAT Viewer?action=UPDATE&amp;creator=factSet&amp;DYN_ARGS=true&amp;DOC_NAME=FAT:RGA_ENTRPR_VAL_MV_SOURCE_WINDOW.FAT&amp;VAR:ID1=BBBY&amp;VAR:SDATE=19981231&amp;VAR:FDATE=19980227&amp;VAR:FREQ=DAILY&amp;VAR:RELITEM=&amp;VAR:CURRENCY=&amp;VAR:DB_TYPE=&amp;VAR:UNITS=M&amp;VAR:SHS_OUT_TY","PE=&amp;window=popup&amp;width=535&amp;height=425&amp;START_MAXIMIZED=FALSE&amp;Y=120"}</definedName>
    <definedName name="_60__FDSAUDITLINK__" localSheetId="5" hidden="1">{"fdsup://directions/FAT Viewer?action=UPDATE&amp;creator=factSet&amp;DYN_ARGS=true&amp;DOC_NAME=FAT:RGA_ENTRPR_VAL_MV_SOURCE_WINDOW.FAT&amp;VAR:ID1=BBBY&amp;VAR:SDATE=20000114&amp;VAR:FDATE=19990226&amp;VAR:FREQ=DAILY&amp;VAR:RELITEM=&amp;VAR:CURRENCY=&amp;VAR:DB_TYPE=&amp;VAR:UNITS=M&amp;VAR:SHS_OUT_TY","PE=&amp;window=popup&amp;width=535&amp;height=425&amp;START_MAXIMIZED=FALSE&amp;Y=120"}</definedName>
    <definedName name="_60__FDSAUDITLINK__" hidden="1">{"fdsup://directions/FAT Viewer?action=UPDATE&amp;creator=factSet&amp;DYN_ARGS=true&amp;DOC_NAME=FAT:RGA_ENTRPR_VAL_MV_SOURCE_WINDOW.FAT&amp;VAR:ID1=BBBY&amp;VAR:SDATE=20000114&amp;VAR:FDATE=19990226&amp;VAR:FREQ=DAILY&amp;VAR:RELITEM=&amp;VAR:CURRENCY=&amp;VAR:DB_TYPE=&amp;VAR:UNITS=M&amp;VAR:SHS_OUT_TY","PE=&amp;window=popup&amp;width=535&amp;height=425&amp;START_MAXIMIZED=FALSE&amp;Y=120"}</definedName>
    <definedName name="_61__FDSAUDITLINK__" localSheetId="5" hidden="1">{"fdsup://directions/FAT Viewer?action=UPDATE&amp;creator=factSet&amp;DYN_ARGS=true&amp;DOC_NAME=FAT:RGA_ENTRPR_VAL_MV_SOURCE_WINDOW.FAT&amp;VAR:ID1=BBBY&amp;VAR:SDATE=20000121&amp;VAR:FDATE=19990226&amp;VAR:FREQ=DAILY&amp;VAR:RELITEM=&amp;VAR:CURRENCY=&amp;VAR:DB_TYPE=&amp;VAR:UNITS=M&amp;VAR:SHS_OUT_TY","PE=&amp;window=popup&amp;width=535&amp;height=425&amp;START_MAXIMIZED=FALSE&amp;Y=120"}</definedName>
    <definedName name="_61__FDSAUDITLINK__" hidden="1">{"fdsup://directions/FAT Viewer?action=UPDATE&amp;creator=factSet&amp;DYN_ARGS=true&amp;DOC_NAME=FAT:RGA_ENTRPR_VAL_MV_SOURCE_WINDOW.FAT&amp;VAR:ID1=BBBY&amp;VAR:SDATE=20000121&amp;VAR:FDATE=19990226&amp;VAR:FREQ=DAILY&amp;VAR:RELITEM=&amp;VAR:CURRENCY=&amp;VAR:DB_TYPE=&amp;VAR:UNITS=M&amp;VAR:SHS_OUT_TY","PE=&amp;window=popup&amp;width=535&amp;height=425&amp;START_MAXIMIZED=FALSE&amp;Y=120"}</definedName>
    <definedName name="_62__FDSAUDITLINK__" localSheetId="5" hidden="1">{"fdsup://directions/FAT Viewer?action=UPDATE&amp;creator=factSet&amp;DYN_ARGS=true&amp;DOC_NAME=FAT:RGA_ENTRPR_VAL_MV_SOURCE_WINDOW.FAT&amp;VAR:ID1=BBBY&amp;VAR:SDATE=20000128&amp;VAR:FDATE=19990226&amp;VAR:FREQ=DAILY&amp;VAR:RELITEM=&amp;VAR:CURRENCY=&amp;VAR:DB_TYPE=&amp;VAR:UNITS=M&amp;VAR:SHS_OUT_TY","PE=&amp;window=popup&amp;width=535&amp;height=425&amp;START_MAXIMIZED=FALSE&amp;Y=120"}</definedName>
    <definedName name="_62__FDSAUDITLINK__" hidden="1">{"fdsup://directions/FAT Viewer?action=UPDATE&amp;creator=factSet&amp;DYN_ARGS=true&amp;DOC_NAME=FAT:RGA_ENTRPR_VAL_MV_SOURCE_WINDOW.FAT&amp;VAR:ID1=BBBY&amp;VAR:SDATE=20000128&amp;VAR:FDATE=19990226&amp;VAR:FREQ=DAILY&amp;VAR:RELITEM=&amp;VAR:CURRENCY=&amp;VAR:DB_TYPE=&amp;VAR:UNITS=M&amp;VAR:SHS_OUT_TY","PE=&amp;window=popup&amp;width=535&amp;height=425&amp;START_MAXIMIZED=FALSE&amp;Y=120"}</definedName>
    <definedName name="_63__FDSAUDITLINK__" localSheetId="5" hidden="1">{"fdsup://directions/FAT Viewer?action=UPDATE&amp;creator=factSet&amp;DYN_ARGS=true&amp;DOC_NAME=FAT:RGA_ENTRPR_VAL_MV_SOURCE_WINDOW.FAT&amp;VAR:ID1=BBBY&amp;VAR:SDATE=20000204&amp;VAR:FDATE=19990226&amp;VAR:FREQ=DAILY&amp;VAR:RELITEM=&amp;VAR:CURRENCY=&amp;VAR:DB_TYPE=&amp;VAR:UNITS=M&amp;VAR:SHS_OUT_TY","PE=&amp;window=popup&amp;width=535&amp;height=425&amp;START_MAXIMIZED=FALSE&amp;Y=120"}</definedName>
    <definedName name="_63__FDSAUDITLINK__" hidden="1">{"fdsup://directions/FAT Viewer?action=UPDATE&amp;creator=factSet&amp;DYN_ARGS=true&amp;DOC_NAME=FAT:RGA_ENTRPR_VAL_MV_SOURCE_WINDOW.FAT&amp;VAR:ID1=BBBY&amp;VAR:SDATE=20000204&amp;VAR:FDATE=19990226&amp;VAR:FREQ=DAILY&amp;VAR:RELITEM=&amp;VAR:CURRENCY=&amp;VAR:DB_TYPE=&amp;VAR:UNITS=M&amp;VAR:SHS_OUT_TY","PE=&amp;window=popup&amp;width=535&amp;height=425&amp;START_MAXIMIZED=FALSE&amp;Y=120"}</definedName>
    <definedName name="_64__FDSAUDITLINK__" localSheetId="5" hidden="1">{"fdsup://directions/FAT Viewer?action=UPDATE&amp;creator=factSet&amp;DYN_ARGS=true&amp;DOC_NAME=FAT:RGA_ENTRPR_VAL_MV_SOURCE_WINDOW.FAT&amp;VAR:ID1=BBBY&amp;VAR:SDATE=20000211&amp;VAR:FDATE=19990226&amp;VAR:FREQ=DAILY&amp;VAR:RELITEM=&amp;VAR:CURRENCY=&amp;VAR:DB_TYPE=&amp;VAR:UNITS=M&amp;VAR:SHS_OUT_TY","PE=&amp;window=popup&amp;width=535&amp;height=425&amp;START_MAXIMIZED=FALSE&amp;Y=120"}</definedName>
    <definedName name="_64__FDSAUDITLINK__" hidden="1">{"fdsup://directions/FAT Viewer?action=UPDATE&amp;creator=factSet&amp;DYN_ARGS=true&amp;DOC_NAME=FAT:RGA_ENTRPR_VAL_MV_SOURCE_WINDOW.FAT&amp;VAR:ID1=BBBY&amp;VAR:SDATE=20000211&amp;VAR:FDATE=19990226&amp;VAR:FREQ=DAILY&amp;VAR:RELITEM=&amp;VAR:CURRENCY=&amp;VAR:DB_TYPE=&amp;VAR:UNITS=M&amp;VAR:SHS_OUT_TY","PE=&amp;window=popup&amp;width=535&amp;height=425&amp;START_MAXIMIZED=FALSE&amp;Y=120"}</definedName>
    <definedName name="_65__FDSAUDITLINK__" localSheetId="5" hidden="1">{"fdsup://directions/FAT Viewer?action=UPDATE&amp;creator=factSet&amp;DYN_ARGS=true&amp;DOC_NAME=FAT:RGA_ENTRPR_VAL_MV_SOURCE_WINDOW.FAT&amp;VAR:ID1=BBBY&amp;VAR:SDATE=20000218&amp;VAR:FDATE=19990226&amp;VAR:FREQ=DAILY&amp;VAR:RELITEM=&amp;VAR:CURRENCY=&amp;VAR:DB_TYPE=&amp;VAR:UNITS=M&amp;VAR:SHS_OUT_TY","PE=&amp;window=popup&amp;width=535&amp;height=425&amp;START_MAXIMIZED=FALSE&amp;Y=120"}</definedName>
    <definedName name="_65__FDSAUDITLINK__" hidden="1">{"fdsup://directions/FAT Viewer?action=UPDATE&amp;creator=factSet&amp;DYN_ARGS=true&amp;DOC_NAME=FAT:RGA_ENTRPR_VAL_MV_SOURCE_WINDOW.FAT&amp;VAR:ID1=BBBY&amp;VAR:SDATE=20000218&amp;VAR:FDATE=19990226&amp;VAR:FREQ=DAILY&amp;VAR:RELITEM=&amp;VAR:CURRENCY=&amp;VAR:DB_TYPE=&amp;VAR:UNITS=M&amp;VAR:SHS_OUT_TY","PE=&amp;window=popup&amp;width=535&amp;height=425&amp;START_MAXIMIZED=FALSE&amp;Y=120"}</definedName>
    <definedName name="_66__FDSAUDITLINK__" localSheetId="5" hidden="1">{"fdsup://directions/FAT Viewer?action=UPDATE&amp;creator=factSet&amp;DYN_ARGS=true&amp;DOC_NAME=FAT:RGA_ENTRPR_VAL_MV_SOURCE_WINDOW.FAT&amp;VAR:ID1=BBBY&amp;VAR:SDATE=20000225&amp;VAR:FDATE=19990226&amp;VAR:FREQ=DAILY&amp;VAR:RELITEM=&amp;VAR:CURRENCY=&amp;VAR:DB_TYPE=&amp;VAR:UNITS=M&amp;VAR:SHS_OUT_TY","PE=&amp;window=popup&amp;width=535&amp;height=425&amp;START_MAXIMIZED=FALSE&amp;Y=120"}</definedName>
    <definedName name="_66__FDSAUDITLINK__" hidden="1">{"fdsup://directions/FAT Viewer?action=UPDATE&amp;creator=factSet&amp;DYN_ARGS=true&amp;DOC_NAME=FAT:RGA_ENTRPR_VAL_MV_SOURCE_WINDOW.FAT&amp;VAR:ID1=BBBY&amp;VAR:SDATE=20000225&amp;VAR:FDATE=19990226&amp;VAR:FREQ=DAILY&amp;VAR:RELITEM=&amp;VAR:CURRENCY=&amp;VAR:DB_TYPE=&amp;VAR:UNITS=M&amp;VAR:SHS_OUT_TY","PE=&amp;window=popup&amp;width=535&amp;height=425&amp;START_MAXIMIZED=FALSE&amp;Y=120"}</definedName>
    <definedName name="_67__FDSAUDITLINK__" localSheetId="5" hidden="1">{"fdsup://directions/FAT Viewer?action=UPDATE&amp;creator=factSet&amp;DYN_ARGS=true&amp;DOC_NAME=FAT:RGA_ENTRPR_VAL_MV_SOURCE_WINDOW.FAT&amp;VAR:ID1=BBBY&amp;VAR:SDATE=20000303&amp;VAR:FDATE=20000229&amp;VAR:FREQ=DAILY&amp;VAR:RELITEM=&amp;VAR:CURRENCY=&amp;VAR:DB_TYPE=&amp;VAR:UNITS=M&amp;VAR:SHS_OUT_TY","PE=&amp;window=popup&amp;width=535&amp;height=425&amp;START_MAXIMIZED=FALSE&amp;Y=120"}</definedName>
    <definedName name="_67__FDSAUDITLINK__" hidden="1">{"fdsup://directions/FAT Viewer?action=UPDATE&amp;creator=factSet&amp;DYN_ARGS=true&amp;DOC_NAME=FAT:RGA_ENTRPR_VAL_MV_SOURCE_WINDOW.FAT&amp;VAR:ID1=BBBY&amp;VAR:SDATE=20000303&amp;VAR:FDATE=20000229&amp;VAR:FREQ=DAILY&amp;VAR:RELITEM=&amp;VAR:CURRENCY=&amp;VAR:DB_TYPE=&amp;VAR:UNITS=M&amp;VAR:SHS_OUT_TY","PE=&amp;window=popup&amp;width=535&amp;height=425&amp;START_MAXIMIZED=FALSE&amp;Y=120"}</definedName>
    <definedName name="_68__FDSAUDITLINK__" localSheetId="5" hidden="1">{"fdsup://directions/FAT Viewer?action=UPDATE&amp;creator=factSet&amp;DYN_ARGS=true&amp;DOC_NAME=FAT:RGA_ENTRPR_VAL_MV_SOURCE_WINDOW.FAT&amp;VAR:ID1=BBBY&amp;VAR:SDATE=20000310&amp;VAR:FDATE=20000229&amp;VAR:FREQ=DAILY&amp;VAR:RELITEM=&amp;VAR:CURRENCY=&amp;VAR:DB_TYPE=&amp;VAR:UNITS=M&amp;VAR:SHS_OUT_TY","PE=&amp;window=popup&amp;width=535&amp;height=425&amp;START_MAXIMIZED=FALSE&amp;Y=120"}</definedName>
    <definedName name="_68__FDSAUDITLINK__" hidden="1">{"fdsup://directions/FAT Viewer?action=UPDATE&amp;creator=factSet&amp;DYN_ARGS=true&amp;DOC_NAME=FAT:RGA_ENTRPR_VAL_MV_SOURCE_WINDOW.FAT&amp;VAR:ID1=BBBY&amp;VAR:SDATE=20000310&amp;VAR:FDATE=20000229&amp;VAR:FREQ=DAILY&amp;VAR:RELITEM=&amp;VAR:CURRENCY=&amp;VAR:DB_TYPE=&amp;VAR:UNITS=M&amp;VAR:SHS_OUT_TY","PE=&amp;window=popup&amp;width=535&amp;height=425&amp;START_MAXIMIZED=FALSE&amp;Y=120"}</definedName>
    <definedName name="_69__FDSAUDITLINK__" localSheetId="5" hidden="1">{"fdsup://directions/FAT Viewer?action=UPDATE&amp;creator=factSet&amp;DYN_ARGS=true&amp;DOC_NAME=FAT:RGA_ENTRPR_VAL_MV_SOURCE_WINDOW.FAT&amp;VAR:ID1=BBBY&amp;VAR:SDATE=20000317&amp;VAR:FDATE=20000229&amp;VAR:FREQ=DAILY&amp;VAR:RELITEM=&amp;VAR:CURRENCY=&amp;VAR:DB_TYPE=&amp;VAR:UNITS=M&amp;VAR:SHS_OUT_TY","PE=&amp;window=popup&amp;width=535&amp;height=425&amp;START_MAXIMIZED=FALSE&amp;Y=120"}</definedName>
    <definedName name="_69__FDSAUDITLINK__" hidden="1">{"fdsup://directions/FAT Viewer?action=UPDATE&amp;creator=factSet&amp;DYN_ARGS=true&amp;DOC_NAME=FAT:RGA_ENTRPR_VAL_MV_SOURCE_WINDOW.FAT&amp;VAR:ID1=BBBY&amp;VAR:SDATE=20000317&amp;VAR:FDATE=20000229&amp;VAR:FREQ=DAILY&amp;VAR:RELITEM=&amp;VAR:CURRENCY=&amp;VAR:DB_TYPE=&amp;VAR:UNITS=M&amp;VAR:SHS_OUT_TY","PE=&amp;window=popup&amp;width=535&amp;height=425&amp;START_MAXIMIZED=FALSE&amp;Y=120"}</definedName>
    <definedName name="_7__FDSAUDITLINK__" localSheetId="5" hidden="1">{"fdsup://directions/FAT Viewer?action=UPDATE&amp;creator=factSet&amp;DYN_ARGS=true&amp;DOC_NAME=FAT:RGA_ENTRPR_VAL_MV_SOURCE_WINDOW.FAT&amp;VAR:ID1=BBBY&amp;VAR:SDATE=19990108&amp;VAR:FDATE=19980227&amp;VAR:FREQ=DAILY&amp;VAR:RELITEM=&amp;VAR:CURRENCY=&amp;VAR:DB_TYPE=&amp;VAR:UNITS=M&amp;VAR:SHS_OUT_TY","PE=&amp;window=popup&amp;width=535&amp;height=425&amp;START_MAXIMIZED=FALSE&amp;Y=120"}</definedName>
    <definedName name="_7__FDSAUDITLINK__" hidden="1">{"fdsup://directions/FAT Viewer?action=UPDATE&amp;creator=factSet&amp;DYN_ARGS=true&amp;DOC_NAME=FAT:RGA_ENTRPR_VAL_MV_SOURCE_WINDOW.FAT&amp;VAR:ID1=BBBY&amp;VAR:SDATE=19990108&amp;VAR:FDATE=19980227&amp;VAR:FREQ=DAILY&amp;VAR:RELITEM=&amp;VAR:CURRENCY=&amp;VAR:DB_TYPE=&amp;VAR:UNITS=M&amp;VAR:SHS_OUT_TY","PE=&amp;window=popup&amp;width=535&amp;height=425&amp;START_MAXIMIZED=FALSE&amp;Y=120"}</definedName>
    <definedName name="_70__FDSAUDITLINK__" localSheetId="5" hidden="1">{"fdsup://directions/FAT Viewer?action=UPDATE&amp;creator=factSet&amp;DYN_ARGS=true&amp;DOC_NAME=FAT:RGA_ENTRPR_VAL_MV_SOURCE_WINDOW.FAT&amp;VAR:ID1=BBBY&amp;VAR:SDATE=20000324&amp;VAR:FDATE=20000229&amp;VAR:FREQ=DAILY&amp;VAR:RELITEM=&amp;VAR:CURRENCY=&amp;VAR:DB_TYPE=&amp;VAR:UNITS=M&amp;VAR:SHS_OUT_TY","PE=&amp;window=popup&amp;width=535&amp;height=425&amp;START_MAXIMIZED=FALSE&amp;Y=120"}</definedName>
    <definedName name="_70__FDSAUDITLINK__" hidden="1">{"fdsup://directions/FAT Viewer?action=UPDATE&amp;creator=factSet&amp;DYN_ARGS=true&amp;DOC_NAME=FAT:RGA_ENTRPR_VAL_MV_SOURCE_WINDOW.FAT&amp;VAR:ID1=BBBY&amp;VAR:SDATE=20000324&amp;VAR:FDATE=20000229&amp;VAR:FREQ=DAILY&amp;VAR:RELITEM=&amp;VAR:CURRENCY=&amp;VAR:DB_TYPE=&amp;VAR:UNITS=M&amp;VAR:SHS_OUT_TY","PE=&amp;window=popup&amp;width=535&amp;height=425&amp;START_MAXIMIZED=FALSE&amp;Y=120"}</definedName>
    <definedName name="_71__FDSAUDITLINK__" localSheetId="5" hidden="1">{"fdsup://directions/FAT Viewer?action=UPDATE&amp;creator=factSet&amp;DYN_ARGS=true&amp;DOC_NAME=FAT:RGA_ENTRPR_VAL_MV_SOURCE_WINDOW.FAT&amp;VAR:ID1=BBBY&amp;VAR:SDATE=20000331&amp;VAR:FDATE=20000229&amp;VAR:FREQ=DAILY&amp;VAR:RELITEM=&amp;VAR:CURRENCY=&amp;VAR:DB_TYPE=&amp;VAR:UNITS=M&amp;VAR:SHS_OUT_TY","PE=&amp;window=popup&amp;width=535&amp;height=425&amp;START_MAXIMIZED=FALSE&amp;Y=120"}</definedName>
    <definedName name="_71__FDSAUDITLINK__" hidden="1">{"fdsup://directions/FAT Viewer?action=UPDATE&amp;creator=factSet&amp;DYN_ARGS=true&amp;DOC_NAME=FAT:RGA_ENTRPR_VAL_MV_SOURCE_WINDOW.FAT&amp;VAR:ID1=BBBY&amp;VAR:SDATE=20000331&amp;VAR:FDATE=20000229&amp;VAR:FREQ=DAILY&amp;VAR:RELITEM=&amp;VAR:CURRENCY=&amp;VAR:DB_TYPE=&amp;VAR:UNITS=M&amp;VAR:SHS_OUT_TY","PE=&amp;window=popup&amp;width=535&amp;height=425&amp;START_MAXIMIZED=FALSE&amp;Y=120"}</definedName>
    <definedName name="_72__FDSAUDITLINK__" localSheetId="5" hidden="1">{"fdsup://directions/FAT Viewer?action=UPDATE&amp;creator=factSet&amp;DYN_ARGS=true&amp;DOC_NAME=FAT:RGA_ENTRPR_VAL_MV_SOURCE_WINDOW.FAT&amp;VAR:ID1=BBBY&amp;VAR:SDATE=20000407&amp;VAR:FDATE=20000229&amp;VAR:FREQ=DAILY&amp;VAR:RELITEM=&amp;VAR:CURRENCY=&amp;VAR:DB_TYPE=&amp;VAR:UNITS=M&amp;VAR:SHS_OUT_TY","PE=&amp;window=popup&amp;width=535&amp;height=425&amp;START_MAXIMIZED=FALSE&amp;Y=120"}</definedName>
    <definedName name="_72__FDSAUDITLINK__" hidden="1">{"fdsup://directions/FAT Viewer?action=UPDATE&amp;creator=factSet&amp;DYN_ARGS=true&amp;DOC_NAME=FAT:RGA_ENTRPR_VAL_MV_SOURCE_WINDOW.FAT&amp;VAR:ID1=BBBY&amp;VAR:SDATE=20000407&amp;VAR:FDATE=20000229&amp;VAR:FREQ=DAILY&amp;VAR:RELITEM=&amp;VAR:CURRENCY=&amp;VAR:DB_TYPE=&amp;VAR:UNITS=M&amp;VAR:SHS_OUT_TY","PE=&amp;window=popup&amp;width=535&amp;height=425&amp;START_MAXIMIZED=FALSE&amp;Y=120"}</definedName>
    <definedName name="_73__FDSAUDITLINK__" localSheetId="5" hidden="1">{"fdsup://directions/FAT Viewer?action=UPDATE&amp;creator=factSet&amp;DYN_ARGS=true&amp;DOC_NAME=FAT:RGA_ENTRPR_VAL_MV_SOURCE_WINDOW.FAT&amp;VAR:ID1=BBBY&amp;VAR:SDATE=20000414&amp;VAR:FDATE=20000229&amp;VAR:FREQ=DAILY&amp;VAR:RELITEM=&amp;VAR:CURRENCY=&amp;VAR:DB_TYPE=&amp;VAR:UNITS=M&amp;VAR:SHS_OUT_TY","PE=&amp;window=popup&amp;width=535&amp;height=425&amp;START_MAXIMIZED=FALSE&amp;Y=120"}</definedName>
    <definedName name="_73__FDSAUDITLINK__" hidden="1">{"fdsup://directions/FAT Viewer?action=UPDATE&amp;creator=factSet&amp;DYN_ARGS=true&amp;DOC_NAME=FAT:RGA_ENTRPR_VAL_MV_SOURCE_WINDOW.FAT&amp;VAR:ID1=BBBY&amp;VAR:SDATE=20000414&amp;VAR:FDATE=20000229&amp;VAR:FREQ=DAILY&amp;VAR:RELITEM=&amp;VAR:CURRENCY=&amp;VAR:DB_TYPE=&amp;VAR:UNITS=M&amp;VAR:SHS_OUT_TY","PE=&amp;window=popup&amp;width=535&amp;height=425&amp;START_MAXIMIZED=FALSE&amp;Y=120"}</definedName>
    <definedName name="_74__FDSAUDITLINK__" localSheetId="5" hidden="1">{"fdsup://directions/FAT Viewer?action=UPDATE&amp;creator=factSet&amp;DYN_ARGS=true&amp;DOC_NAME=FAT:RGA_ENTRPR_VAL_MV_SOURCE_WINDOW.FAT&amp;VAR:ID1=BBBY&amp;VAR:SDATE=20000420&amp;VAR:FDATE=20000229&amp;VAR:FREQ=DAILY&amp;VAR:RELITEM=&amp;VAR:CURRENCY=&amp;VAR:DB_TYPE=&amp;VAR:UNITS=M&amp;VAR:SHS_OUT_TY","PE=&amp;window=popup&amp;width=535&amp;height=425&amp;START_MAXIMIZED=FALSE&amp;Y=120"}</definedName>
    <definedName name="_74__FDSAUDITLINK__" hidden="1">{"fdsup://directions/FAT Viewer?action=UPDATE&amp;creator=factSet&amp;DYN_ARGS=true&amp;DOC_NAME=FAT:RGA_ENTRPR_VAL_MV_SOURCE_WINDOW.FAT&amp;VAR:ID1=BBBY&amp;VAR:SDATE=20000420&amp;VAR:FDATE=20000229&amp;VAR:FREQ=DAILY&amp;VAR:RELITEM=&amp;VAR:CURRENCY=&amp;VAR:DB_TYPE=&amp;VAR:UNITS=M&amp;VAR:SHS_OUT_TY","PE=&amp;window=popup&amp;width=535&amp;height=425&amp;START_MAXIMIZED=FALSE&amp;Y=120"}</definedName>
    <definedName name="_75__FDSAUDITLINK__" localSheetId="5" hidden="1">{"fdsup://directions/FAT Viewer?action=UPDATE&amp;creator=factSet&amp;DYN_ARGS=true&amp;DOC_NAME=FAT:RGA_ENTRPR_VAL_MV_SOURCE_WINDOW.FAT&amp;VAR:ID1=BBBY&amp;VAR:SDATE=20000428&amp;VAR:FDATE=20000229&amp;VAR:FREQ=DAILY&amp;VAR:RELITEM=&amp;VAR:CURRENCY=&amp;VAR:DB_TYPE=&amp;VAR:UNITS=M&amp;VAR:SHS_OUT_TY","PE=&amp;window=popup&amp;width=535&amp;height=425&amp;START_MAXIMIZED=FALSE&amp;Y=120"}</definedName>
    <definedName name="_75__FDSAUDITLINK__" hidden="1">{"fdsup://directions/FAT Viewer?action=UPDATE&amp;creator=factSet&amp;DYN_ARGS=true&amp;DOC_NAME=FAT:RGA_ENTRPR_VAL_MV_SOURCE_WINDOW.FAT&amp;VAR:ID1=BBBY&amp;VAR:SDATE=20000428&amp;VAR:FDATE=20000229&amp;VAR:FREQ=DAILY&amp;VAR:RELITEM=&amp;VAR:CURRENCY=&amp;VAR:DB_TYPE=&amp;VAR:UNITS=M&amp;VAR:SHS_OUT_TY","PE=&amp;window=popup&amp;width=535&amp;height=425&amp;START_MAXIMIZED=FALSE&amp;Y=120"}</definedName>
    <definedName name="_76__FDSAUDITLINK__" localSheetId="5" hidden="1">{"fdsup://directions/FAT Viewer?action=UPDATE&amp;creator=factSet&amp;DYN_ARGS=true&amp;DOC_NAME=FAT:RGA_ENTRPR_VAL_MV_SOURCE_WINDOW.FAT&amp;VAR:ID1=BBBY&amp;VAR:SDATE=20000505&amp;VAR:FDATE=20000229&amp;VAR:FREQ=DAILY&amp;VAR:RELITEM=&amp;VAR:CURRENCY=&amp;VAR:DB_TYPE=&amp;VAR:UNITS=M&amp;VAR:SHS_OUT_TY","PE=&amp;window=popup&amp;width=535&amp;height=425&amp;START_MAXIMIZED=FALSE&amp;Y=120"}</definedName>
    <definedName name="_76__FDSAUDITLINK__" hidden="1">{"fdsup://directions/FAT Viewer?action=UPDATE&amp;creator=factSet&amp;DYN_ARGS=true&amp;DOC_NAME=FAT:RGA_ENTRPR_VAL_MV_SOURCE_WINDOW.FAT&amp;VAR:ID1=BBBY&amp;VAR:SDATE=20000505&amp;VAR:FDATE=20000229&amp;VAR:FREQ=DAILY&amp;VAR:RELITEM=&amp;VAR:CURRENCY=&amp;VAR:DB_TYPE=&amp;VAR:UNITS=M&amp;VAR:SHS_OUT_TY","PE=&amp;window=popup&amp;width=535&amp;height=425&amp;START_MAXIMIZED=FALSE&amp;Y=120"}</definedName>
    <definedName name="_77__FDSAUDITLINK__" localSheetId="5" hidden="1">{"fdsup://directions/FAT Viewer?action=UPDATE&amp;creator=factSet&amp;DYN_ARGS=true&amp;DOC_NAME=FAT:RGA_ENTRPR_VAL_MV_SOURCE_WINDOW.FAT&amp;VAR:ID1=BBBY&amp;VAR:SDATE=20000512&amp;VAR:FDATE=20000229&amp;VAR:FREQ=DAILY&amp;VAR:RELITEM=&amp;VAR:CURRENCY=&amp;VAR:DB_TYPE=&amp;VAR:UNITS=M&amp;VAR:SHS_OUT_TY","PE=&amp;window=popup&amp;width=535&amp;height=425&amp;START_MAXIMIZED=FALSE&amp;Y=120"}</definedName>
    <definedName name="_77__FDSAUDITLINK__" hidden="1">{"fdsup://directions/FAT Viewer?action=UPDATE&amp;creator=factSet&amp;DYN_ARGS=true&amp;DOC_NAME=FAT:RGA_ENTRPR_VAL_MV_SOURCE_WINDOW.FAT&amp;VAR:ID1=BBBY&amp;VAR:SDATE=20000512&amp;VAR:FDATE=20000229&amp;VAR:FREQ=DAILY&amp;VAR:RELITEM=&amp;VAR:CURRENCY=&amp;VAR:DB_TYPE=&amp;VAR:UNITS=M&amp;VAR:SHS_OUT_TY","PE=&amp;window=popup&amp;width=535&amp;height=425&amp;START_MAXIMIZED=FALSE&amp;Y=120"}</definedName>
    <definedName name="_78__FDSAUDITLINK__" localSheetId="5" hidden="1">{"fdsup://directions/FAT Viewer?action=UPDATE&amp;creator=factSet&amp;DYN_ARGS=true&amp;DOC_NAME=FAT:RGA_ENTRPR_VAL_MV_SOURCE_WINDOW.FAT&amp;VAR:ID1=BBBY&amp;VAR:SDATE=20000519&amp;VAR:FDATE=20000229&amp;VAR:FREQ=DAILY&amp;VAR:RELITEM=&amp;VAR:CURRENCY=&amp;VAR:DB_TYPE=&amp;VAR:UNITS=M&amp;VAR:SHS_OUT_TY","PE=&amp;window=popup&amp;width=535&amp;height=425&amp;START_MAXIMIZED=FALSE&amp;Y=120"}</definedName>
    <definedName name="_78__FDSAUDITLINK__" hidden="1">{"fdsup://directions/FAT Viewer?action=UPDATE&amp;creator=factSet&amp;DYN_ARGS=true&amp;DOC_NAME=FAT:RGA_ENTRPR_VAL_MV_SOURCE_WINDOW.FAT&amp;VAR:ID1=BBBY&amp;VAR:SDATE=20000519&amp;VAR:FDATE=20000229&amp;VAR:FREQ=DAILY&amp;VAR:RELITEM=&amp;VAR:CURRENCY=&amp;VAR:DB_TYPE=&amp;VAR:UNITS=M&amp;VAR:SHS_OUT_TY","PE=&amp;window=popup&amp;width=535&amp;height=425&amp;START_MAXIMIZED=FALSE&amp;Y=120"}</definedName>
    <definedName name="_79__FDSAUDITLINK__" localSheetId="5" hidden="1">{"fdsup://directions/FAT Viewer?action=UPDATE&amp;creator=factSet&amp;DYN_ARGS=true&amp;DOC_NAME=FAT:RGA_ENTRPR_VAL_MV_SOURCE_WINDOW.FAT&amp;VAR:ID1=BBBY&amp;VAR:SDATE=20000526&amp;VAR:FDATE=20000229&amp;VAR:FREQ=DAILY&amp;VAR:RELITEM=&amp;VAR:CURRENCY=&amp;VAR:DB_TYPE=&amp;VAR:UNITS=M&amp;VAR:SHS_OUT_TY","PE=&amp;window=popup&amp;width=535&amp;height=425&amp;START_MAXIMIZED=FALSE&amp;Y=120"}</definedName>
    <definedName name="_79__FDSAUDITLINK__" hidden="1">{"fdsup://directions/FAT Viewer?action=UPDATE&amp;creator=factSet&amp;DYN_ARGS=true&amp;DOC_NAME=FAT:RGA_ENTRPR_VAL_MV_SOURCE_WINDOW.FAT&amp;VAR:ID1=BBBY&amp;VAR:SDATE=20000526&amp;VAR:FDATE=20000229&amp;VAR:FREQ=DAILY&amp;VAR:RELITEM=&amp;VAR:CURRENCY=&amp;VAR:DB_TYPE=&amp;VAR:UNITS=M&amp;VAR:SHS_OUT_TY","PE=&amp;window=popup&amp;width=535&amp;height=425&amp;START_MAXIMIZED=FALSE&amp;Y=120"}</definedName>
    <definedName name="_8__FDSAUDITLINK__" localSheetId="5" hidden="1">{"fdsup://directions/FAT Viewer?action=UPDATE&amp;creator=factSet&amp;DYN_ARGS=true&amp;DOC_NAME=FAT:RGA_ENTRPR_VAL_MV_SOURCE_WINDOW.FAT&amp;VAR:ID1=BBBY&amp;VAR:SDATE=19990115&amp;VAR:FDATE=19980227&amp;VAR:FREQ=DAILY&amp;VAR:RELITEM=&amp;VAR:CURRENCY=&amp;VAR:DB_TYPE=&amp;VAR:UNITS=M&amp;VAR:SHS_OUT_TY","PE=&amp;window=popup&amp;width=535&amp;height=425&amp;START_MAXIMIZED=FALSE&amp;Y=120"}</definedName>
    <definedName name="_8__FDSAUDITLINK__" hidden="1">{"fdsup://directions/FAT Viewer?action=UPDATE&amp;creator=factSet&amp;DYN_ARGS=true&amp;DOC_NAME=FAT:RGA_ENTRPR_VAL_MV_SOURCE_WINDOW.FAT&amp;VAR:ID1=BBBY&amp;VAR:SDATE=19990115&amp;VAR:FDATE=19980227&amp;VAR:FREQ=DAILY&amp;VAR:RELITEM=&amp;VAR:CURRENCY=&amp;VAR:DB_TYPE=&amp;VAR:UNITS=M&amp;VAR:SHS_OUT_TY","PE=&amp;window=popup&amp;width=535&amp;height=425&amp;START_MAXIMIZED=FALSE&amp;Y=120"}</definedName>
    <definedName name="_80__FDSAUDITLINK__" localSheetId="5" hidden="1">{"fdsup://directions/FAT Viewer?action=UPDATE&amp;creator=factSet&amp;DYN_ARGS=true&amp;DOC_NAME=FAT:RGA_ENTRPR_VAL_MV_SOURCE_WINDOW.FAT&amp;VAR:ID1=BBBY&amp;VAR:SDATE=20000602&amp;VAR:FDATE=20000229&amp;VAR:FREQ=DAILY&amp;VAR:RELITEM=&amp;VAR:CURRENCY=&amp;VAR:DB_TYPE=&amp;VAR:UNITS=M&amp;VAR:SHS_OUT_TY","PE=&amp;window=popup&amp;width=535&amp;height=425&amp;START_MAXIMIZED=FALSE&amp;Y=120"}</definedName>
    <definedName name="_80__FDSAUDITLINK__" hidden="1">{"fdsup://directions/FAT Viewer?action=UPDATE&amp;creator=factSet&amp;DYN_ARGS=true&amp;DOC_NAME=FAT:RGA_ENTRPR_VAL_MV_SOURCE_WINDOW.FAT&amp;VAR:ID1=BBBY&amp;VAR:SDATE=20000602&amp;VAR:FDATE=20000229&amp;VAR:FREQ=DAILY&amp;VAR:RELITEM=&amp;VAR:CURRENCY=&amp;VAR:DB_TYPE=&amp;VAR:UNITS=M&amp;VAR:SHS_OUT_TY","PE=&amp;window=popup&amp;width=535&amp;height=425&amp;START_MAXIMIZED=FALSE&amp;Y=120"}</definedName>
    <definedName name="_81__FDSAUDITLINK__" localSheetId="5" hidden="1">{"fdsup://directions/FAT Viewer?action=UPDATE&amp;creator=factSet&amp;DYN_ARGS=true&amp;DOC_NAME=FAT:RGA_ENTRPR_VAL_MV_SOURCE_WINDOW.FAT&amp;VAR:ID1=BBBY&amp;VAR:SDATE=20000609&amp;VAR:FDATE=20000229&amp;VAR:FREQ=DAILY&amp;VAR:RELITEM=&amp;VAR:CURRENCY=&amp;VAR:DB_TYPE=&amp;VAR:UNITS=M&amp;VAR:SHS_OUT_TY","PE=&amp;window=popup&amp;width=535&amp;height=425&amp;START_MAXIMIZED=FALSE&amp;Y=120"}</definedName>
    <definedName name="_81__FDSAUDITLINK__" hidden="1">{"fdsup://directions/FAT Viewer?action=UPDATE&amp;creator=factSet&amp;DYN_ARGS=true&amp;DOC_NAME=FAT:RGA_ENTRPR_VAL_MV_SOURCE_WINDOW.FAT&amp;VAR:ID1=BBBY&amp;VAR:SDATE=20000609&amp;VAR:FDATE=20000229&amp;VAR:FREQ=DAILY&amp;VAR:RELITEM=&amp;VAR:CURRENCY=&amp;VAR:DB_TYPE=&amp;VAR:UNITS=M&amp;VAR:SHS_OUT_TY","PE=&amp;window=popup&amp;width=535&amp;height=425&amp;START_MAXIMIZED=FALSE&amp;Y=120"}</definedName>
    <definedName name="_82__FDSAUDITLINK__" localSheetId="5" hidden="1">{"fdsup://directions/FAT Viewer?action=UPDATE&amp;creator=factSet&amp;DYN_ARGS=true&amp;DOC_NAME=FAT:RGA_ENTRPR_VAL_MV_SOURCE_WINDOW.FAT&amp;VAR:ID1=BBBY&amp;VAR:SDATE=20000616&amp;VAR:FDATE=20000229&amp;VAR:FREQ=DAILY&amp;VAR:RELITEM=&amp;VAR:CURRENCY=&amp;VAR:DB_TYPE=&amp;VAR:UNITS=M&amp;VAR:SHS_OUT_TY","PE=&amp;window=popup&amp;width=535&amp;height=425&amp;START_MAXIMIZED=FALSE&amp;Y=120"}</definedName>
    <definedName name="_82__FDSAUDITLINK__" hidden="1">{"fdsup://directions/FAT Viewer?action=UPDATE&amp;creator=factSet&amp;DYN_ARGS=true&amp;DOC_NAME=FAT:RGA_ENTRPR_VAL_MV_SOURCE_WINDOW.FAT&amp;VAR:ID1=BBBY&amp;VAR:SDATE=20000616&amp;VAR:FDATE=20000229&amp;VAR:FREQ=DAILY&amp;VAR:RELITEM=&amp;VAR:CURRENCY=&amp;VAR:DB_TYPE=&amp;VAR:UNITS=M&amp;VAR:SHS_OUT_TY","PE=&amp;window=popup&amp;width=535&amp;height=425&amp;START_MAXIMIZED=FALSE&amp;Y=120"}</definedName>
    <definedName name="_83__FDSAUDITLINK__" localSheetId="5" hidden="1">{"fdsup://directions/FAT Viewer?action=UPDATE&amp;creator=factSet&amp;DYN_ARGS=true&amp;DOC_NAME=FAT:RGA_ENTRPR_VAL_MV_SOURCE_WINDOW.FAT&amp;VAR:ID1=BBBY&amp;VAR:SDATE=20000623&amp;VAR:FDATE=20000229&amp;VAR:FREQ=DAILY&amp;VAR:RELITEM=&amp;VAR:CURRENCY=&amp;VAR:DB_TYPE=&amp;VAR:UNITS=M&amp;VAR:SHS_OUT_TY","PE=&amp;window=popup&amp;width=535&amp;height=425&amp;START_MAXIMIZED=FALSE&amp;Y=120"}</definedName>
    <definedName name="_83__FDSAUDITLINK__" hidden="1">{"fdsup://directions/FAT Viewer?action=UPDATE&amp;creator=factSet&amp;DYN_ARGS=true&amp;DOC_NAME=FAT:RGA_ENTRPR_VAL_MV_SOURCE_WINDOW.FAT&amp;VAR:ID1=BBBY&amp;VAR:SDATE=20000623&amp;VAR:FDATE=20000229&amp;VAR:FREQ=DAILY&amp;VAR:RELITEM=&amp;VAR:CURRENCY=&amp;VAR:DB_TYPE=&amp;VAR:UNITS=M&amp;VAR:SHS_OUT_TY","PE=&amp;window=popup&amp;width=535&amp;height=425&amp;START_MAXIMIZED=FALSE&amp;Y=120"}</definedName>
    <definedName name="_84__FDSAUDITLINK__" localSheetId="5" hidden="1">{"fdsup://directions/FAT Viewer?action=UPDATE&amp;creator=factSet&amp;DYN_ARGS=true&amp;DOC_NAME=FAT:RGA_ENTRPR_VAL_MV_SOURCE_WINDOW.FAT&amp;VAR:ID1=BBBY&amp;VAR:SDATE=20000630&amp;VAR:FDATE=20000229&amp;VAR:FREQ=DAILY&amp;VAR:RELITEM=&amp;VAR:CURRENCY=&amp;VAR:DB_TYPE=&amp;VAR:UNITS=M&amp;VAR:SHS_OUT_TY","PE=&amp;window=popup&amp;width=535&amp;height=425&amp;START_MAXIMIZED=FALSE&amp;Y=120"}</definedName>
    <definedName name="_84__FDSAUDITLINK__" hidden="1">{"fdsup://directions/FAT Viewer?action=UPDATE&amp;creator=factSet&amp;DYN_ARGS=true&amp;DOC_NAME=FAT:RGA_ENTRPR_VAL_MV_SOURCE_WINDOW.FAT&amp;VAR:ID1=BBBY&amp;VAR:SDATE=20000630&amp;VAR:FDATE=20000229&amp;VAR:FREQ=DAILY&amp;VAR:RELITEM=&amp;VAR:CURRENCY=&amp;VAR:DB_TYPE=&amp;VAR:UNITS=M&amp;VAR:SHS_OUT_TY","PE=&amp;window=popup&amp;width=535&amp;height=425&amp;START_MAXIMIZED=FALSE&amp;Y=120"}</definedName>
    <definedName name="_85__FDSAUDITLINK__" localSheetId="5" hidden="1">{"fdsup://directions/FAT Viewer?action=UPDATE&amp;creator=factSet&amp;DYN_ARGS=true&amp;DOC_NAME=FAT:RGA_ENTRPR_VAL_MV_SOURCE_WINDOW.FAT&amp;VAR:ID1=BBBY&amp;VAR:SDATE=20000707&amp;VAR:FDATE=20000229&amp;VAR:FREQ=DAILY&amp;VAR:RELITEM=&amp;VAR:CURRENCY=&amp;VAR:DB_TYPE=&amp;VAR:UNITS=M&amp;VAR:SHS_OUT_TY","PE=&amp;window=popup&amp;width=535&amp;height=425&amp;START_MAXIMIZED=FALSE&amp;Y=120"}</definedName>
    <definedName name="_85__FDSAUDITLINK__" hidden="1">{"fdsup://directions/FAT Viewer?action=UPDATE&amp;creator=factSet&amp;DYN_ARGS=true&amp;DOC_NAME=FAT:RGA_ENTRPR_VAL_MV_SOURCE_WINDOW.FAT&amp;VAR:ID1=BBBY&amp;VAR:SDATE=20000707&amp;VAR:FDATE=20000229&amp;VAR:FREQ=DAILY&amp;VAR:RELITEM=&amp;VAR:CURRENCY=&amp;VAR:DB_TYPE=&amp;VAR:UNITS=M&amp;VAR:SHS_OUT_TY","PE=&amp;window=popup&amp;width=535&amp;height=425&amp;START_MAXIMIZED=FALSE&amp;Y=120"}</definedName>
    <definedName name="_86__FDSAUDITLINK__" localSheetId="5" hidden="1">{"fdsup://directions/FAT Viewer?action=UPDATE&amp;creator=factSet&amp;DYN_ARGS=true&amp;DOC_NAME=FAT:RGA_ENTRPR_VAL_MV_SOURCE_WINDOW.FAT&amp;VAR:ID1=BBBY&amp;VAR:SDATE=20000714&amp;VAR:FDATE=20000229&amp;VAR:FREQ=DAILY&amp;VAR:RELITEM=&amp;VAR:CURRENCY=&amp;VAR:DB_TYPE=&amp;VAR:UNITS=M&amp;VAR:SHS_OUT_TY","PE=&amp;window=popup&amp;width=535&amp;height=425&amp;START_MAXIMIZED=FALSE&amp;Y=120"}</definedName>
    <definedName name="_86__FDSAUDITLINK__" hidden="1">{"fdsup://directions/FAT Viewer?action=UPDATE&amp;creator=factSet&amp;DYN_ARGS=true&amp;DOC_NAME=FAT:RGA_ENTRPR_VAL_MV_SOURCE_WINDOW.FAT&amp;VAR:ID1=BBBY&amp;VAR:SDATE=20000714&amp;VAR:FDATE=20000229&amp;VAR:FREQ=DAILY&amp;VAR:RELITEM=&amp;VAR:CURRENCY=&amp;VAR:DB_TYPE=&amp;VAR:UNITS=M&amp;VAR:SHS_OUT_TY","PE=&amp;window=popup&amp;width=535&amp;height=425&amp;START_MAXIMIZED=FALSE&amp;Y=120"}</definedName>
    <definedName name="_87__FDSAUDITLINK__" localSheetId="5" hidden="1">{"fdsup://directions/FAT Viewer?action=UPDATE&amp;creator=factSet&amp;DYN_ARGS=true&amp;DOC_NAME=FAT:RGA_ENTRPR_VAL_MV_SOURCE_WINDOW.FAT&amp;VAR:ID1=BBBY&amp;VAR:SDATE=20000721&amp;VAR:FDATE=20000229&amp;VAR:FREQ=DAILY&amp;VAR:RELITEM=&amp;VAR:CURRENCY=&amp;VAR:DB_TYPE=&amp;VAR:UNITS=M&amp;VAR:SHS_OUT_TY","PE=&amp;window=popup&amp;width=535&amp;height=425&amp;START_MAXIMIZED=FALSE&amp;Y=120"}</definedName>
    <definedName name="_87__FDSAUDITLINK__" hidden="1">{"fdsup://directions/FAT Viewer?action=UPDATE&amp;creator=factSet&amp;DYN_ARGS=true&amp;DOC_NAME=FAT:RGA_ENTRPR_VAL_MV_SOURCE_WINDOW.FAT&amp;VAR:ID1=BBBY&amp;VAR:SDATE=20000721&amp;VAR:FDATE=20000229&amp;VAR:FREQ=DAILY&amp;VAR:RELITEM=&amp;VAR:CURRENCY=&amp;VAR:DB_TYPE=&amp;VAR:UNITS=M&amp;VAR:SHS_OUT_TY","PE=&amp;window=popup&amp;width=535&amp;height=425&amp;START_MAXIMIZED=FALSE&amp;Y=120"}</definedName>
    <definedName name="_88__FDSAUDITLINK__" localSheetId="5" hidden="1">{"fdsup://directions/FAT Viewer?action=UPDATE&amp;creator=factSet&amp;DYN_ARGS=true&amp;DOC_NAME=FAT:RGA_ENTRPR_VAL_MV_SOURCE_WINDOW.FAT&amp;VAR:ID1=BBBY&amp;VAR:SDATE=20000728&amp;VAR:FDATE=20000229&amp;VAR:FREQ=DAILY&amp;VAR:RELITEM=&amp;VAR:CURRENCY=&amp;VAR:DB_TYPE=&amp;VAR:UNITS=M&amp;VAR:SHS_OUT_TY","PE=&amp;window=popup&amp;width=535&amp;height=425&amp;START_MAXIMIZED=FALSE&amp;Y=120"}</definedName>
    <definedName name="_88__FDSAUDITLINK__" hidden="1">{"fdsup://directions/FAT Viewer?action=UPDATE&amp;creator=factSet&amp;DYN_ARGS=true&amp;DOC_NAME=FAT:RGA_ENTRPR_VAL_MV_SOURCE_WINDOW.FAT&amp;VAR:ID1=BBBY&amp;VAR:SDATE=20000728&amp;VAR:FDATE=20000229&amp;VAR:FREQ=DAILY&amp;VAR:RELITEM=&amp;VAR:CURRENCY=&amp;VAR:DB_TYPE=&amp;VAR:UNITS=M&amp;VAR:SHS_OUT_TY","PE=&amp;window=popup&amp;width=535&amp;height=425&amp;START_MAXIMIZED=FALSE&amp;Y=120"}</definedName>
    <definedName name="_89__FDSAUDITLINK__" localSheetId="5" hidden="1">{"fdsup://directions/FAT Viewer?action=UPDATE&amp;creator=factSet&amp;DYN_ARGS=true&amp;DOC_NAME=FAT:RGA_ENTRPR_VAL_MV_SOURCE_WINDOW.FAT&amp;VAR:ID1=BBBY&amp;VAR:SDATE=20000804&amp;VAR:FDATE=20000229&amp;VAR:FREQ=DAILY&amp;VAR:RELITEM=&amp;VAR:CURRENCY=&amp;VAR:DB_TYPE=&amp;VAR:UNITS=M&amp;VAR:SHS_OUT_TY","PE=&amp;window=popup&amp;width=535&amp;height=425&amp;START_MAXIMIZED=FALSE&amp;Y=120"}</definedName>
    <definedName name="_89__FDSAUDITLINK__" hidden="1">{"fdsup://directions/FAT Viewer?action=UPDATE&amp;creator=factSet&amp;DYN_ARGS=true&amp;DOC_NAME=FAT:RGA_ENTRPR_VAL_MV_SOURCE_WINDOW.FAT&amp;VAR:ID1=BBBY&amp;VAR:SDATE=20000804&amp;VAR:FDATE=20000229&amp;VAR:FREQ=DAILY&amp;VAR:RELITEM=&amp;VAR:CURRENCY=&amp;VAR:DB_TYPE=&amp;VAR:UNITS=M&amp;VAR:SHS_OUT_TY","PE=&amp;window=popup&amp;width=535&amp;height=425&amp;START_MAXIMIZED=FALSE&amp;Y=120"}</definedName>
    <definedName name="_9__FDSAUDITLINK__" localSheetId="5" hidden="1">{"fdsup://directions/FAT Viewer?action=UPDATE&amp;creator=factSet&amp;DYN_ARGS=true&amp;DOC_NAME=FAT:RGA_ENTRPR_VAL_MV_SOURCE_WINDOW.FAT&amp;VAR:ID1=BBBY&amp;VAR:SDATE=19990122&amp;VAR:FDATE=19980227&amp;VAR:FREQ=DAILY&amp;VAR:RELITEM=&amp;VAR:CURRENCY=&amp;VAR:DB_TYPE=&amp;VAR:UNITS=M&amp;VAR:SHS_OUT_TY","PE=&amp;window=popup&amp;width=535&amp;height=425&amp;START_MAXIMIZED=FALSE&amp;Y=120"}</definedName>
    <definedName name="_9__FDSAUDITLINK__" hidden="1">{"fdsup://directions/FAT Viewer?action=UPDATE&amp;creator=factSet&amp;DYN_ARGS=true&amp;DOC_NAME=FAT:RGA_ENTRPR_VAL_MV_SOURCE_WINDOW.FAT&amp;VAR:ID1=BBBY&amp;VAR:SDATE=19990122&amp;VAR:FDATE=19980227&amp;VAR:FREQ=DAILY&amp;VAR:RELITEM=&amp;VAR:CURRENCY=&amp;VAR:DB_TYPE=&amp;VAR:UNITS=M&amp;VAR:SHS_OUT_TY","PE=&amp;window=popup&amp;width=535&amp;height=425&amp;START_MAXIMIZED=FALSE&amp;Y=120"}</definedName>
    <definedName name="_90__FDSAUDITLINK__" localSheetId="5" hidden="1">{"fdsup://directions/FAT Viewer?action=UPDATE&amp;creator=factSet&amp;DYN_ARGS=true&amp;DOC_NAME=FAT:RGA_ENTRPR_VAL_MV_SOURCE_WINDOW.FAT&amp;VAR:ID1=BBBY&amp;VAR:SDATE=20000811&amp;VAR:FDATE=20000229&amp;VAR:FREQ=DAILY&amp;VAR:RELITEM=&amp;VAR:CURRENCY=&amp;VAR:DB_TYPE=&amp;VAR:UNITS=M&amp;VAR:SHS_OUT_TY","PE=&amp;window=popup&amp;width=535&amp;height=425&amp;START_MAXIMIZED=FALSE&amp;Y=120"}</definedName>
    <definedName name="_90__FDSAUDITLINK__" hidden="1">{"fdsup://directions/FAT Viewer?action=UPDATE&amp;creator=factSet&amp;DYN_ARGS=true&amp;DOC_NAME=FAT:RGA_ENTRPR_VAL_MV_SOURCE_WINDOW.FAT&amp;VAR:ID1=BBBY&amp;VAR:SDATE=20000811&amp;VAR:FDATE=20000229&amp;VAR:FREQ=DAILY&amp;VAR:RELITEM=&amp;VAR:CURRENCY=&amp;VAR:DB_TYPE=&amp;VAR:UNITS=M&amp;VAR:SHS_OUT_TY","PE=&amp;window=popup&amp;width=535&amp;height=425&amp;START_MAXIMIZED=FALSE&amp;Y=120"}</definedName>
    <definedName name="_91__FDSAUDITLINK__" localSheetId="5" hidden="1">{"fdsup://directions/FAT Viewer?action=UPDATE&amp;creator=factSet&amp;DYN_ARGS=true&amp;DOC_NAME=FAT:RGA_ENTRPR_VAL_MV_SOURCE_WINDOW.FAT&amp;VAR:ID1=BBBY&amp;VAR:SDATE=20000818&amp;VAR:FDATE=20000229&amp;VAR:FREQ=DAILY&amp;VAR:RELITEM=&amp;VAR:CURRENCY=&amp;VAR:DB_TYPE=&amp;VAR:UNITS=M&amp;VAR:SHS_OUT_TY","PE=&amp;window=popup&amp;width=535&amp;height=425&amp;START_MAXIMIZED=FALSE&amp;Y=120"}</definedName>
    <definedName name="_91__FDSAUDITLINK__" hidden="1">{"fdsup://directions/FAT Viewer?action=UPDATE&amp;creator=factSet&amp;DYN_ARGS=true&amp;DOC_NAME=FAT:RGA_ENTRPR_VAL_MV_SOURCE_WINDOW.FAT&amp;VAR:ID1=BBBY&amp;VAR:SDATE=20000818&amp;VAR:FDATE=20000229&amp;VAR:FREQ=DAILY&amp;VAR:RELITEM=&amp;VAR:CURRENCY=&amp;VAR:DB_TYPE=&amp;VAR:UNITS=M&amp;VAR:SHS_OUT_TY","PE=&amp;window=popup&amp;width=535&amp;height=425&amp;START_MAXIMIZED=FALSE&amp;Y=120"}</definedName>
    <definedName name="_92__FDSAUDITLINK__" localSheetId="5" hidden="1">{"fdsup://directions/FAT Viewer?action=UPDATE&amp;creator=factSet&amp;DYN_ARGS=true&amp;DOC_NAME=FAT:RGA_ENTRPR_VAL_MV_SOURCE_WINDOW.FAT&amp;VAR:ID1=BBBY&amp;VAR:SDATE=20000825&amp;VAR:FDATE=20000229&amp;VAR:FREQ=DAILY&amp;VAR:RELITEM=&amp;VAR:CURRENCY=&amp;VAR:DB_TYPE=&amp;VAR:UNITS=M&amp;VAR:SHS_OUT_TY","PE=&amp;window=popup&amp;width=535&amp;height=425&amp;START_MAXIMIZED=FALSE&amp;Y=120"}</definedName>
    <definedName name="_92__FDSAUDITLINK__" hidden="1">{"fdsup://directions/FAT Viewer?action=UPDATE&amp;creator=factSet&amp;DYN_ARGS=true&amp;DOC_NAME=FAT:RGA_ENTRPR_VAL_MV_SOURCE_WINDOW.FAT&amp;VAR:ID1=BBBY&amp;VAR:SDATE=20000825&amp;VAR:FDATE=20000229&amp;VAR:FREQ=DAILY&amp;VAR:RELITEM=&amp;VAR:CURRENCY=&amp;VAR:DB_TYPE=&amp;VAR:UNITS=M&amp;VAR:SHS_OUT_TY","PE=&amp;window=popup&amp;width=535&amp;height=425&amp;START_MAXIMIZED=FALSE&amp;Y=120"}</definedName>
    <definedName name="_93__FDSAUDITLINK__" localSheetId="5" hidden="1">{"fdsup://directions/FAT Viewer?action=UPDATE&amp;creator=factSet&amp;DYN_ARGS=true&amp;DOC_NAME=FAT:RGA_ENTRPR_VAL_MV_SOURCE_WINDOW.FAT&amp;VAR:ID1=BBBY&amp;VAR:SDATE=20000901&amp;VAR:FDATE=20000229&amp;VAR:FREQ=DAILY&amp;VAR:RELITEM=&amp;VAR:CURRENCY=&amp;VAR:DB_TYPE=&amp;VAR:UNITS=M&amp;VAR:SHS_OUT_TY","PE=&amp;window=popup&amp;width=535&amp;height=425&amp;START_MAXIMIZED=FALSE&amp;Y=120"}</definedName>
    <definedName name="_93__FDSAUDITLINK__" hidden="1">{"fdsup://directions/FAT Viewer?action=UPDATE&amp;creator=factSet&amp;DYN_ARGS=true&amp;DOC_NAME=FAT:RGA_ENTRPR_VAL_MV_SOURCE_WINDOW.FAT&amp;VAR:ID1=BBBY&amp;VAR:SDATE=20000901&amp;VAR:FDATE=20000229&amp;VAR:FREQ=DAILY&amp;VAR:RELITEM=&amp;VAR:CURRENCY=&amp;VAR:DB_TYPE=&amp;VAR:UNITS=M&amp;VAR:SHS_OUT_TY","PE=&amp;window=popup&amp;width=535&amp;height=425&amp;START_MAXIMIZED=FALSE&amp;Y=120"}</definedName>
    <definedName name="_94__FDSAUDITLINK__" localSheetId="5" hidden="1">{"fdsup://directions/FAT Viewer?action=UPDATE&amp;creator=factSet&amp;DYN_ARGS=true&amp;DOC_NAME=FAT:RGA_ENTRPR_VAL_MV_SOURCE_WINDOW.FAT&amp;VAR:ID1=BBBY&amp;VAR:SDATE=20000908&amp;VAR:FDATE=20000229&amp;VAR:FREQ=DAILY&amp;VAR:RELITEM=&amp;VAR:CURRENCY=&amp;VAR:DB_TYPE=&amp;VAR:UNITS=M&amp;VAR:SHS_OUT_TY","PE=&amp;window=popup&amp;width=535&amp;height=425&amp;START_MAXIMIZED=FALSE&amp;Y=120"}</definedName>
    <definedName name="_94__FDSAUDITLINK__" hidden="1">{"fdsup://directions/FAT Viewer?action=UPDATE&amp;creator=factSet&amp;DYN_ARGS=true&amp;DOC_NAME=FAT:RGA_ENTRPR_VAL_MV_SOURCE_WINDOW.FAT&amp;VAR:ID1=BBBY&amp;VAR:SDATE=20000908&amp;VAR:FDATE=20000229&amp;VAR:FREQ=DAILY&amp;VAR:RELITEM=&amp;VAR:CURRENCY=&amp;VAR:DB_TYPE=&amp;VAR:UNITS=M&amp;VAR:SHS_OUT_TY","PE=&amp;window=popup&amp;width=535&amp;height=425&amp;START_MAXIMIZED=FALSE&amp;Y=120"}</definedName>
    <definedName name="_95__FDSAUDITLINK__" localSheetId="5" hidden="1">{"fdsup://directions/FAT Viewer?action=UPDATE&amp;creator=factSet&amp;DYN_ARGS=true&amp;DOC_NAME=FAT:RGA_ENTRPR_VAL_MV_SOURCE_WINDOW.FAT&amp;VAR:ID1=BBBY&amp;VAR:SDATE=20000915&amp;VAR:FDATE=20000229&amp;VAR:FREQ=DAILY&amp;VAR:RELITEM=&amp;VAR:CURRENCY=&amp;VAR:DB_TYPE=&amp;VAR:UNITS=M&amp;VAR:SHS_OUT_TY","PE=&amp;window=popup&amp;width=535&amp;height=425&amp;START_MAXIMIZED=FALSE&amp;Y=120"}</definedName>
    <definedName name="_95__FDSAUDITLINK__" hidden="1">{"fdsup://directions/FAT Viewer?action=UPDATE&amp;creator=factSet&amp;DYN_ARGS=true&amp;DOC_NAME=FAT:RGA_ENTRPR_VAL_MV_SOURCE_WINDOW.FAT&amp;VAR:ID1=BBBY&amp;VAR:SDATE=20000915&amp;VAR:FDATE=20000229&amp;VAR:FREQ=DAILY&amp;VAR:RELITEM=&amp;VAR:CURRENCY=&amp;VAR:DB_TYPE=&amp;VAR:UNITS=M&amp;VAR:SHS_OUT_TY","PE=&amp;window=popup&amp;width=535&amp;height=425&amp;START_MAXIMIZED=FALSE&amp;Y=120"}</definedName>
    <definedName name="_96__FDSAUDITLINK__" localSheetId="5" hidden="1">{"fdsup://directions/FAT Viewer?action=UPDATE&amp;creator=factSet&amp;DYN_ARGS=true&amp;DOC_NAME=FAT:RGA_ENTRPR_VAL_MV_SOURCE_WINDOW.FAT&amp;VAR:ID1=BBBY&amp;VAR:SDATE=20000922&amp;VAR:FDATE=20000229&amp;VAR:FREQ=DAILY&amp;VAR:RELITEM=&amp;VAR:CURRENCY=&amp;VAR:DB_TYPE=&amp;VAR:UNITS=M&amp;VAR:SHS_OUT_TY","PE=&amp;window=popup&amp;width=535&amp;height=425&amp;START_MAXIMIZED=FALSE&amp;Y=120"}</definedName>
    <definedName name="_96__FDSAUDITLINK__" hidden="1">{"fdsup://directions/FAT Viewer?action=UPDATE&amp;creator=factSet&amp;DYN_ARGS=true&amp;DOC_NAME=FAT:RGA_ENTRPR_VAL_MV_SOURCE_WINDOW.FAT&amp;VAR:ID1=BBBY&amp;VAR:SDATE=20000922&amp;VAR:FDATE=20000229&amp;VAR:FREQ=DAILY&amp;VAR:RELITEM=&amp;VAR:CURRENCY=&amp;VAR:DB_TYPE=&amp;VAR:UNITS=M&amp;VAR:SHS_OUT_TY","PE=&amp;window=popup&amp;width=535&amp;height=425&amp;START_MAXIMIZED=FALSE&amp;Y=120"}</definedName>
    <definedName name="_97__FDSAUDITLINK__" localSheetId="5" hidden="1">{"fdsup://directions/FAT Viewer?action=UPDATE&amp;creator=factSet&amp;DYN_ARGS=true&amp;DOC_NAME=FAT:RGA_ENTRPR_VAL_MV_SOURCE_WINDOW.FAT&amp;VAR:ID1=BBBY&amp;VAR:SDATE=20000929&amp;VAR:FDATE=20000229&amp;VAR:FREQ=DAILY&amp;VAR:RELITEM=&amp;VAR:CURRENCY=&amp;VAR:DB_TYPE=&amp;VAR:UNITS=M&amp;VAR:SHS_OUT_TY","PE=&amp;window=popup&amp;width=535&amp;height=425&amp;START_MAXIMIZED=FALSE&amp;Y=120"}</definedName>
    <definedName name="_97__FDSAUDITLINK__" hidden="1">{"fdsup://directions/FAT Viewer?action=UPDATE&amp;creator=factSet&amp;DYN_ARGS=true&amp;DOC_NAME=FAT:RGA_ENTRPR_VAL_MV_SOURCE_WINDOW.FAT&amp;VAR:ID1=BBBY&amp;VAR:SDATE=20000929&amp;VAR:FDATE=20000229&amp;VAR:FREQ=DAILY&amp;VAR:RELITEM=&amp;VAR:CURRENCY=&amp;VAR:DB_TYPE=&amp;VAR:UNITS=M&amp;VAR:SHS_OUT_TY","PE=&amp;window=popup&amp;width=535&amp;height=425&amp;START_MAXIMIZED=FALSE&amp;Y=120"}</definedName>
    <definedName name="_98__FDSAUDITLINK__" localSheetId="5" hidden="1">{"fdsup://directions/FAT Viewer?action=UPDATE&amp;creator=factSet&amp;DYN_ARGS=true&amp;DOC_NAME=FAT:RGA_ENTRPR_VAL_MV_SOURCE_WINDOW.FAT&amp;VAR:ID1=BBBY&amp;VAR:SDATE=20001006&amp;VAR:FDATE=20000229&amp;VAR:FREQ=DAILY&amp;VAR:RELITEM=&amp;VAR:CURRENCY=&amp;VAR:DB_TYPE=&amp;VAR:UNITS=M&amp;VAR:SHS_OUT_TY","PE=&amp;window=popup&amp;width=535&amp;height=425&amp;START_MAXIMIZED=FALSE&amp;Y=120"}</definedName>
    <definedName name="_98__FDSAUDITLINK__" hidden="1">{"fdsup://directions/FAT Viewer?action=UPDATE&amp;creator=factSet&amp;DYN_ARGS=true&amp;DOC_NAME=FAT:RGA_ENTRPR_VAL_MV_SOURCE_WINDOW.FAT&amp;VAR:ID1=BBBY&amp;VAR:SDATE=20001006&amp;VAR:FDATE=20000229&amp;VAR:FREQ=DAILY&amp;VAR:RELITEM=&amp;VAR:CURRENCY=&amp;VAR:DB_TYPE=&amp;VAR:UNITS=M&amp;VAR:SHS_OUT_TY","PE=&amp;window=popup&amp;width=535&amp;height=425&amp;START_MAXIMIZED=FALSE&amp;Y=120"}</definedName>
    <definedName name="_99__FDSAUDITLINK__" localSheetId="5" hidden="1">{"fdsup://directions/FAT Viewer?action=UPDATE&amp;creator=factSet&amp;DYN_ARGS=true&amp;DOC_NAME=FAT:RGA_ENTRPR_VAL_MV_SOURCE_WINDOW.FAT&amp;VAR:ID1=BBBY&amp;VAR:SDATE=20001013&amp;VAR:FDATE=20000229&amp;VAR:FREQ=DAILY&amp;VAR:RELITEM=&amp;VAR:CURRENCY=&amp;VAR:DB_TYPE=&amp;VAR:UNITS=M&amp;VAR:SHS_OUT_TY","PE=&amp;window=popup&amp;width=535&amp;height=425&amp;START_MAXIMIZED=FALSE&amp;Y=120"}</definedName>
    <definedName name="_99__FDSAUDITLINK__" hidden="1">{"fdsup://directions/FAT Viewer?action=UPDATE&amp;creator=factSet&amp;DYN_ARGS=true&amp;DOC_NAME=FAT:RGA_ENTRPR_VAL_MV_SOURCE_WINDOW.FAT&amp;VAR:ID1=BBBY&amp;VAR:SDATE=20001013&amp;VAR:FDATE=20000229&amp;VAR:FREQ=DAILY&amp;VAR:RELITEM=&amp;VAR:CURRENCY=&amp;VAR:DB_TYPE=&amp;VAR:UNITS=M&amp;VAR:SHS_OUT_TY","PE=&amp;window=popup&amp;width=535&amp;height=425&amp;START_MAXIMIZED=FALSE&amp;Y=120"}</definedName>
    <definedName name="_BQ4.2" hidden="1">#REF!</definedName>
    <definedName name="_Fill" hidden="1">#REF!</definedName>
    <definedName name="_xlnm._FilterDatabase" localSheetId="18" hidden="1">DCF!#REF!</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_Sort" hidden="1">#REF!</definedName>
    <definedName name="_Table1_Out" hidden="1">#REF!</definedName>
    <definedName name="_Table2_In1" hidden="1">#REF!</definedName>
    <definedName name="_Table2_In2" hidden="1">#REF!</definedName>
    <definedName name="_Table2_Out" hidden="1">#REF!</definedName>
    <definedName name="_UUID_" hidden="1">1466805</definedName>
    <definedName name="♡" hidden="1">43329.728125</definedName>
    <definedName name="a"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A"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aa" localSheetId="5" hidden="1">{"AnnMarg.",#N/A,FALSE,"ETHAN";"Q",#N/A,FALSE,"Qtrs."}</definedName>
    <definedName name="aaa" hidden="1">{"AnnMarg.",#N/A,FALSE,"ETHAN";"Q",#N/A,FALSE,"Qtrs."}</definedName>
    <definedName name="AAA_DOCTOPS" hidden="1">"AAA_SET"</definedName>
    <definedName name="AAA_duser" hidden="1">"OFF"</definedName>
    <definedName name="aaaaa" hidden="1">#REF!</definedName>
    <definedName name="AAB_Addin5" hidden="1">"AAB_Description for addin 5,Description for addin 5,Description for addin 5,Description for addin 5,Description for addin 5,Description for addin 5"</definedName>
    <definedName name="AJHFkjDGHF" localSheetId="5" hidden="1">{"Annual_Income",#N/A,FALSE,"Report Page";"Balance_Cash_Flow",#N/A,FALSE,"Report Page";"Quarterly_Income",#N/A,FALSE,"Report Page"}</definedName>
    <definedName name="AJHFkjDGHF" hidden="1">{"Annual_Income",#N/A,FALSE,"Report Page";"Balance_Cash_Flow",#N/A,FALSE,"Report Page";"Quarterly_Income",#N/A,FALSE,"Report Page"}</definedName>
    <definedName name="asd" hidden="1">#REF!</definedName>
    <definedName name="asdadwa"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adw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wsd"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w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b" hidden="1">#REF!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41"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7" hidden="1">#REF!</definedName>
    <definedName name="BLPH8" hidden="1">#REF!</definedName>
    <definedName name="BLPH9" hidden="1">#REF!</definedName>
    <definedName name="bplh27" hidden="1">#REF!</definedName>
    <definedName name="ccc" localSheetId="5" hidden="1">{"page1",#N/A,FALSE,"Casual RLE";"page2",#N/A,FALSE,"Casual RLE"}</definedName>
    <definedName name="ccc" hidden="1">{"page1",#N/A,FALSE,"Casual RLE";"page2",#N/A,FALSE,"Casual RLE"}</definedName>
    <definedName name="CE_Supp_Conc" localSheetId="5" hidden="1">{#N/A,#N/A,FALSE,"Calc";#N/A,#N/A,FALSE,"Sensitivity";#N/A,#N/A,FALSE,"LT Earn.Dil.";#N/A,#N/A,FALSE,"Dil. AVP"}</definedName>
    <definedName name="CE_Supp_Conc" hidden="1">{#N/A,#N/A,FALSE,"Calc";#N/A,#N/A,FALSE,"Sensitivity";#N/A,#N/A,FALSE,"LT Earn.Dil.";#N/A,#N/A,FALSE,"Dil. AVP"}</definedName>
    <definedName name="circ">#REF!</definedName>
    <definedName name="Combined" localSheetId="5" hidden="1">{#N/A,#N/A,FALSE,"OnePager"}</definedName>
    <definedName name="Combined" hidden="1">{#N/A,#N/A,FALSE,"OnePager"}</definedName>
    <definedName name="COVER1" localSheetId="5" hidden="1">{#N/A,#N/A,FALSE,"Ejector 1";#N/A,#N/A,FALSE,"Ejector 2"}</definedName>
    <definedName name="COVER1" hidden="1">{#N/A,#N/A,FALSE,"Ejector 1";#N/A,#N/A,FALSE,"Ejector 2"}</definedName>
    <definedName name="d" hidden="1">#REF!</definedName>
    <definedName name="dafadsf"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afad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DD" localSheetId="5"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DDD" localSheetId="5" hidden="1">{#N/A,#N/A,FALSE,"Vessel1 1";#N/A,#N/A,FALSE,"Vessel1 2";#N/A,#N/A,FALSE,"Vessel1 3";#N/A,#N/A,FALSE,"Vessel1 4";#N/A,#N/A,FALSE,"Vessel1 5";#N/A,#N/A,FALSE,"Vessel1 6";#N/A,#N/A,FALSE,"Vessel1 7";#N/A,#N/A,FALSE,"Vessel1 8";#N/A,#N/A,FALSE,"Vessel1 9";#N/A,#N/A,FALSE,"Vessel1 10";#N/A,#N/A,FALSE,"Vessel1 11"}</definedName>
    <definedName name="DDDD" hidden="1">{#N/A,#N/A,FALSE,"Vessel1 1";#N/A,#N/A,FALSE,"Vessel1 2";#N/A,#N/A,FALSE,"Vessel1 3";#N/A,#N/A,FALSE,"Vessel1 4";#N/A,#N/A,FALSE,"Vessel1 5";#N/A,#N/A,FALSE,"Vessel1 6";#N/A,#N/A,FALSE,"Vessel1 7";#N/A,#N/A,FALSE,"Vessel1 8";#N/A,#N/A,FALSE,"Vessel1 9";#N/A,#N/A,FALSE,"Vessel1 10";#N/A,#N/A,FALSE,"Vessel1 11"}</definedName>
    <definedName name="ddddddd"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ddddd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ec"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ec"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ecs" localSheetId="5" hidden="1">{"page1",#N/A,FALSE,"Casual RLE";"page2",#N/A,FALSE,"Casual RLE"}</definedName>
    <definedName name="decs" hidden="1">{"page1",#N/A,FALSE,"Casual RLE";"page2",#N/A,FALSE,"Casual RLE"}</definedName>
    <definedName name="df"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_1" localSheetId="5" hidden="1">{#N/A,#N/A,FALSE,"Calc";#N/A,#N/A,FALSE,"Sensitivity";#N/A,#N/A,FALSE,"LT Earn.Dil.";#N/A,#N/A,FALSE,"Dil. AVP"}</definedName>
    <definedName name="df_1" hidden="1">{#N/A,#N/A,FALSE,"Calc";#N/A,#N/A,FALSE,"Sensitivity";#N/A,#N/A,FALSE,"LT Earn.Dil.";#N/A,#N/A,FALSE,"Dil. AVP"}</definedName>
    <definedName name="dfdf"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 hidden="1">#REF!</definedName>
    <definedName name="dfk"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e" hidden="1">#REF!</definedName>
    <definedName name="ere" hidden="1">#REF!</definedName>
    <definedName name="ereew" hidden="1">#REF!</definedName>
    <definedName name="errr" hidden="1">#REF!</definedName>
    <definedName name="EV__LASTREFTIME__" hidden="1">39664.0096180556</definedName>
    <definedName name="fdv" localSheetId="5" hidden="1">{"quarterly",#N/A,FALSE,"Income Statement";#N/A,#N/A,FALSE,"print segment";#N/A,#N/A,FALSE,"Balance Sheet";#N/A,#N/A,FALSE,"Annl Inc";#N/A,#N/A,FALSE,"Cash Flow"}</definedName>
    <definedName name="fdv" hidden="1">{"quarterly",#N/A,FALSE,"Income Statement";#N/A,#N/A,FALSE,"print segment";#N/A,#N/A,FALSE,"Balance Sheet";#N/A,#N/A,FALSE,"Annl Inc";#N/A,#N/A,FALSE,"Cash Flow"}</definedName>
    <definedName name="GGG" localSheetId="5" hidden="1">{#N/A,#N/A,FALSE,"Vessel1 1";#N/A,#N/A,FALSE,"Vessel1 2";#N/A,#N/A,FALSE,"Vessel1 3";#N/A,#N/A,FALSE,"Vessel1 4";#N/A,#N/A,FALSE,"Vessel1 5";#N/A,#N/A,FALSE,"Vessel1 6";#N/A,#N/A,FALSE,"Vessel1 7";#N/A,#N/A,FALSE,"Vessel1 8";#N/A,#N/A,FALSE,"Vessel1 9";#N/A,#N/A,FALSE,"Vessel1 10";#N/A,#N/A,FALSE,"Vessel1 11"}</definedName>
    <definedName name="GGG" hidden="1">{#N/A,#N/A,FALSE,"Vessel1 1";#N/A,#N/A,FALSE,"Vessel1 2";#N/A,#N/A,FALSE,"Vessel1 3";#N/A,#N/A,FALSE,"Vessel1 4";#N/A,#N/A,FALSE,"Vessel1 5";#N/A,#N/A,FALSE,"Vessel1 6";#N/A,#N/A,FALSE,"Vessel1 7";#N/A,#N/A,FALSE,"Vessel1 8";#N/A,#N/A,FALSE,"Vessel1 9";#N/A,#N/A,FALSE,"Vessel1 10";#N/A,#N/A,FALSE,"Vessel1 11"}</definedName>
    <definedName name="greg"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re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hhh" hidden="1">#REF!</definedName>
    <definedName name="HTML_CodePage" hidden="1">1252</definedName>
    <definedName name="HTML_Control" localSheetId="5" hidden="1">{"'Scheda bianca'!$A$1:$L$42"}</definedName>
    <definedName name="HTML_Control" hidden="1">{"'Scheda bianca'!$A$1:$L$42"}</definedName>
    <definedName name="HTML_Description" hidden="1">""</definedName>
    <definedName name="HTML_Email" hidden="1">""</definedName>
    <definedName name="HTML_Header" hidden="1">"Scheda MBO"</definedName>
    <definedName name="HTML_LastUpdate" hidden="1">"30/08/00"</definedName>
    <definedName name="HTML_LineAfter" hidden="1">FALSE</definedName>
    <definedName name="HTML_LineBefore" hidden="1">FALSE</definedName>
    <definedName name="HTML_Name" hidden="1">"Enel"</definedName>
    <definedName name="HTML_OBDlg2" hidden="1">TRUE</definedName>
    <definedName name="HTML_OBDlg4" hidden="1">TRUE</definedName>
    <definedName name="HTML_OS" hidden="1">0</definedName>
    <definedName name="HTML_PathFile" hidden="1">"d:\Documenti"</definedName>
    <definedName name="HTML_Title" hidden="1">"Schede mbo 2000 A"</definedName>
    <definedName name="ILE" localSheetId="5" hidden="1">{#N/A,#N/A,FALSE,"Vessel1 1";#N/A,#N/A,FALSE,"Vessel1 2";#N/A,#N/A,FALSE,"Vessel1 3";#N/A,#N/A,FALSE,"Vessel1 4";#N/A,#N/A,FALSE,"Vessel1 5";#N/A,#N/A,FALSE,"Vessel1 6";#N/A,#N/A,FALSE,"Vessel1 7";#N/A,#N/A,FALSE,"Vessel1 8";#N/A,#N/A,FALSE,"Vessel1 9";#N/A,#N/A,FALSE,"Vessel1 10";#N/A,#N/A,FALSE,"Vessel1 11"}</definedName>
    <definedName name="ILE" hidden="1">{#N/A,#N/A,FALSE,"Vessel1 1";#N/A,#N/A,FALSE,"Vessel1 2";#N/A,#N/A,FALSE,"Vessel1 3";#N/A,#N/A,FALSE,"Vessel1 4";#N/A,#N/A,FALSE,"Vessel1 5";#N/A,#N/A,FALSE,"Vessel1 6";#N/A,#N/A,FALSE,"Vessel1 7";#N/A,#N/A,FALSE,"Vessel1 8";#N/A,#N/A,FALSE,"Vessel1 9";#N/A,#N/A,FALSE,"Vessel1 10";#N/A,#N/A,FALSE,"Vessel1 11"}</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ROKER_REC_NO_REUT" hidden="1">"c5315"</definedName>
    <definedName name="IQ_AVG_BROKER_REC_REUT" hidden="1">"c3630"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OARD_MEMBER_FAX" hidden="1">"c2100"</definedName>
    <definedName name="IQ_BOARD_MEMBER_OFFICE" hidden="1">"c2098"</definedName>
    <definedName name="IQ_BOARD_MEMBER_PHONE" hidden="1">"c2099"</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STDDEV_EST_REUT" hidden="1">"c5408"</definedName>
    <definedName name="IQ_BV_STDDEV_EST_THOM" hidden="1">"c5152"</definedName>
    <definedName name="IQ_CAL_Q_EST_REUT" hidden="1">"c6800"</definedName>
    <definedName name="IQ_CAL_Y_EST_REUT" hidden="1">"c6801"</definedName>
    <definedName name="IQ_CAPEX_BR" hidden="1">"c111"</definedName>
    <definedName name="IQ_CASH_DIVIDENDS_NET_INCOME_FDIC" hidden="1">"c6738"</definedName>
    <definedName name="IQ_CASH_IN_PROCESS_FDIC" hidden="1">"c6386"</definedName>
    <definedName name="IQ_CCE_FDIC" hidden="1">"c6296"</definedName>
    <definedName name="IQ_CH" hidden="1">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LASSB_OUTSTANDING_BS_DATE" hidden="1">"c1972"</definedName>
    <definedName name="IQ_CLASSB_OUTSTANDING_FILING_DATE" hidden="1">"c1974"</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 hidden="1">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ANNOUNCE_DATE_REUT" hidden="1">"c5314"</definedName>
    <definedName name="IQ_EARNINGS_COVERAGE_NET_CHARGE_OFFS_FDIC" hidden="1">"c6735"</definedName>
    <definedName name="IQ_EBITDA_EST_REUT" hidden="1">"c3640"</definedName>
    <definedName name="IQ_EBITDA_HIGH_EST_REUT" hidden="1">"c3642"</definedName>
    <definedName name="IQ_EBITDA_LOW_EST_REUT" hidden="1">"c3643"</definedName>
    <definedName name="IQ_EBITDA_MEDIAN_EST_REUT" hidden="1">"c3641"</definedName>
    <definedName name="IQ_EBITDA_NUM_EST_REUT" hidden="1">"c3644"</definedName>
    <definedName name="IQ_EBITDA_STDDEV_EST_REUT" hidden="1">"c3645"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PS_EST_REUT" hidden="1">"c5453"</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ACT_BV_REUT" hidden="1">"c5409"</definedName>
    <definedName name="IQ_EST_ACT_BV_THOM" hidden="1">"c5153"</definedName>
    <definedName name="IQ_EST_ACT_EPS_GW_REUT" hidden="1">"c5395"</definedName>
    <definedName name="IQ_EST_ACT_EPS_NORM_REUT" hidden="1">"c5332"</definedName>
    <definedName name="IQ_EST_ACT_EPS_REPORTED_REUT" hidden="1">"c5402"</definedName>
    <definedName name="IQ_EST_ACT_FFO_THOM" hidden="1">"c4005"</definedName>
    <definedName name="IQ_EST_ACT_NI_GW_THOM" hidden="1">"c5139"</definedName>
    <definedName name="IQ_EST_BV_DIFF_CIQ" hidden="1">"c4765"</definedName>
    <definedName name="IQ_EST_BV_DIFF_REUT" hidden="1">"c5433"</definedName>
    <definedName name="IQ_EST_BV_DIFF_THOM" hidden="1">"c5204"</definedName>
    <definedName name="IQ_EST_BV_SURPRISE_PERCENT_CIQ" hidden="1">"c4766"</definedName>
    <definedName name="IQ_EST_BV_SURPRISE_PERCENT_REUT" hidden="1">"c5434"</definedName>
    <definedName name="IQ_EST_BV_SURPRISE_PERCENT_THOM" hidden="1">"c5205"</definedName>
    <definedName name="IQ_EST_CURRENCY_REUT" hidden="1">"c5437"</definedName>
    <definedName name="IQ_EST_DATE_REUT" hidden="1">"c5438"</definedName>
    <definedName name="IQ_EST_EPS_GROWTH_1YR_REUT" hidden="1">"c3646"</definedName>
    <definedName name="IQ_EST_EPS_GROWTH_5YR_REUT" hidden="1">"c3633"</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URPRISE" hidden="1">"c1635"</definedName>
    <definedName name="IQ_EST_FFO_DIFF_THOM" hidden="1">"c5186"</definedName>
    <definedName name="IQ_EST_FFO_SURPRISE_PERCENT_THOM" hidden="1">"c5187"</definedName>
    <definedName name="IQ_EST_NI_GW_DIFF_THOM" hidden="1">"c5200"</definedName>
    <definedName name="IQ_EST_NI_GW_SURPRISE_PERCENT_THOM" hidden="1">"c5201"</definedName>
    <definedName name="IQ_EST_NUM_BUY_CIQ" hidden="1">"c3700"</definedName>
    <definedName name="IQ_EST_NUM_BUY_REUT" hidden="1">"c3869"</definedName>
    <definedName name="IQ_EST_NUM_BUY_THOM" hidden="1">"c5165"</definedName>
    <definedName name="IQ_EST_NUM_HOLD_CIQ" hidden="1">"c3702"</definedName>
    <definedName name="IQ_EST_NUM_HOLD_REUT" hidden="1">"c3871"</definedName>
    <definedName name="IQ_EST_NUM_HOLD_THOM" hidden="1">"c5167"</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REUT_ACT_CAPEX" hidden="1">"c3975"</definedName>
    <definedName name="IQ_ESTIMATED_ASSESSABLE_DEPOSITS_FDIC" hidden="1">"c6490"</definedName>
    <definedName name="IQ_ESTIMATED_INSURED_DEPOSITS_FDIC" hidden="1">"c6491"</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"c3668"</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THOM" hidden="1">"c3999"</definedName>
    <definedName name="IQ_FFO_HIGH_EST_CIQ" hidden="1">"c3670"</definedName>
    <definedName name="IQ_FFO_HIGH_EST_THOM" hidden="1">"c4001"</definedName>
    <definedName name="IQ_FFO_LOW_EST_CIQ" hidden="1">"c3671"</definedName>
    <definedName name="IQ_FFO_LOW_EST_THOM" hidden="1">"c4002"</definedName>
    <definedName name="IQ_FFO_MEDIAN_EST_CIQ" hidden="1">"c3669"</definedName>
    <definedName name="IQ_FFO_MEDIAN_EST_THOM" hidden="1">"c4000"</definedName>
    <definedName name="IQ_FFO_NUM_EST_CIQ" hidden="1">"c3672"</definedName>
    <definedName name="IQ_FFO_NUM_EST_THOM" hidden="1">"c4003"</definedName>
    <definedName name="IQ_FFO_STDDEV_EST_CIQ" hidden="1">"c3673"</definedName>
    <definedName name="IQ_FFO_STDDEV_EST_THOM" hidden="1">"c4004"</definedName>
    <definedName name="IQ_FH" hidden="1">100000</definedName>
    <definedName name="IQ_FHLB_ADVANCES_FDIC" hidden="1">"c6366"</definedName>
    <definedName name="IQ_FHLB_DUE_AFTER_FIVE" hidden="1">"c2086"</definedName>
    <definedName name="IQ_FIDUCIARY_ACTIVITIES_FDIC" hidden="1">"c6571"</definedName>
    <definedName name="IQ_FIFETEEN_YEAR_FIXED_AND_FLOATING_RATE_FDIC" hidden="1">"c6423"</definedName>
    <definedName name="IQ_FIFETEEN_YEAR_MORTGAGE_PASS_THROUGHS_FDIC" hidden="1">"c6415"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SCAL_Q_EST_REUT" hidden="1">"c6798"</definedName>
    <definedName name="IQ_FISCAL_Y_EST_REUT" hidden="1">"c6799"</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 hidden="1">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_CONTRACTS_FDIC" hidden="1">"c6517"</definedName>
    <definedName name="IQ_FX_CONTRACTS_SPOT_FDIC" hidden="1">"c6356"</definedName>
    <definedName name="IQ_FY" hidden="1">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IGH_TARGET_PRICE_REUT" hidden="1">"c5317"</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LT_DEBT" hidden="1">"c2086"</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OW_TARGET_PRICE_REUT" hidden="1">"c5318"</definedName>
    <definedName name="IQ_LT_DEBT_BR" hidden="1">"c676"</definedName>
    <definedName name="IQ_LT_DEBT_ISSUED_BR" hidden="1">"c683"</definedName>
    <definedName name="IQ_LT_DEBT_REPAID_BR" hidden="1">"c691"</definedName>
    <definedName name="IQ_LT_INVEST_BR" hidden="1">"c698"</definedName>
    <definedName name="IQ_LTM" hidden="1">2000</definedName>
    <definedName name="IQ_LTMMONTH" hidden="1">120000</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_BR" hidden="1">"c715"</definedName>
    <definedName name="IQ_MERGER_RESTRUCTURE_BR" hidden="1">"c721"</definedName>
    <definedName name="IQ_MINORITY_INTEREST_BR" hidden="1">"c729"</definedName>
    <definedName name="IQ_MKTCAP_TOTAL_REV_FWD_REUT" hidden="1">"c4048"</definedName>
    <definedName name="IQ_MONEY_MARKET_DEPOSIT_ACCOUNTS_FDIC" hidden="1">"c6553"</definedName>
    <definedName name="IQ_MONTH" hidden="1">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40218.8268634259</definedName>
    <definedName name="IQ_NAMES_REVISION_DATE__1" hidden="1">40722.4411226852</definedName>
    <definedName name="IQ_NAMES_REVISION_DATE__1_1" hidden="1">40358.6877777778</definedName>
    <definedName name="IQ_NAV_ACT_OR_EST" hidden="1">"c2225"</definedName>
    <definedName name="IQ_NET_CHARGE_OFFS_FDIC" hidden="1">"c6641"</definedName>
    <definedName name="IQ_NET_CHARGE_OFFS_LOANS_FDIC" hidden="1">"c6751"</definedName>
    <definedName name="IQ_NET_DEBT_ISSUED_BR" hidden="1">"c753"</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I_GW_EST_THOM" hidden="1">"c5133"</definedName>
    <definedName name="IQ_NI_GW_HIGH_EST_THOM" hidden="1">"c5135"</definedName>
    <definedName name="IQ_NI_GW_LOW_EST_THOM" hidden="1">"c5136"</definedName>
    <definedName name="IQ_NI_GW_MEDIAN_EST_THOM" hidden="1">"c5134"</definedName>
    <definedName name="IQ_NI_GW_NUM_EST_THOM" hidden="1">"c5137"</definedName>
    <definedName name="IQ_NI_GW_STDDEV_EST_THOM" hidden="1">"c5138"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 hidden="1">6000</definedName>
    <definedName name="IQ_NUM_OFFICES" hidden="1">"c2088"</definedName>
    <definedName name="IQ_NUMBER_DEPOSITS_LESS_THAN_100K_FDIC" hidden="1">"c6495"</definedName>
    <definedName name="IQ_NUMBER_DEPOSITS_MORE_THAN_100K_FDIC" hidden="1">"c6493"</definedName>
    <definedName name="IQ_NUMBER_SHAREHOLDERS_CLASSB" hidden="1">"c1969"</definedName>
    <definedName name="IQ_OBLIGATIONS_OF_STATES_TOTAL_LOANS_FOREIGN_FDIC" hidden="1">"c6447"</definedName>
    <definedName name="IQ_OBLIGATIONS_STATES_FDIC" hidden="1">"c6431"</definedName>
    <definedName name="IQ_OG_OTHER_ADJ" hidden="1">"c1999"</definedName>
    <definedName name="IQ_OG_TOTAL_OIL_PRODUCTON" hidden="1">"c2059"</definedName>
    <definedName name="IQ_OPENED55" hidden="1">1</definedName>
    <definedName name="IQ_OPER_INC_BR" hidden="1">"c850"</definedName>
    <definedName name="IQ_OPTIONS_EXCERCISED" hidden="1">"c2116"</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MINING_REVENUE_COAL" hidden="1">"c15931"</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_EXCL_FWD_REUT" hidden="1">"c4049"</definedName>
    <definedName name="IQ_PEG_FWD_REUT" hidden="1">"c4052"</definedName>
    <definedName name="IQ_PERCENT_CHANGE_EST_FFO_12MONTHS" hidden="1">"c1828"</definedName>
    <definedName name="IQ_PERCENT_CHANGE_EST_FFO_12MONTHS_CIQ" hidden="1">"c3769"</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THOM" hidden="1">"c5244"</definedName>
    <definedName name="IQ_PERCENT_CHANGE_EST_FFO_WEEK" hidden="1">"c1823"</definedName>
    <definedName name="IQ_PERCENT_CHANGE_EST_FFO_WEEK_CIQ" hidden="1">"c3795"</definedName>
    <definedName name="IQ_PERCENT_CHANGE_EST_FFO_WEEK_THOM" hidden="1">"c5274"</definedName>
    <definedName name="IQ_PERCENT_INSURED_FDIC" hidden="1">"c6374"</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RETURN_ASSETS_FDIC" hidden="1">"c6731"</definedName>
    <definedName name="IQ_PRICE_TARGET_REUT" hidden="1">"c3631"</definedName>
    <definedName name="IQ_PRIMARY_EPS_TYPE_THOM" hidden="1">"c5297"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EQUITY_BROK" hidden="1">"c1120"</definedName>
    <definedName name="IQ_RETURN_EQUITY_FDIC" hidden="1">"c6732"</definedName>
    <definedName name="IQ_REV_STDDEV_EST_REUT" hidden="1">"c3639"</definedName>
    <definedName name="IQ_REVALUATION_GAINS_FDIC" hidden="1">"c6428"</definedName>
    <definedName name="IQ_REVALUATION_LOSSES_FDIC" hidden="1">"c6429"</definedName>
    <definedName name="IQ_REVENUE_EST_REUT" hidden="1">"c3634"</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ISK_WEIGHTED_ASSETS_FDIC" hidden="1">"c6370"</definedName>
    <definedName name="IQ_ROYALTY_REVENUE_COAL" hidden="1">"c15932"</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ARGET_PRICE_LASTCLOSE" hidden="1">"c1855"</definedName>
    <definedName name="IQ_TARGET_PRICE_NUM_REUT" hidden="1">"c5319"</definedName>
    <definedName name="IQ_TARGET_PRICE_STDDEV_REUT" hidden="1">"c5320"</definedName>
    <definedName name="IQ_TEV_EBITDA_FWD_REUT" hidden="1">"c4050"</definedName>
    <definedName name="IQ_TEV_TOTAL_REV_FWD_REUT" hidden="1">"c4051"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DUE" hidden="1">"c2509"</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 hidden="1">50000</definedName>
    <definedName name="IQ_WRITTEN_OPTION_CONTRACTS_FDIC" hidden="1">"c6509"</definedName>
    <definedName name="IQ_WRITTEN_OPTION_CONTRACTS_FX_RISK_FDIC" hidden="1">"c6514"</definedName>
    <definedName name="IQ_WRITTEN_OPTION_CONTRACTS_NON_FX_IR_FDIC" hidden="1">"c6519"</definedName>
    <definedName name="IQ_YTD" hidden="1">3000</definedName>
    <definedName name="IQ_YTDMONTH" hidden="1">130000</definedName>
    <definedName name="IQRA8" hidden="1">"$A$9:$A$260"</definedName>
    <definedName name="IQRB8" hidden="1">"$B$9:$B$260"</definedName>
    <definedName name="IQRC2" hidden="1">"$C$3:$C$253"</definedName>
    <definedName name="IQRC8" hidden="1">"$C$9:$C$260"</definedName>
    <definedName name="IQRD2" hidden="1">"$D$3:$D$253"</definedName>
    <definedName name="IQRD254" hidden="1">"$D$255:$D$505"</definedName>
    <definedName name="IQRE2" hidden="1">"$E$3:$E$253"</definedName>
    <definedName name="IQRE254" hidden="1">"$E$255:$E$505"</definedName>
    <definedName name="IQRF254" hidden="1">"$F$255:$F$505"</definedName>
    <definedName name="IQRL254" hidden="1">"$L$255:$L$505"</definedName>
    <definedName name="IQRM254" hidden="1">"$M$255:$M$505"</definedName>
    <definedName name="IQRN254" hidden="1">"$N$255:$N$505"</definedName>
    <definedName name="IQRU254" hidden="1">"$U$255:$U$505"</definedName>
    <definedName name="IQRV254" hidden="1">"$V$255:$V$505"</definedName>
    <definedName name="IQRW254" hidden="1">"$W$255:$W$505"</definedName>
    <definedName name="iQShowHideColumns" hidden="1">"iQShowAll"</definedName>
    <definedName name="jcp"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jcp"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junk" hidden="1">#REF!</definedName>
    <definedName name="L" localSheetId="5"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in" hidden="1">#N/A</definedName>
    <definedName name="m" localSheetId="5" hidden="1">{"Area1",#N/A,TRUE,"Obiettivo";"Area2",#N/A,TRUE,"Dati per Direzione"}</definedName>
    <definedName name="m" hidden="1">{"Area1",#N/A,TRUE,"Obiettivo";"Area2",#N/A,TRUE,"Dati per Direzione"}</definedName>
    <definedName name="M_PlaceofPath" hidden="1">"g:\blabla"</definedName>
    <definedName name="maxs"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ax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mm" localSheetId="5" hidden="1">{"AnnMarg",#N/A,FALSE,"FALCON";"Q",#N/A,FALSE,"Qtrs."}</definedName>
    <definedName name="mmm" hidden="1">{"AnnMarg",#N/A,FALSE,"FALCON";"Q",#N/A,FALSE,"Qtrs."}</definedName>
    <definedName name="n" localSheetId="5" hidden="1">{"page1",#N/A,FALSE,"Casual RLE";"page2",#N/A,FALSE,"Casual RLE"}</definedName>
    <definedName name="n" hidden="1">{"page1",#N/A,FALSE,"Casual RLE";"page2",#N/A,FALSE,"Casual RLE"}</definedName>
    <definedName name="nck"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AG" localSheetId="5" hidden="1">{#N/A,#N/A,FALSE,"Calc";#N/A,#N/A,FALSE,"Sensitivity";#N/A,#N/A,FALSE,"LT Earn.Dil.";#N/A,#N/A,FALSE,"Dil. AVP"}</definedName>
    <definedName name="NEWAG" hidden="1">{#N/A,#N/A,FALSE,"Calc";#N/A,#N/A,FALSE,"Sensitivity";#N/A,#N/A,FALSE,"LT Earn.Dil.";#N/A,#N/A,FALSE,"Dil. AVP"}</definedName>
    <definedName name="NEWAG2" localSheetId="5" hidden="1">{#N/A,#N/A,FALSE,"Calc";#N/A,#N/A,FALSE,"Sensitivity";#N/A,#N/A,FALSE,"LT Earn.Dil.";#N/A,#N/A,FALSE,"Dil. AVP"}</definedName>
    <definedName name="NEWAG2" hidden="1">{#N/A,#N/A,FALSE,"Calc";#N/A,#N/A,FALSE,"Sensitivity";#N/A,#N/A,FALSE,"LT Earn.Dil.";#N/A,#N/A,FALSE,"Dil. AVP"}</definedName>
    <definedName name="noidea" localSheetId="5" hidden="1">{#N/A,#N/A,FALSE,"Calc";#N/A,#N/A,FALSE,"Sensitivity";#N/A,#N/A,FALSE,"LT Earn.Dil.";#N/A,#N/A,FALSE,"Dil. AVP"}</definedName>
    <definedName name="noidea" hidden="1">{#N/A,#N/A,FALSE,"Calc";#N/A,#N/A,FALSE,"Sensitivity";#N/A,#N/A,FALSE,"LT Earn.Dil.";#N/A,#N/A,FALSE,"Dil. AVP"}</definedName>
    <definedName name="ODP_cat" localSheetId="5" hidden="1">{#N/A,#N/A,FALSE,"Calc";#N/A,#N/A,FALSE,"Sensitivity";#N/A,#N/A,FALSE,"LT Earn.Dil.";#N/A,#N/A,FALSE,"Dil. AVP"}</definedName>
    <definedName name="ODP_cat" hidden="1">{#N/A,#N/A,FALSE,"Calc";#N/A,#N/A,FALSE,"Sensitivity";#N/A,#N/A,FALSE,"LT Earn.Dil.";#N/A,#N/A,FALSE,"Dil. AVP"}</definedName>
    <definedName name="OMX_mix" localSheetId="5" hidden="1">{#N/A,#N/A,FALSE,"Calc";#N/A,#N/A,FALSE,"Sensitivity";#N/A,#N/A,FALSE,"LT Earn.Dil.";#N/A,#N/A,FALSE,"Dil. AVP"}</definedName>
    <definedName name="OMX_mix" hidden="1">{#N/A,#N/A,FALSE,"Calc";#N/A,#N/A,FALSE,"Sensitivity";#N/A,#N/A,FALSE,"LT Earn.Dil.";#N/A,#N/A,FALSE,"Dil. AVP"}</definedName>
    <definedName name="p"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e" localSheetId="5" hidden="1">{"AnnMarg.",#N/A,FALSE,"ETHAN";"Q",#N/A,FALSE,"Qtrs."}</definedName>
    <definedName name="pe" hidden="1">{"AnnMarg.",#N/A,FALSE,"ETHAN";"Q",#N/A,FALSE,"Qtrs."}</definedName>
    <definedName name="PES" localSheetId="5" hidden="1">{#N/A,#N/A,FALSE,"Vessel1 1";#N/A,#N/A,FALSE,"Vessel1 2";#N/A,#N/A,FALSE,"Vessel1 3";#N/A,#N/A,FALSE,"Vessel1 4";#N/A,#N/A,FALSE,"Vessel1 5";#N/A,#N/A,FALSE,"Vessel1 6";#N/A,#N/A,FALSE,"Vessel1 7";#N/A,#N/A,FALSE,"Vessel1 8";#N/A,#N/A,FALSE,"Vessel1 9";#N/A,#N/A,FALSE,"Vessel1 10";#N/A,#N/A,FALSE,"Vessel1 11"}</definedName>
    <definedName name="PES" hidden="1">{#N/A,#N/A,FALSE,"Vessel1 1";#N/A,#N/A,FALSE,"Vessel1 2";#N/A,#N/A,FALSE,"Vessel1 3";#N/A,#N/A,FALSE,"Vessel1 4";#N/A,#N/A,FALSE,"Vessel1 5";#N/A,#N/A,FALSE,"Vessel1 6";#N/A,#N/A,FALSE,"Vessel1 7";#N/A,#N/A,FALSE,"Vessel1 8";#N/A,#N/A,FALSE,"Vessel1 9";#N/A,#N/A,FALSE,"Vessel1 10";#N/A,#N/A,FALSE,"Vessel1 11"}</definedName>
    <definedName name="placeholder"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lacehold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PP" localSheetId="5" hidden="1">{#N/A,#N/A,FALSE,"Vessel1 1";#N/A,#N/A,FALSE,"Vessel1 2";#N/A,#N/A,FALSE,"Vessel1 3";#N/A,#N/A,FALSE,"Vessel1 4";#N/A,#N/A,FALSE,"Vessel1 5";#N/A,#N/A,FALSE,"Vessel1 6";#N/A,#N/A,FALSE,"Vessel1 7";#N/A,#N/A,FALSE,"Vessel1 8";#N/A,#N/A,FALSE,"Vessel1 9";#N/A,#N/A,FALSE,"Vessel1 10";#N/A,#N/A,FALSE,"Vessel1 11"}</definedName>
    <definedName name="PPP" hidden="1">{#N/A,#N/A,FALSE,"Vessel1 1";#N/A,#N/A,FALSE,"Vessel1 2";#N/A,#N/A,FALSE,"Vessel1 3";#N/A,#N/A,FALSE,"Vessel1 4";#N/A,#N/A,FALSE,"Vessel1 5";#N/A,#N/A,FALSE,"Vessel1 6";#N/A,#N/A,FALSE,"Vessel1 7";#N/A,#N/A,FALSE,"Vessel1 8";#N/A,#N/A,FALSE,"Vessel1 9";#N/A,#N/A,FALSE,"Vessel1 10";#N/A,#N/A,FALSE,"Vessel1 11"}</definedName>
    <definedName name="print" localSheetId="5" hidden="1">{"page1",#N/A,FALSE,"Casual RLE";"page2",#N/A,FALSE,"Casual RLE"}</definedName>
    <definedName name="print" hidden="1">{"page1",#N/A,FALSE,"Casual RLE";"page2",#N/A,FALSE,"Casual RLE"}</definedName>
    <definedName name="prt" localSheetId="5" hidden="1">{#N/A,#N/A,TRUE,"Proposal";#N/A,#N/A,TRUE,"Assumptions";#N/A,#N/A,TRUE,"Net Income";#N/A,#N/A,TRUE,"Balsheet";#N/A,#N/A,TRUE,"Capex";#N/A,#N/A,TRUE,"Volumes";#N/A,#N/A,TRUE,"Revenues";#N/A,#N/A,TRUE,"Var.Costs";#N/A,#N/A,TRUE,"Personnel";#N/A,#N/A,TRUE,"Other costs";#N/A,#N/A,TRUE,"MKTG and G&amp;A"}</definedName>
    <definedName name="prt" hidden="1">{#N/A,#N/A,TRUE,"Proposal";#N/A,#N/A,TRUE,"Assumptions";#N/A,#N/A,TRUE,"Net Income";#N/A,#N/A,TRUE,"Balsheet";#N/A,#N/A,TRUE,"Capex";#N/A,#N/A,TRUE,"Volumes";#N/A,#N/A,TRUE,"Revenues";#N/A,#N/A,TRUE,"Var.Costs";#N/A,#N/A,TRUE,"Personnel";#N/A,#N/A,TRUE,"Other costs";#N/A,#N/A,TRUE,"MKTG and G&amp;A"}</definedName>
    <definedName name="PSSS" localSheetId="5" hidden="1">{#N/A,#N/A,FALSE,"Vessel1 1";#N/A,#N/A,FALSE,"Vessel1 2";#N/A,#N/A,FALSE,"Vessel1 3";#N/A,#N/A,FALSE,"Vessel1 4";#N/A,#N/A,FALSE,"Vessel1 5";#N/A,#N/A,FALSE,"Vessel1 6";#N/A,#N/A,FALSE,"Vessel1 7";#N/A,#N/A,FALSE,"Vessel1 8";#N/A,#N/A,FALSE,"Vessel1 9";#N/A,#N/A,FALSE,"Vessel1 10";#N/A,#N/A,FALSE,"Vessel1 11"}</definedName>
    <definedName name="PSSS" hidden="1">{#N/A,#N/A,FALSE,"Vessel1 1";#N/A,#N/A,FALSE,"Vessel1 2";#N/A,#N/A,FALSE,"Vessel1 3";#N/A,#N/A,FALSE,"Vessel1 4";#N/A,#N/A,FALSE,"Vessel1 5";#N/A,#N/A,FALSE,"Vessel1 6";#N/A,#N/A,FALSE,"Vessel1 7";#N/A,#N/A,FALSE,"Vessel1 8";#N/A,#N/A,FALSE,"Vessel1 9";#N/A,#N/A,FALSE,"Vessel1 10";#N/A,#N/A,FALSE,"Vessel1 11"}</definedName>
    <definedName name="PVH"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V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woefu" localSheetId="5" hidden="1">{#N/A,#N/A,TRUE,"Proposal";#N/A,#N/A,TRUE,"Assumptions";#N/A,#N/A,TRUE,"Net Income";#N/A,#N/A,TRUE,"Balsheet";#N/A,#N/A,TRUE,"Capex";#N/A,#N/A,TRUE,"Volumes";#N/A,#N/A,TRUE,"Revenues";#N/A,#N/A,TRUE,"Var.Costs";#N/A,#N/A,TRUE,"Personnel";#N/A,#N/A,TRUE,"Other costs";#N/A,#N/A,TRUE,"MKTG and G&amp;A"}</definedName>
    <definedName name="pwoefu" hidden="1">{#N/A,#N/A,TRUE,"Proposal";#N/A,#N/A,TRUE,"Assumptions";#N/A,#N/A,TRUE,"Net Income";#N/A,#N/A,TRUE,"Balsheet";#N/A,#N/A,TRUE,"Capex";#N/A,#N/A,TRUE,"Volumes";#N/A,#N/A,TRUE,"Revenues";#N/A,#N/A,TRUE,"Var.Costs";#N/A,#N/A,TRUE,"Personnel";#N/A,#N/A,TRUE,"Other costs";#N/A,#N/A,TRUE,"MKTG and G&amp;A"}</definedName>
    <definedName name="pwoefù" localSheetId="5" hidden="1">{#N/A,#N/A,TRUE,"Proposal";#N/A,#N/A,TRUE,"Assumptions";#N/A,#N/A,TRUE,"Net Income";#N/A,#N/A,TRUE,"Balsheet";#N/A,#N/A,TRUE,"Capex";#N/A,#N/A,TRUE,"Volumes";#N/A,#N/A,TRUE,"Revenues";#N/A,#N/A,TRUE,"Var.Costs";#N/A,#N/A,TRUE,"Personnel";#N/A,#N/A,TRUE,"Other costs";#N/A,#N/A,TRUE,"MKTG and G&amp;A"}</definedName>
    <definedName name="pwoefù" hidden="1">{#N/A,#N/A,TRUE,"Proposal";#N/A,#N/A,TRUE,"Assumptions";#N/A,#N/A,TRUE,"Net Income";#N/A,#N/A,TRUE,"Balsheet";#N/A,#N/A,TRUE,"Capex";#N/A,#N/A,TRUE,"Volumes";#N/A,#N/A,TRUE,"Revenues";#N/A,#N/A,TRUE,"Var.Costs";#N/A,#N/A,TRUE,"Personnel";#N/A,#N/A,TRUE,"Other costs";#N/A,#N/A,TRUE,"MKTG and G&amp;A"}</definedName>
    <definedName name="Report" localSheetId="5" hidden="1">{#N/A,#N/A,FALSE,"Report Print"}</definedName>
    <definedName name="Report" hidden="1">{#N/A,#N/A,FALSE,"Report Print"}</definedName>
    <definedName name="Report_Annual" localSheetId="5" hidden="1">{"annual",#N/A,FALSE,"MAS";"margins",#N/A,FALSE,"MAS";"Q",#N/A,FALSE,"Qtrs."}</definedName>
    <definedName name="Report_Annual" hidden="1">{"annual",#N/A,FALSE,"MAS";"margins",#N/A,FALSE,"MAS";"Q",#N/A,FALSE,"Qtrs."}</definedName>
    <definedName name="ReportPage1" localSheetId="5" hidden="1">{"Annual_Income",#N/A,FALSE,"Report Page";"Balance_Cash_Flow",#N/A,FALSE,"Report Page";"Quarterly_Income",#N/A,FALSE,"Report Page"}</definedName>
    <definedName name="ReportPage1" hidden="1">{"Annual_Income",#N/A,FALSE,"Report Page";"Balance_Cash_Flow",#N/A,FALSE,"Report Page";"Quarterly_Income",#N/A,FALSE,"Report Page"}</definedName>
    <definedName name="restruct"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estruc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rr" hidden="1">#REF!</definedName>
    <definedName name="s"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cen">#REF!</definedName>
    <definedName name="sds"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egments"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egment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gsg" hidden="1">#REF!</definedName>
    <definedName name="sgreg" hidden="1">#REF!</definedName>
    <definedName name="sgrse" hidden="1">#REF!</definedName>
    <definedName name="SSS" localSheetId="5"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umm_EPS" localSheetId="5" hidden="1">{#N/A,#N/A,FALSE,"Calc";#N/A,#N/A,FALSE,"Sensitivity";#N/A,#N/A,FALSE,"LT Earn.Dil.";#N/A,#N/A,FALSE,"Dil. AVP"}</definedName>
    <definedName name="summ_EPS" hidden="1">{#N/A,#N/A,FALSE,"Calc";#N/A,#N/A,FALSE,"Sensitivity";#N/A,#N/A,FALSE,"LT Earn.Dil.";#N/A,#N/A,FALSE,"Dil. AVP"}</definedName>
    <definedName name="test" hidden="1">#REF!</definedName>
    <definedName name="test1" hidden="1">#REF!</definedName>
    <definedName name="TY" localSheetId="5" hidden="1">{#N/A,#N/A,FALSE,"Vessel1 1";#N/A,#N/A,FALSE,"Vessel1 2";#N/A,#N/A,FALSE,"Vessel1 3";#N/A,#N/A,FALSE,"Vessel1 4";#N/A,#N/A,FALSE,"Vessel1 5";#N/A,#N/A,FALSE,"Vessel1 6";#N/A,#N/A,FALSE,"Vessel1 7";#N/A,#N/A,FALSE,"Vessel1 8";#N/A,#N/A,FALSE,"Vessel1 9";#N/A,#N/A,FALSE,"Vessel1 10";#N/A,#N/A,FALSE,"Vessel1 11"}</definedName>
    <definedName name="TY" hidden="1">{#N/A,#N/A,FALSE,"Vessel1 1";#N/A,#N/A,FALSE,"Vessel1 2";#N/A,#N/A,FALSE,"Vessel1 3";#N/A,#N/A,FALSE,"Vessel1 4";#N/A,#N/A,FALSE,"Vessel1 5";#N/A,#N/A,FALSE,"Vessel1 6";#N/A,#N/A,FALSE,"Vessel1 7";#N/A,#N/A,FALSE,"Vessel1 8";#N/A,#N/A,FALSE,"Vessel1 9";#N/A,#N/A,FALSE,"Vessel1 10";#N/A,#N/A,FALSE,"Vessel1 11"}</definedName>
    <definedName name="u" localSheetId="5" hidden="1">{"page1",#N/A,FALSE,"Casual RLE";"page2",#N/A,FALSE,"Casual RLE"}</definedName>
    <definedName name="u" hidden="1">{"page1",#N/A,FALSE,"Casual RLE";"page2",#N/A,FALSE,"Casual RLE"}</definedName>
    <definedName name="VIA" localSheetId="5" hidden="1">{"External_Annual_Income",#N/A,FALSE,"External";"External_Quarterly_Income",#N/A,FALSE,"External"}</definedName>
    <definedName name="VIA" hidden="1">{"External_Annual_Income",#N/A,FALSE,"External";"External_Quarterly_Income",#N/A,FALSE,"External"}</definedName>
    <definedName name="w" hidden="1">#REF!</definedName>
    <definedName name="we4t5" localSheetId="5" hidden="1">{#N/A,#N/A,TRUE,"Proposal";#N/A,#N/A,TRUE,"Assumptions";#N/A,#N/A,TRUE,"Net Income";#N/A,#N/A,TRUE,"Balsheet";#N/A,#N/A,TRUE,"Capex";#N/A,#N/A,TRUE,"Volumes";#N/A,#N/A,TRUE,"Revenues";#N/A,#N/A,TRUE,"Var.Costs";#N/A,#N/A,TRUE,"Personnel";#N/A,#N/A,TRUE,"Other costs";#N/A,#N/A,TRUE,"MKTG and G&amp;A"}</definedName>
    <definedName name="we4t5" hidden="1">{#N/A,#N/A,TRUE,"Proposal";#N/A,#N/A,TRUE,"Assumptions";#N/A,#N/A,TRUE,"Net Income";#N/A,#N/A,TRUE,"Balsheet";#N/A,#N/A,TRUE,"Capex";#N/A,#N/A,TRUE,"Volumes";#N/A,#N/A,TRUE,"Revenues";#N/A,#N/A,TRUE,"Var.Costs";#N/A,#N/A,TRUE,"Personnel";#N/A,#N/A,TRUE,"Other costs";#N/A,#N/A,TRUE,"MKTG and G&amp;A"}</definedName>
    <definedName name="WEI" localSheetId="5" hidden="1">{#N/A,#N/A,FALSE,"Vessel1 1";#N/A,#N/A,FALSE,"Vessel1 2";#N/A,#N/A,FALSE,"Vessel1 3";#N/A,#N/A,FALSE,"Vessel1 4";#N/A,#N/A,FALSE,"Vessel1 5";#N/A,#N/A,FALSE,"Vessel1 6";#N/A,#N/A,FALSE,"Vessel1 7";#N/A,#N/A,FALSE,"Vessel1 8";#N/A,#N/A,FALSE,"Vessel1 9";#N/A,#N/A,FALSE,"Vessel1 10";#N/A,#N/A,FALSE,"Vessel1 11"}</definedName>
    <definedName name="WEI" hidden="1">{#N/A,#N/A,FALSE,"Vessel1 1";#N/A,#N/A,FALSE,"Vessel1 2";#N/A,#N/A,FALSE,"Vessel1 3";#N/A,#N/A,FALSE,"Vessel1 4";#N/A,#N/A,FALSE,"Vessel1 5";#N/A,#N/A,FALSE,"Vessel1 6";#N/A,#N/A,FALSE,"Vessel1 7";#N/A,#N/A,FALSE,"Vessel1 8";#N/A,#N/A,FALSE,"Vessel1 9";#N/A,#N/A,FALSE,"Vessel1 10";#N/A,#N/A,FALSE,"Vessel1 11"}</definedName>
    <definedName name="WEIG" localSheetId="5" hidden="1">{#N/A,#N/A,FALSE,"Vessel1 1";#N/A,#N/A,FALSE,"Vessel1 2";#N/A,#N/A,FALSE,"Vessel1 3";#N/A,#N/A,FALSE,"Vessel1 4";#N/A,#N/A,FALSE,"Vessel1 5";#N/A,#N/A,FALSE,"Vessel1 6";#N/A,#N/A,FALSE,"Vessel1 7";#N/A,#N/A,FALSE,"Vessel1 8";#N/A,#N/A,FALSE,"Vessel1 9";#N/A,#N/A,FALSE,"Vessel1 10";#N/A,#N/A,FALSE,"Vessel1 11"}</definedName>
    <definedName name="WEIG" hidden="1">{#N/A,#N/A,FALSE,"Vessel1 1";#N/A,#N/A,FALSE,"Vessel1 2";#N/A,#N/A,FALSE,"Vessel1 3";#N/A,#N/A,FALSE,"Vessel1 4";#N/A,#N/A,FALSE,"Vessel1 5";#N/A,#N/A,FALSE,"Vessel1 6";#N/A,#N/A,FALSE,"Vessel1 7";#N/A,#N/A,FALSE,"Vessel1 8";#N/A,#N/A,FALSE,"Vessel1 9";#N/A,#N/A,FALSE,"Vessel1 10";#N/A,#N/A,FALSE,"Vessel1 11"}</definedName>
    <definedName name="wer" hidden="1">#REF!</definedName>
    <definedName name="werwq" hidden="1">#REF!</definedName>
    <definedName name="wewew" localSheetId="5" hidden="1">{"page1",#N/A,FALSE,"Casual RLE";"page2",#N/A,FALSE,"Casual RLE"}</definedName>
    <definedName name="wewew" hidden="1">{"page1",#N/A,FALSE,"Casual RLE";"page2",#N/A,FALSE,"Casual RLE"}</definedName>
    <definedName name="wrn.1." localSheetId="5" hidden="1">{#N/A,#N/A,FALSE,"Calc";#N/A,#N/A,FALSE,"Sensitivity";#N/A,#N/A,FALSE,"LT Earn.Dil.";#N/A,#N/A,FALSE,"Dil. AVP"}</definedName>
    <definedName name="wrn.1." hidden="1">{#N/A,#N/A,FALSE,"Calc";#N/A,#N/A,FALSE,"Sensitivity";#N/A,#N/A,FALSE,"LT Earn.Dil.";#N/A,#N/A,FALSE,"Dil. AVP"}</definedName>
    <definedName name="wrn.A." localSheetId="5" hidden="1">{#N/A,#N/A,FALSE,"Ejector 1";#N/A,#N/A,FALSE,"Ejector 2"}</definedName>
    <definedName name="wrn.A." hidden="1">{#N/A,#N/A,FALSE,"Ejector 1";#N/A,#N/A,FALSE,"Ejector 2"}</definedName>
    <definedName name="wrn.ACK." localSheetId="5" hidden="1">{"Annual",#N/A,FALSE,"ACK";"Margins",#N/A,FALSE,"ACK";"Q",#N/A,FALSE,"QTRS."}</definedName>
    <definedName name="wrn.ACK." hidden="1">{"Annual",#N/A,FALSE,"ACK";"Margins",#N/A,FALSE,"ACK";"Q",#N/A,FALSE,"QTRS."}</definedName>
    <definedName name="wrn.All." localSheetId="5" hidden="1">{#N/A,#N/A,FALSE,"Page 1";#N/A,#N/A,FALSE,"Page 2"}</definedName>
    <definedName name="wrn.All." hidden="1">{#N/A,#N/A,FALSE,"Page 1";#N/A,#N/A,FALSE,"Page 2"}</definedName>
    <definedName name="wrn.BDK" localSheetId="5" hidden="1">{"annual",#N/A,FALSE,"MAS";"margins",#N/A,FALSE,"MAS";"Q",#N/A,FALSE,"Qtrs."}</definedName>
    <definedName name="wrn.BDK" hidden="1">{"annual",#N/A,FALSE,"MAS";"margins",#N/A,FALSE,"MAS";"Q",#N/A,FALSE,"Qtrs."}</definedName>
    <definedName name="wrn.Chuckie._.Boyz._.Masterfukinpiece." localSheetId="5" hidden="1">{#N/A,#N/A,FALSE,"Networking";#N/A,#N/A,FALSE,"Net. Graphs";#N/A,#N/A,FALSE,"Services";#N/A,#N/A,FALSE,"Serv. Grpahs"}</definedName>
    <definedName name="wrn.Chuckie._.Boyz._.Masterfukinpiece." hidden="1">{#N/A,#N/A,FALSE,"Networking";#N/A,#N/A,FALSE,"Net. Graphs";#N/A,#N/A,FALSE,"Services";#N/A,#N/A,FALSE,"Serv. Grpahs"}</definedName>
    <definedName name="wrn.Danilo." localSheetId="5" hidden="1">{#N/A,#N/A,TRUE,"Main Issues";#N/A,#N/A,TRUE,"Income statement ($)"}</definedName>
    <definedName name="wrn.Danilo." hidden="1">{#N/A,#N/A,TRUE,"Main Issues";#N/A,#N/A,TRUE,"Income statement ($)"}</definedName>
    <definedName name="wrn.detail_US." localSheetId="5" hidden="1">{"summary1",#N/A,FALSE,"K";"summary2",#N/A,FALSE,"K";"USmarket",#N/A,FALSE,"K";"USearnings",#N/A,FALSE,"K"}</definedName>
    <definedName name="wrn.detail_US." hidden="1">{"summary1",#N/A,FALSE,"K";"summary2",#N/A,FALSE,"K";"USmarket",#N/A,FALSE,"K";"USearnings",#N/A,FALSE,"K"}</definedName>
    <definedName name="wrn.Earnings._.Model."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TH." localSheetId="5" hidden="1">{"AnnMarg.",#N/A,FALSE,"ETHAN";"Q",#N/A,FALSE,"Qtrs."}</definedName>
    <definedName name="wrn.ETH." hidden="1">{"AnnMarg.",#N/A,FALSE,"ETHAN";"Q",#N/A,FALSE,"Qtrs."}</definedName>
    <definedName name="wrn.External." localSheetId="5" hidden="1">{"External_Annual_Income",#N/A,FALSE,"External";"External_Quarterly_Income",#N/A,FALSE,"External"}</definedName>
    <definedName name="wrn.External." hidden="1">{"External_Annual_Income",#N/A,FALSE,"External";"External_Quarterly_Income",#N/A,FALSE,"External"}</definedName>
    <definedName name="wrn.external.2" localSheetId="5" hidden="1">{"External_Annual_Income",#N/A,FALSE,"External";"External_Quarterly_Income",#N/A,FALSE,"External"}</definedName>
    <definedName name="wrn.external.2" hidden="1">{"External_Annual_Income",#N/A,FALSE,"External";"External_Quarterly_Income",#N/A,FALSE,"External"}</definedName>
    <definedName name="wrn.fb." localSheetId="5" hidden="1">{"AnnMarg",#N/A,FALSE,"FALCON";"Q",#N/A,FALSE,"Qtrs."}</definedName>
    <definedName name="wrn.fb." hidden="1">{"AnnMarg",#N/A,FALSE,"FALCON";"Q",#N/A,FALSE,"Qtrs."}</definedName>
    <definedName name="wrn.financials." localSheetId="5" hidden="1">{"income",#N/A,FALSE,"K";"cashflow",#N/A,FALSE,"K";"balances",#N/A,FALSE,"K";"ratios",#N/A,FALSE,"K"}</definedName>
    <definedName name="wrn.financials." hidden="1">{"income",#N/A,FALSE,"K";"cashflow",#N/A,FALSE,"K";"balances",#N/A,FALSE,"K";"ratios",#N/A,FALSE,"K"}</definedName>
    <definedName name="wrn.Full._.Earnings._.Model." localSheetId="5"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Earnings._.Model."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Model." localSheetId="5" hidden="1">{"Annual",#N/A,TRUE,"KMB";"Quarterly",#N/A,TRUE,"KMB"}</definedName>
    <definedName name="wrn.Full._.Model." hidden="1">{"Annual",#N/A,TRUE,"KMB";"Quarterly",#N/A,TRUE,"KMB"}</definedName>
    <definedName name="wrn.Full._.report." localSheetId="5" hidden="1">{"Annual",#N/A,TRUE,"SMURF";"Quarterly",#N/A,TRUE,"SMURF"}</definedName>
    <definedName name="wrn.Full._.report." hidden="1">{"Annual",#N/A,TRUE,"SMURF";"Quarterly",#N/A,TRUE,"SMURF"}</definedName>
    <definedName name="wrn.handout." localSheetId="5" hidden="1">{"quarterly",#N/A,FALSE,"Income Statement New CPB";"annual",#N/A,FALSE,"Income Statement New CPB";"cash flow",#N/A,FALSE,"Cash Flow";"balance",#N/A,FALSE,"Balance Sheet";"seg",#N/A,FALSE,"New Segment Breakout"}</definedName>
    <definedName name="wrn.handout." hidden="1">{"quarterly",#N/A,FALSE,"Income Statement New CPB";"annual",#N/A,FALSE,"Income Statement New CPB";"cash flow",#N/A,FALSE,"Cash Flow";"balance",#N/A,FALSE,"Balance Sheet";"seg",#N/A,FALSE,"New Segment Breakout"}</definedName>
    <definedName name="wrn.Income._.Statement_Operating." localSheetId="5" hidden="1">{"Print",#N/A,FALSE,"Income Statement - Operating";"Print",#N/A,FALSE,"Income Statement - %Revenue";"Print",#N/A,FALSE,"Year-over-Year Growth";"Print",#N/A,FALSE,"Sequential Growth"}</definedName>
    <definedName name="wrn.Income._.Statement_Operating." hidden="1">{"Print",#N/A,FALSE,"Income Statement - Operating";"Print",#N/A,FALSE,"Income Statement - %Revenue";"Print",#N/A,FALSE,"Year-over-Year Growth";"Print",#N/A,FALSE,"Sequential Growth"}</definedName>
    <definedName name="wrn.Income._.Statement." localSheetId="5" hidden="1">{#N/A,#N/A,FALSE,"Report Print"}</definedName>
    <definedName name="wrn.Income._.Statement." hidden="1">{#N/A,#N/A,FALSE,"Report Print"}</definedName>
    <definedName name="wrn.IPIX." localSheetId="5" hidden="1">{#N/A,#N/A,FALSE,"Report Print"}</definedName>
    <definedName name="wrn.IPIX." hidden="1">{#N/A,#N/A,FALSE,"Report Print"}</definedName>
    <definedName name="wrn.ISS." localSheetId="5" hidden="1">{"AnnMarg",#N/A,FALSE,"ISS";"Q",#N/A,FALSE,"Qtrs."}</definedName>
    <definedName name="wrn.ISS." hidden="1">{"AnnMarg",#N/A,FALSE,"ISS";"Q",#N/A,FALSE,"Qtrs."}</definedName>
    <definedName name="wrn.mario" localSheetId="5" hidden="1">{"Area1",#N/A,TRUE,"Obiettivo";"Area2",#N/A,TRUE,"Dati per Direzione"}</definedName>
    <definedName name="wrn.mario" hidden="1">{"Area1",#N/A,TRUE,"Obiettivo";"Area2",#N/A,TRUE,"Dati per Direzione"}</definedName>
    <definedName name="wrn.Mario." localSheetId="5" hidden="1">{"Area1",#N/A,TRUE,"Obiettivo";"Area2",#N/A,TRUE,"Dati per Direzione"}</definedName>
    <definedName name="wrn.Mario." hidden="1">{"Area1",#N/A,TRUE,"Obiettivo";"Area2",#N/A,TRUE,"Dati per Direzione"}</definedName>
    <definedName name="wrn.market._.share." localSheetId="5"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S." localSheetId="5" hidden="1">{"annual",#N/A,FALSE,"MAS";"margins",#N/A,FALSE,"MAS";"Q",#N/A,FALSE,"Qtrs."}</definedName>
    <definedName name="wrn.MAS." hidden="1">{"annual",#N/A,FALSE,"MAS";"margins",#N/A,FALSE,"MAS";"Q",#N/A,FALSE,"Qtrs."}</definedName>
    <definedName name="wrn.Master_Income." localSheetId="5" hidden="1">{"Annual_Income",#N/A,FALSE,"Master Model";"Quarterly_Income",#N/A,FALSE,"Master Model"}</definedName>
    <definedName name="wrn.Master_Income." hidden="1">{"Annual_Income",#N/A,FALSE,"Master Model";"Quarterly_Income",#N/A,FALSE,"Master Model"}</definedName>
    <definedName name="wrn.Modello." localSheetId="5" hidden="1">{#N/A,#N/A,TRUE,"Proposal";#N/A,#N/A,TRUE,"Assumptions";#N/A,#N/A,TRUE,"Net Income";#N/A,#N/A,TRUE,"Balsheet";#N/A,#N/A,TRUE,"Capex";#N/A,#N/A,TRUE,"Volumes";#N/A,#N/A,TRUE,"Revenues";#N/A,#N/A,TRUE,"Var.Costs";#N/A,#N/A,TRUE,"Personnel";#N/A,#N/A,TRUE,"Other costs";#N/A,#N/A,TRUE,"MKTG and G&amp;A"}</definedName>
    <definedName name="wrn.Modello." hidden="1">{#N/A,#N/A,TRUE,"Proposal";#N/A,#N/A,TRUE,"Assumptions";#N/A,#N/A,TRUE,"Net Income";#N/A,#N/A,TRUE,"Balsheet";#N/A,#N/A,TRUE,"Capex";#N/A,#N/A,TRUE,"Volumes";#N/A,#N/A,TRUE,"Revenues";#N/A,#N/A,TRUE,"Var.Costs";#N/A,#N/A,TRUE,"Personnel";#N/A,#N/A,TRUE,"Other costs";#N/A,#N/A,TRUE,"MKTG and G&amp;A"}</definedName>
    <definedName name="wrn.Page_1." localSheetId="5" hidden="1">{#N/A,#N/A,FALSE,"Page 1"}</definedName>
    <definedName name="wrn.Page_1." hidden="1">{#N/A,#N/A,FALSE,"Page 1"}</definedName>
    <definedName name="wrn.Page_2." localSheetId="5" hidden="1">{#N/A,#N/A,FALSE,"Page 2"}</definedName>
    <definedName name="wrn.Page_2." hidden="1">{#N/A,#N/A,FALSE,"Page 2"}</definedName>
    <definedName name="wrn.Printout." localSheetId="5" hidden="1">{"page1",#N/A,FALSE,"Casual RLE";"page2",#N/A,FALSE,"Casual RLE"}</definedName>
    <definedName name="wrn.Printout." hidden="1">{"page1",#N/A,FALSE,"Casual RLE";"page2",#N/A,FALSE,"Casual RLE"}</definedName>
    <definedName name="wrn.Renters._.Choice." localSheetId="5" hidden="1">{#N/A,#N/A,FALSE,"RC";#N/A,#N/A,FALSE,"Proj";#N/A,#N/A,FALSE,"Rev_cost";#N/A,#N/A,FALSE,"Capex";#N/A,#N/A,FALSE,"Debt"}</definedName>
    <definedName name="wrn.Renters._.Choice." hidden="1">{#N/A,#N/A,FALSE,"RC";#N/A,#N/A,FALSE,"Proj";#N/A,#N/A,FALSE,"Rev_cost";#N/A,#N/A,FALSE,"Capex";#N/A,#N/A,FALSE,"Debt"}</definedName>
    <definedName name="wrn.rep_page." localSheetId="5" hidden="1">{"Annual_Income",#N/A,FALSE,"Report Page";"Balance_Cash_Flow",#N/A,FALSE,"Report Page";"Quarterly_Income",#N/A,FALSE,"Report Page"}</definedName>
    <definedName name="wrn.rep_page." hidden="1">{"Annual_Income",#N/A,FALSE,"Report Page";"Balance_Cash_Flow",#N/A,FALSE,"Report Page";"Quarterly_Income",#N/A,FALSE,"Report Page"}</definedName>
    <definedName name="wrn.Report_Page." localSheetId="5"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Report." localSheetId="5" hidden="1">{#N/A,#N/A,FALSE,"OnePager"}</definedName>
    <definedName name="wrn.Report." hidden="1">{#N/A,#N/A,FALSE,"OnePager"}</definedName>
    <definedName name="wrn.simmons." localSheetId="5" hidden="1">{#N/A,#N/A,FALSE,"simmons";#N/A,#N/A,FALSE,"Rev_cst";#N/A,#N/A,FALSE,"Debt"}</definedName>
    <definedName name="wrn.simmons." hidden="1">{#N/A,#N/A,FALSE,"simmons";#N/A,#N/A,FALSE,"Rev_cst";#N/A,#N/A,FALSE,"Debt"}</definedName>
    <definedName name="wrn.SKS." localSheetId="5" hidden="1">{#N/A,#N/A,FALSE,"Projections";#N/A,#N/A,FALSE,"Revenue &amp; Costs";#N/A,#N/A,FALSE,"Capex,  D&amp;A";#N/A,#N/A,FALSE,"Capitalization";#N/A,#N/A,FALSE,"Valuation"}</definedName>
    <definedName name="wrn.SKS." hidden="1">{#N/A,#N/A,FALSE,"Projections";#N/A,#N/A,FALSE,"Revenue &amp; Costs";#N/A,#N/A,FALSE,"Capex,  D&amp;A";#N/A,#N/A,FALSE,"Capitalization";#N/A,#N/A,FALSE,"Valuation"}</definedName>
    <definedName name="wrn.SWK." localSheetId="5" hidden="1">{"Annual",#N/A,FALSE,"SWK";"Margins",#N/A,FALSE,"SWK";"Q",#N/A,FALSE,"Qtrs."}</definedName>
    <definedName name="wrn.SWK." hidden="1">{"Annual",#N/A,FALSE,"SWK";"Margins",#N/A,FALSE,"SWK";"Q",#N/A,FALSE,"Qtrs."}</definedName>
    <definedName name="x" hidden="1">#N/A</definedName>
    <definedName name="xx" hidden="1">#REF!</definedName>
    <definedName name="xxkkkkkkkk" localSheetId="5" hidden="1">{"fdsup://directions/FAT Viewer?action=UPDATE&amp;creator=factSet&amp;DYN_ARGS=true&amp;DOC_NAME=FAT:RGA_ENTRPR_VAL_MV_SOURCE_WINDOW.FAT&amp;VAR:ID1=BBBY&amp;VAR:SDATE=20000512&amp;VAR:FDATE=20000229&amp;VAR:FREQ=DAILY&amp;VAR:RELITEM=&amp;VAR:CURRENCY=&amp;VAR:DB_TYPE=&amp;VAR:UNITS=M&amp;VAR:SHS_OUT_TY","PE=&amp;window=popup&amp;width=535&amp;height=425&amp;START_MAXIMIZED=FALSE&amp;Y=120"}</definedName>
    <definedName name="xxkkkkkkkk" hidden="1">{"fdsup://directions/FAT Viewer?action=UPDATE&amp;creator=factSet&amp;DYN_ARGS=true&amp;DOC_NAME=FAT:RGA_ENTRPR_VAL_MV_SOURCE_WINDOW.FAT&amp;VAR:ID1=BBBY&amp;VAR:SDATE=20000512&amp;VAR:FDATE=20000229&amp;VAR:FREQ=DAILY&amp;VAR:RELITEM=&amp;VAR:CURRENCY=&amp;VAR:DB_TYPE=&amp;VAR:UNITS=M&amp;VAR:SHS_OUT_TY","PE=&amp;window=popup&amp;width=535&amp;height=425&amp;START_MAXIMIZED=FALSE&amp;Y=120"}</definedName>
    <definedName name="xxx"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xx"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ZZZ" localSheetId="5" hidden="1">{#N/A,#N/A,FALSE,"Vessel1 1";#N/A,#N/A,FALSE,"Vessel1 2";#N/A,#N/A,FALSE,"Vessel1 3";#N/A,#N/A,FALSE,"Vessel1 4";#N/A,#N/A,FALSE,"Vessel1 5";#N/A,#N/A,FALSE,"Vessel1 6";#N/A,#N/A,FALSE,"Vessel1 7";#N/A,#N/A,FALSE,"Vessel1 8";#N/A,#N/A,FALSE,"Vessel1 9";#N/A,#N/A,FALSE,"Vessel1 10";#N/A,#N/A,FALSE,"Vessel1 11"}</definedName>
    <definedName name="ZZZ" hidden="1">{#N/A,#N/A,FALSE,"Vessel1 1";#N/A,#N/A,FALSE,"Vessel1 2";#N/A,#N/A,FALSE,"Vessel1 3";#N/A,#N/A,FALSE,"Vessel1 4";#N/A,#N/A,FALSE,"Vessel1 5";#N/A,#N/A,FALSE,"Vessel1 6";#N/A,#N/A,FALSE,"Vessel1 7";#N/A,#N/A,FALSE,"Vessel1 8";#N/A,#N/A,FALSE,"Vessel1 9";#N/A,#N/A,FALSE,"Vessel1 10";#N/A,#N/A,FALSE,"Vessel1 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5" i="32" l="1"/>
  <c r="J22" i="32"/>
  <c r="J33" i="32" l="1"/>
  <c r="J29" i="32" s="1"/>
  <c r="K29" i="32"/>
  <c r="L121" i="14"/>
  <c r="L113" i="14"/>
  <c r="K113" i="14"/>
  <c r="J113" i="14"/>
  <c r="I113" i="14"/>
  <c r="H113" i="14"/>
  <c r="G113" i="14"/>
  <c r="F113" i="14"/>
  <c r="F114" i="14" s="1"/>
  <c r="F117" i="14" s="1"/>
  <c r="E113" i="14"/>
  <c r="D113" i="14"/>
  <c r="C113" i="14"/>
  <c r="N31" i="32"/>
  <c r="L33" i="32"/>
  <c r="O13" i="27"/>
  <c r="P16" i="21"/>
  <c r="T17" i="20"/>
  <c r="P17" i="20" s="1"/>
  <c r="I31" i="32"/>
  <c r="N23" i="32"/>
  <c r="M23" i="32"/>
  <c r="L23" i="32"/>
  <c r="K23" i="32"/>
  <c r="J23" i="32"/>
  <c r="T25" i="20"/>
  <c r="S25" i="20"/>
  <c r="R25" i="20"/>
  <c r="Q25" i="20"/>
  <c r="P25" i="20"/>
  <c r="P22" i="20"/>
  <c r="T28" i="20"/>
  <c r="S28" i="20"/>
  <c r="R28" i="20"/>
  <c r="Q28" i="20"/>
  <c r="P28" i="20"/>
  <c r="T29" i="20"/>
  <c r="S29" i="20"/>
  <c r="R29" i="20"/>
  <c r="Q29" i="20"/>
  <c r="P29" i="20"/>
  <c r="T27" i="20"/>
  <c r="S27" i="20"/>
  <c r="R27" i="20"/>
  <c r="Q27" i="20"/>
  <c r="P27" i="20"/>
  <c r="H25" i="20"/>
  <c r="G25" i="20"/>
  <c r="O25" i="20"/>
  <c r="N25" i="20"/>
  <c r="M25" i="20"/>
  <c r="L25" i="20"/>
  <c r="K25" i="20"/>
  <c r="J25" i="20"/>
  <c r="I25" i="20"/>
  <c r="G22" i="20"/>
  <c r="T22" i="20"/>
  <c r="S22" i="20"/>
  <c r="R22" i="20"/>
  <c r="Q22" i="20"/>
  <c r="P11" i="27"/>
  <c r="R11" i="27"/>
  <c r="L93" i="14"/>
  <c r="L95" i="14" s="1"/>
  <c r="P15" i="21" l="1"/>
  <c r="P17" i="21" s="1"/>
  <c r="O56" i="27" l="1"/>
  <c r="I32" i="32"/>
  <c r="O21" i="20" l="1"/>
  <c r="N21" i="20"/>
  <c r="M21" i="20"/>
  <c r="L21" i="20"/>
  <c r="K21" i="20"/>
  <c r="J21" i="20"/>
  <c r="I21" i="20"/>
  <c r="H21" i="20"/>
  <c r="S21" i="20" s="1"/>
  <c r="G21" i="20"/>
  <c r="F21" i="20"/>
  <c r="P21" i="22"/>
  <c r="D26" i="22"/>
  <c r="C28" i="22"/>
  <c r="C29" i="22" s="1"/>
  <c r="C30" i="22" s="1"/>
  <c r="C31" i="22" s="1"/>
  <c r="C27" i="22"/>
  <c r="C26" i="22"/>
  <c r="P26" i="22"/>
  <c r="O23" i="22"/>
  <c r="O24" i="22"/>
  <c r="J50" i="32"/>
  <c r="Q11" i="21"/>
  <c r="P11" i="21"/>
  <c r="Q10" i="21"/>
  <c r="R10" i="21" s="1"/>
  <c r="S10" i="21" s="1"/>
  <c r="T10" i="21" s="1"/>
  <c r="O24" i="20"/>
  <c r="N24" i="20"/>
  <c r="M24" i="20"/>
  <c r="L24" i="20"/>
  <c r="K24" i="20"/>
  <c r="J24" i="20"/>
  <c r="I24" i="20"/>
  <c r="H24" i="20"/>
  <c r="P24" i="20" s="1"/>
  <c r="G24" i="20"/>
  <c r="P10" i="27"/>
  <c r="J41" i="32"/>
  <c r="F15" i="32"/>
  <c r="J5" i="32"/>
  <c r="K5" i="32" s="1"/>
  <c r="L5" i="32" s="1"/>
  <c r="M5" i="32" s="1"/>
  <c r="N5" i="32" s="1"/>
  <c r="L20" i="32"/>
  <c r="M20" i="32" s="1"/>
  <c r="N20" i="32" s="1"/>
  <c r="O20" i="32" s="1"/>
  <c r="K20" i="32"/>
  <c r="R5" i="28"/>
  <c r="S5" i="28" s="1"/>
  <c r="T5" i="28" s="1"/>
  <c r="Q5" i="28"/>
  <c r="P5" i="28"/>
  <c r="J5" i="28"/>
  <c r="K5" i="28" s="1"/>
  <c r="L5" i="28" s="1"/>
  <c r="M5" i="28" s="1"/>
  <c r="N5" i="28" s="1"/>
  <c r="O5" i="28" s="1"/>
  <c r="G5" i="28"/>
  <c r="H5" i="28" s="1"/>
  <c r="I5" i="28" s="1"/>
  <c r="P34" i="22"/>
  <c r="F68" i="27"/>
  <c r="F66" i="27"/>
  <c r="F67" i="27" s="1"/>
  <c r="F65" i="27"/>
  <c r="F62" i="27"/>
  <c r="F60" i="27"/>
  <c r="F58" i="27"/>
  <c r="F61" i="27" s="1"/>
  <c r="F63" i="27" s="1"/>
  <c r="F54" i="27"/>
  <c r="F56" i="27" s="1"/>
  <c r="F53" i="27"/>
  <c r="F52" i="27"/>
  <c r="F51" i="27"/>
  <c r="F46" i="27"/>
  <c r="F45" i="27"/>
  <c r="F47" i="27" s="1"/>
  <c r="F49" i="27" s="1"/>
  <c r="F43" i="27"/>
  <c r="F42" i="27"/>
  <c r="F41" i="27"/>
  <c r="F40" i="27"/>
  <c r="F39" i="27"/>
  <c r="F38" i="27"/>
  <c r="F37" i="27"/>
  <c r="N73" i="27"/>
  <c r="M73" i="27"/>
  <c r="L73" i="27"/>
  <c r="K73" i="27"/>
  <c r="J73" i="27"/>
  <c r="I73" i="27"/>
  <c r="H73" i="27"/>
  <c r="K62" i="27"/>
  <c r="K63" i="27" s="1"/>
  <c r="K71" i="27" s="1"/>
  <c r="N71" i="27"/>
  <c r="M71" i="27"/>
  <c r="L71" i="27"/>
  <c r="J71" i="27"/>
  <c r="I71" i="27"/>
  <c r="H71" i="27"/>
  <c r="N68" i="27"/>
  <c r="M68" i="27"/>
  <c r="L68" i="27"/>
  <c r="K68" i="27"/>
  <c r="J68" i="27"/>
  <c r="I68" i="27"/>
  <c r="H68" i="27"/>
  <c r="H69" i="27" s="1"/>
  <c r="G68" i="27"/>
  <c r="H67" i="27"/>
  <c r="N66" i="27"/>
  <c r="M66" i="27"/>
  <c r="L66" i="27"/>
  <c r="K66" i="27"/>
  <c r="J66" i="27"/>
  <c r="I66" i="27"/>
  <c r="H66" i="27"/>
  <c r="G66" i="27"/>
  <c r="N65" i="27"/>
  <c r="N67" i="27" s="1"/>
  <c r="M65" i="27"/>
  <c r="M67" i="27" s="1"/>
  <c r="L65" i="27"/>
  <c r="L67" i="27" s="1"/>
  <c r="K65" i="27"/>
  <c r="K67" i="27" s="1"/>
  <c r="J65" i="27"/>
  <c r="J67" i="27" s="1"/>
  <c r="I65" i="27"/>
  <c r="I67" i="27" s="1"/>
  <c r="H65" i="27"/>
  <c r="G65" i="27"/>
  <c r="G67" i="27" s="1"/>
  <c r="N62" i="27"/>
  <c r="M62" i="27"/>
  <c r="L62" i="27"/>
  <c r="J62" i="27"/>
  <c r="I62" i="27"/>
  <c r="H62" i="27"/>
  <c r="G62" i="27"/>
  <c r="N60" i="27"/>
  <c r="M60" i="27"/>
  <c r="L60" i="27"/>
  <c r="K60" i="27"/>
  <c r="J60" i="27"/>
  <c r="I60" i="27"/>
  <c r="H60" i="27"/>
  <c r="G60" i="27"/>
  <c r="N58" i="27"/>
  <c r="N61" i="27" s="1"/>
  <c r="N63" i="27" s="1"/>
  <c r="M58" i="27"/>
  <c r="M61" i="27" s="1"/>
  <c r="M63" i="27" s="1"/>
  <c r="L58" i="27"/>
  <c r="L61" i="27" s="1"/>
  <c r="L63" i="27" s="1"/>
  <c r="K58" i="27"/>
  <c r="K61" i="27" s="1"/>
  <c r="J58" i="27"/>
  <c r="J61" i="27" s="1"/>
  <c r="J63" i="27" s="1"/>
  <c r="I58" i="27"/>
  <c r="I61" i="27" s="1"/>
  <c r="I63" i="27" s="1"/>
  <c r="H58" i="27"/>
  <c r="H61" i="27" s="1"/>
  <c r="H63" i="27" s="1"/>
  <c r="G58" i="27"/>
  <c r="G61" i="27" s="1"/>
  <c r="G63" i="27" s="1"/>
  <c r="N53" i="27"/>
  <c r="M53" i="27"/>
  <c r="L53" i="27"/>
  <c r="K53" i="27"/>
  <c r="J53" i="27"/>
  <c r="I53" i="27"/>
  <c r="H53" i="27"/>
  <c r="G53" i="27"/>
  <c r="N52" i="27"/>
  <c r="M52" i="27"/>
  <c r="L52" i="27"/>
  <c r="K52" i="27"/>
  <c r="J52" i="27"/>
  <c r="I52" i="27"/>
  <c r="H52" i="27"/>
  <c r="G52" i="27"/>
  <c r="N51" i="27"/>
  <c r="N54" i="27" s="1"/>
  <c r="M51" i="27"/>
  <c r="M54" i="27" s="1"/>
  <c r="L51" i="27"/>
  <c r="L54" i="27" s="1"/>
  <c r="K51" i="27"/>
  <c r="K54" i="27" s="1"/>
  <c r="J51" i="27"/>
  <c r="J54" i="27" s="1"/>
  <c r="I51" i="27"/>
  <c r="I54" i="27" s="1"/>
  <c r="H51" i="27"/>
  <c r="H54" i="27" s="1"/>
  <c r="H56" i="27" s="1"/>
  <c r="G51" i="27"/>
  <c r="G54" i="27" s="1"/>
  <c r="H47" i="27"/>
  <c r="H49" i="27" s="1"/>
  <c r="N46" i="27"/>
  <c r="M46" i="27"/>
  <c r="L46" i="27"/>
  <c r="K46" i="27"/>
  <c r="J46" i="27"/>
  <c r="I46" i="27"/>
  <c r="H46" i="27"/>
  <c r="G46" i="27"/>
  <c r="N45" i="27"/>
  <c r="N47" i="27" s="1"/>
  <c r="M45" i="27"/>
  <c r="M47" i="27" s="1"/>
  <c r="L45" i="27"/>
  <c r="L47" i="27" s="1"/>
  <c r="K45" i="27"/>
  <c r="K47" i="27" s="1"/>
  <c r="J45" i="27"/>
  <c r="J47" i="27" s="1"/>
  <c r="I45" i="27"/>
  <c r="I47" i="27" s="1"/>
  <c r="H45" i="27"/>
  <c r="G45" i="27"/>
  <c r="G47" i="27" s="1"/>
  <c r="N42" i="27"/>
  <c r="M42" i="27"/>
  <c r="L42" i="27"/>
  <c r="K42" i="27"/>
  <c r="J42" i="27"/>
  <c r="I42" i="27"/>
  <c r="H42" i="27"/>
  <c r="G42" i="27"/>
  <c r="N41" i="27"/>
  <c r="M41" i="27"/>
  <c r="L41" i="27"/>
  <c r="K41" i="27"/>
  <c r="J41" i="27"/>
  <c r="I41" i="27"/>
  <c r="H41" i="27"/>
  <c r="G41" i="27"/>
  <c r="N40" i="27"/>
  <c r="M40" i="27"/>
  <c r="L40" i="27"/>
  <c r="K40" i="27"/>
  <c r="J40" i="27"/>
  <c r="I40" i="27"/>
  <c r="H40" i="27"/>
  <c r="G40" i="27"/>
  <c r="N39" i="27"/>
  <c r="M39" i="27"/>
  <c r="L39" i="27"/>
  <c r="K39" i="27"/>
  <c r="J39" i="27"/>
  <c r="I39" i="27"/>
  <c r="H39" i="27"/>
  <c r="G39" i="27"/>
  <c r="N38" i="27"/>
  <c r="M38" i="27"/>
  <c r="L38" i="27"/>
  <c r="K38" i="27"/>
  <c r="J38" i="27"/>
  <c r="I38" i="27"/>
  <c r="H38" i="27"/>
  <c r="G38" i="27"/>
  <c r="N37" i="27"/>
  <c r="N43" i="27" s="1"/>
  <c r="M37" i="27"/>
  <c r="M43" i="27" s="1"/>
  <c r="L37" i="27"/>
  <c r="L43" i="27" s="1"/>
  <c r="K37" i="27"/>
  <c r="K43" i="27" s="1"/>
  <c r="J37" i="27"/>
  <c r="J43" i="27" s="1"/>
  <c r="I37" i="27"/>
  <c r="I43" i="27" s="1"/>
  <c r="H37" i="27"/>
  <c r="H43" i="27" s="1"/>
  <c r="G37" i="27"/>
  <c r="G43" i="27" s="1"/>
  <c r="O54" i="27"/>
  <c r="O53" i="27"/>
  <c r="O52" i="27"/>
  <c r="O51" i="27"/>
  <c r="O68" i="27"/>
  <c r="O67" i="27"/>
  <c r="O69" i="27" s="1"/>
  <c r="O66" i="27"/>
  <c r="O65" i="27"/>
  <c r="O62" i="27"/>
  <c r="O60" i="27"/>
  <c r="O58" i="27"/>
  <c r="O61" i="27" s="1"/>
  <c r="O42" i="27"/>
  <c r="O41" i="27"/>
  <c r="O40" i="27"/>
  <c r="O47" i="27"/>
  <c r="O46" i="27"/>
  <c r="O45" i="27"/>
  <c r="O43" i="27"/>
  <c r="O49" i="27" s="1"/>
  <c r="O39" i="27"/>
  <c r="O38" i="27"/>
  <c r="O37" i="27"/>
  <c r="I35" i="23"/>
  <c r="T92" i="27"/>
  <c r="S92" i="27"/>
  <c r="R92" i="27"/>
  <c r="Q92" i="27"/>
  <c r="P92" i="27"/>
  <c r="J33" i="23"/>
  <c r="P51" i="27"/>
  <c r="O32" i="27"/>
  <c r="Q23" i="27"/>
  <c r="P23" i="27"/>
  <c r="N32" i="27"/>
  <c r="M32" i="27"/>
  <c r="L32" i="27"/>
  <c r="K32" i="27"/>
  <c r="J32" i="27"/>
  <c r="I32" i="27"/>
  <c r="H32" i="27"/>
  <c r="G32" i="27"/>
  <c r="O28" i="27"/>
  <c r="N28" i="27"/>
  <c r="M28" i="27"/>
  <c r="L28" i="27"/>
  <c r="K28" i="27"/>
  <c r="J28" i="27"/>
  <c r="I28" i="27"/>
  <c r="H28" i="27"/>
  <c r="G28" i="27"/>
  <c r="O25" i="27"/>
  <c r="N25" i="27"/>
  <c r="M25" i="27"/>
  <c r="L25" i="27"/>
  <c r="K25" i="27"/>
  <c r="J25" i="27"/>
  <c r="I25" i="27"/>
  <c r="H25" i="27"/>
  <c r="G25" i="27"/>
  <c r="O24" i="27"/>
  <c r="N24" i="27"/>
  <c r="M24" i="27"/>
  <c r="L24" i="27"/>
  <c r="K24" i="27"/>
  <c r="J24" i="27"/>
  <c r="I24" i="27"/>
  <c r="H24" i="27"/>
  <c r="G24" i="27"/>
  <c r="O23" i="27"/>
  <c r="N23" i="27"/>
  <c r="M23" i="27"/>
  <c r="L23" i="27"/>
  <c r="K23" i="27"/>
  <c r="J23" i="27"/>
  <c r="I23" i="27"/>
  <c r="H23" i="27"/>
  <c r="G23" i="27"/>
  <c r="O19" i="27"/>
  <c r="N19" i="27"/>
  <c r="M19" i="27"/>
  <c r="L19" i="27"/>
  <c r="K19" i="27"/>
  <c r="J19" i="27"/>
  <c r="I19" i="27"/>
  <c r="H19" i="27"/>
  <c r="G19" i="27"/>
  <c r="O18" i="27"/>
  <c r="N18" i="27"/>
  <c r="M18" i="27"/>
  <c r="L18" i="27"/>
  <c r="K18" i="27"/>
  <c r="J18" i="27"/>
  <c r="I18" i="27"/>
  <c r="H18" i="27"/>
  <c r="G18" i="27"/>
  <c r="O15" i="27"/>
  <c r="O20" i="27" s="1"/>
  <c r="G15" i="27"/>
  <c r="G16" i="27" s="1"/>
  <c r="O14" i="27"/>
  <c r="N14" i="27"/>
  <c r="M14" i="27"/>
  <c r="L14" i="27"/>
  <c r="K14" i="27"/>
  <c r="J14" i="27"/>
  <c r="I14" i="27"/>
  <c r="H14" i="27"/>
  <c r="H15" i="27" s="1"/>
  <c r="G14" i="27"/>
  <c r="N13" i="27"/>
  <c r="M13" i="27"/>
  <c r="L13" i="27"/>
  <c r="K13" i="27"/>
  <c r="J13" i="27"/>
  <c r="J15" i="27" s="1"/>
  <c r="I13" i="27"/>
  <c r="I15" i="27" s="1"/>
  <c r="H13" i="27"/>
  <c r="G13" i="27"/>
  <c r="J11" i="27"/>
  <c r="O10" i="27"/>
  <c r="O11" i="27" s="1"/>
  <c r="N10" i="27"/>
  <c r="N11" i="27" s="1"/>
  <c r="M10" i="27"/>
  <c r="M15" i="27" s="1"/>
  <c r="L10" i="27"/>
  <c r="L11" i="27" s="1"/>
  <c r="K10" i="27"/>
  <c r="K15" i="27" s="1"/>
  <c r="J10" i="27"/>
  <c r="I10" i="27"/>
  <c r="I11" i="27" s="1"/>
  <c r="H10" i="27"/>
  <c r="H11" i="27" s="1"/>
  <c r="G10" i="27"/>
  <c r="G11" i="27" s="1"/>
  <c r="F32" i="27"/>
  <c r="F28" i="27"/>
  <c r="F25" i="27"/>
  <c r="F24" i="27"/>
  <c r="F23" i="27"/>
  <c r="P25" i="27"/>
  <c r="Q25" i="27"/>
  <c r="R25" i="27"/>
  <c r="S25" i="27"/>
  <c r="T25" i="27"/>
  <c r="F19" i="27"/>
  <c r="F18" i="27"/>
  <c r="P41" i="27"/>
  <c r="P42" i="27"/>
  <c r="P52" i="27"/>
  <c r="P60" i="27"/>
  <c r="P65" i="27"/>
  <c r="P68" i="27"/>
  <c r="F14" i="27"/>
  <c r="F13" i="27"/>
  <c r="F10" i="27"/>
  <c r="G5" i="27"/>
  <c r="H5" i="27" s="1"/>
  <c r="I5" i="27" s="1"/>
  <c r="J5" i="27" s="1"/>
  <c r="K5" i="27" s="1"/>
  <c r="L5" i="27" s="1"/>
  <c r="M5" i="27" s="1"/>
  <c r="N5" i="27" s="1"/>
  <c r="O5" i="27" s="1"/>
  <c r="P5" i="27" s="1"/>
  <c r="Q5" i="27" s="1"/>
  <c r="R5" i="27" s="1"/>
  <c r="S5" i="27" s="1"/>
  <c r="T5" i="27" s="1"/>
  <c r="I11" i="24"/>
  <c r="I10" i="24"/>
  <c r="I28" i="23"/>
  <c r="I25" i="23"/>
  <c r="I20" i="23"/>
  <c r="I19" i="23"/>
  <c r="J19" i="23"/>
  <c r="J5" i="23"/>
  <c r="K5" i="23" s="1"/>
  <c r="L5" i="23" s="1"/>
  <c r="M5" i="23" s="1"/>
  <c r="N5" i="23" s="1"/>
  <c r="I5" i="23"/>
  <c r="R11" i="21" l="1"/>
  <c r="S11" i="21"/>
  <c r="T11" i="21"/>
  <c r="O63" i="27"/>
  <c r="O71" i="27"/>
  <c r="O73" i="27" s="1"/>
  <c r="P21" i="20"/>
  <c r="P22" i="22" s="1"/>
  <c r="T21" i="20"/>
  <c r="R21" i="20"/>
  <c r="Q21" i="20"/>
  <c r="F69" i="27"/>
  <c r="F71" i="27" s="1"/>
  <c r="F73" i="27" s="1"/>
  <c r="G69" i="27"/>
  <c r="G71" i="27" s="1"/>
  <c r="I49" i="27"/>
  <c r="J49" i="27"/>
  <c r="I56" i="27"/>
  <c r="K49" i="27"/>
  <c r="J56" i="27"/>
  <c r="I69" i="27"/>
  <c r="K56" i="27"/>
  <c r="J69" i="27"/>
  <c r="N49" i="27"/>
  <c r="L69" i="27"/>
  <c r="L49" i="27"/>
  <c r="L56" i="27" s="1"/>
  <c r="M49" i="27"/>
  <c r="M56" i="27" s="1"/>
  <c r="G49" i="27"/>
  <c r="G56" i="27" s="1"/>
  <c r="N56" i="27"/>
  <c r="M69" i="27"/>
  <c r="K69" i="27"/>
  <c r="N69" i="27"/>
  <c r="R23" i="27"/>
  <c r="T23" i="27" s="1"/>
  <c r="S23" i="27"/>
  <c r="J16" i="27"/>
  <c r="J20" i="27"/>
  <c r="O26" i="27"/>
  <c r="O29" i="27" s="1"/>
  <c r="O21" i="27"/>
  <c r="M20" i="27"/>
  <c r="M16" i="27"/>
  <c r="K16" i="27"/>
  <c r="K20" i="27"/>
  <c r="I20" i="27"/>
  <c r="I16" i="27"/>
  <c r="H16" i="27"/>
  <c r="H20" i="27"/>
  <c r="K11" i="27"/>
  <c r="O16" i="27"/>
  <c r="M11" i="27"/>
  <c r="N15" i="27"/>
  <c r="G20" i="27"/>
  <c r="L15" i="27"/>
  <c r="P54" i="27"/>
  <c r="F15" i="27"/>
  <c r="F20" i="27" s="1"/>
  <c r="I30" i="32" l="1"/>
  <c r="I58" i="32"/>
  <c r="G73" i="27"/>
  <c r="K21" i="27"/>
  <c r="K26" i="27"/>
  <c r="K29" i="27" s="1"/>
  <c r="O33" i="27"/>
  <c r="O30" i="27"/>
  <c r="M21" i="27"/>
  <c r="M26" i="27"/>
  <c r="M29" i="27" s="1"/>
  <c r="L16" i="27"/>
  <c r="L20" i="27"/>
  <c r="J21" i="27"/>
  <c r="J26" i="27"/>
  <c r="J29" i="27" s="1"/>
  <c r="N20" i="27"/>
  <c r="N16" i="27"/>
  <c r="H21" i="27"/>
  <c r="H26" i="27"/>
  <c r="H29" i="27" s="1"/>
  <c r="G26" i="27"/>
  <c r="G29" i="27" s="1"/>
  <c r="G21" i="27"/>
  <c r="I21" i="27"/>
  <c r="I26" i="27"/>
  <c r="I29" i="27" s="1"/>
  <c r="H30" i="27" l="1"/>
  <c r="H33" i="27"/>
  <c r="N21" i="27"/>
  <c r="N26" i="27"/>
  <c r="N29" i="27" s="1"/>
  <c r="G33" i="27"/>
  <c r="G30" i="27"/>
  <c r="I30" i="27"/>
  <c r="I33" i="27"/>
  <c r="K33" i="27"/>
  <c r="K30" i="27"/>
  <c r="L26" i="27"/>
  <c r="L29" i="27" s="1"/>
  <c r="L21" i="27"/>
  <c r="M33" i="27"/>
  <c r="M30" i="27"/>
  <c r="J33" i="27"/>
  <c r="J30" i="27"/>
  <c r="L30" i="27" l="1"/>
  <c r="L33" i="27"/>
  <c r="N33" i="27"/>
  <c r="N30" i="27"/>
  <c r="B5" i="32" l="1"/>
  <c r="H66" i="32"/>
  <c r="I18" i="32"/>
  <c r="J38" i="32"/>
  <c r="K38" i="32"/>
  <c r="L38" i="32"/>
  <c r="O5" i="32"/>
  <c r="M38" i="32"/>
  <c r="N38" i="32"/>
  <c r="F66" i="32"/>
  <c r="G66" i="32"/>
  <c r="J66" i="32"/>
  <c r="L66" i="32"/>
  <c r="M66" i="32"/>
  <c r="I80" i="32"/>
  <c r="F89" i="32"/>
  <c r="G89" i="32"/>
  <c r="H89" i="32"/>
  <c r="F90" i="32"/>
  <c r="G90" i="32"/>
  <c r="H90" i="32"/>
  <c r="F91" i="32"/>
  <c r="G91" i="32"/>
  <c r="H91" i="32"/>
  <c r="H99" i="32"/>
  <c r="G99" i="32" s="1"/>
  <c r="J99" i="32"/>
  <c r="K99" i="32" s="1"/>
  <c r="I109" i="32"/>
  <c r="J109" i="32" s="1"/>
  <c r="K109" i="32" s="1"/>
  <c r="I119" i="32"/>
  <c r="H119" i="32" s="1"/>
  <c r="G119" i="32" s="1"/>
  <c r="F137" i="32"/>
  <c r="G137" i="32"/>
  <c r="J137" i="32"/>
  <c r="L137" i="32"/>
  <c r="M137" i="32"/>
  <c r="E19" i="31"/>
  <c r="E38" i="31"/>
  <c r="E55" i="31"/>
  <c r="B5" i="28"/>
  <c r="F48" i="28"/>
  <c r="M48" i="28"/>
  <c r="N48" i="28"/>
  <c r="O48" i="28"/>
  <c r="F49" i="28"/>
  <c r="M49" i="28"/>
  <c r="N49" i="28"/>
  <c r="O49" i="28"/>
  <c r="B5" i="27"/>
  <c r="M67" i="28"/>
  <c r="N67" i="28"/>
  <c r="O67" i="28"/>
  <c r="P93" i="27"/>
  <c r="F28" i="28"/>
  <c r="I77" i="32"/>
  <c r="I76" i="32"/>
  <c r="R5" i="22"/>
  <c r="S5" i="22" s="1"/>
  <c r="T5" i="22" s="1"/>
  <c r="Q5" i="22"/>
  <c r="P5" i="22"/>
  <c r="O5" i="22"/>
  <c r="H5" i="22"/>
  <c r="I5" i="22" s="1"/>
  <c r="J5" i="22" s="1"/>
  <c r="K5" i="22" s="1"/>
  <c r="L5" i="22" s="1"/>
  <c r="M5" i="22" s="1"/>
  <c r="N5" i="22" s="1"/>
  <c r="G5" i="22"/>
  <c r="P14" i="27"/>
  <c r="O16" i="21"/>
  <c r="N16" i="21"/>
  <c r="O15" i="21"/>
  <c r="N15" i="21"/>
  <c r="M15" i="21"/>
  <c r="L15" i="21"/>
  <c r="K15" i="21"/>
  <c r="J15" i="21"/>
  <c r="I15" i="21"/>
  <c r="H15" i="21"/>
  <c r="G15" i="21"/>
  <c r="F16" i="21"/>
  <c r="F15" i="21"/>
  <c r="O10" i="21"/>
  <c r="P13" i="27" s="1"/>
  <c r="N10" i="21"/>
  <c r="M10" i="21"/>
  <c r="L10" i="21"/>
  <c r="K10" i="21"/>
  <c r="J10" i="21"/>
  <c r="I10" i="21"/>
  <c r="H10" i="21"/>
  <c r="G10" i="21"/>
  <c r="F10" i="21"/>
  <c r="P11" i="20"/>
  <c r="G5" i="21"/>
  <c r="H5" i="21" s="1"/>
  <c r="I5" i="21" s="1"/>
  <c r="J5" i="21" s="1"/>
  <c r="K5" i="21" s="1"/>
  <c r="L5" i="21" s="1"/>
  <c r="M5" i="21" s="1"/>
  <c r="N5" i="21" s="1"/>
  <c r="O5" i="21" s="1"/>
  <c r="P5" i="21" s="1"/>
  <c r="Q5" i="21" s="1"/>
  <c r="R5" i="21" s="1"/>
  <c r="S5" i="21" s="1"/>
  <c r="T5" i="21" s="1"/>
  <c r="T35" i="20"/>
  <c r="S35" i="20"/>
  <c r="R35" i="20"/>
  <c r="Q35" i="20"/>
  <c r="P35" i="20"/>
  <c r="O35" i="20"/>
  <c r="N35" i="20"/>
  <c r="M35" i="20"/>
  <c r="L35" i="20"/>
  <c r="K35" i="20"/>
  <c r="J35" i="20"/>
  <c r="I35" i="20"/>
  <c r="H35" i="20"/>
  <c r="G35" i="20"/>
  <c r="F35" i="20"/>
  <c r="L109" i="32" l="1"/>
  <c r="H109" i="32"/>
  <c r="G109" i="32" s="1"/>
  <c r="J24" i="23"/>
  <c r="K18" i="32"/>
  <c r="K137" i="32"/>
  <c r="K66" i="32"/>
  <c r="J18" i="32"/>
  <c r="N18" i="32"/>
  <c r="N137" i="32"/>
  <c r="N66" i="32"/>
  <c r="O38" i="32"/>
  <c r="M18" i="32"/>
  <c r="L18" i="32"/>
  <c r="P10" i="28"/>
  <c r="M18" i="28"/>
  <c r="M10" i="28"/>
  <c r="O30" i="28"/>
  <c r="I83" i="32"/>
  <c r="P100" i="27"/>
  <c r="F30" i="28"/>
  <c r="N30" i="28"/>
  <c r="O29" i="28"/>
  <c r="O18" i="28"/>
  <c r="O24" i="28" s="1"/>
  <c r="N18" i="28"/>
  <c r="N29" i="28"/>
  <c r="N28" i="28"/>
  <c r="I59" i="32"/>
  <c r="O28" i="28"/>
  <c r="I60" i="32"/>
  <c r="I78" i="32"/>
  <c r="N10" i="28"/>
  <c r="E52" i="31"/>
  <c r="M29" i="28"/>
  <c r="M30" i="28"/>
  <c r="F29" i="28"/>
  <c r="J119" i="32"/>
  <c r="K119" i="32" s="1"/>
  <c r="G129" i="32"/>
  <c r="H129" i="32" s="1"/>
  <c r="I129" i="32" s="1"/>
  <c r="J129" i="32" s="1"/>
  <c r="K129" i="32" s="1"/>
  <c r="L119" i="32"/>
  <c r="L99" i="32"/>
  <c r="M28" i="28"/>
  <c r="M32" i="28" s="1"/>
  <c r="P15" i="27"/>
  <c r="P16" i="27" s="1"/>
  <c r="O10" i="28"/>
  <c r="O137" i="32"/>
  <c r="O66" i="32"/>
  <c r="I38" i="32"/>
  <c r="I137" i="32"/>
  <c r="I66" i="32"/>
  <c r="H137" i="32"/>
  <c r="P58" i="27" l="1"/>
  <c r="P61" i="27" s="1"/>
  <c r="J28" i="23"/>
  <c r="Q10" i="27"/>
  <c r="Q15" i="21"/>
  <c r="Q13" i="27" s="1"/>
  <c r="Q16" i="21"/>
  <c r="Q14" i="27" s="1"/>
  <c r="O17" i="28"/>
  <c r="O20" i="28" s="1"/>
  <c r="M34" i="28"/>
  <c r="F41" i="28"/>
  <c r="N24" i="28"/>
  <c r="N17" i="28"/>
  <c r="N20" i="28" s="1"/>
  <c r="M17" i="28"/>
  <c r="M20" i="28" s="1"/>
  <c r="O21" i="28"/>
  <c r="M63" i="28"/>
  <c r="O33" i="28"/>
  <c r="O34" i="28"/>
  <c r="F38" i="28"/>
  <c r="F70" i="28"/>
  <c r="M33" i="28"/>
  <c r="F16" i="27"/>
  <c r="F11" i="28" s="1"/>
  <c r="N33" i="28"/>
  <c r="P11" i="28"/>
  <c r="N34" i="28"/>
  <c r="M11" i="28"/>
  <c r="N32" i="28"/>
  <c r="N11" i="28"/>
  <c r="M58" i="28"/>
  <c r="O32" i="28"/>
  <c r="M24" i="28"/>
  <c r="M70" i="28"/>
  <c r="O11" i="28"/>
  <c r="K50" i="32"/>
  <c r="L50" i="32"/>
  <c r="M50" i="32"/>
  <c r="L129" i="32"/>
  <c r="N50" i="32"/>
  <c r="O70" i="28"/>
  <c r="O38" i="28"/>
  <c r="O41" i="28"/>
  <c r="N70" i="28"/>
  <c r="Q15" i="27" l="1"/>
  <c r="Q16" i="27" s="1"/>
  <c r="R16" i="21"/>
  <c r="R14" i="27" s="1"/>
  <c r="R10" i="27"/>
  <c r="R15" i="21"/>
  <c r="R13" i="27" s="1"/>
  <c r="Q11" i="27"/>
  <c r="Q10" i="28" s="1"/>
  <c r="N23" i="28"/>
  <c r="O23" i="28"/>
  <c r="N21" i="28"/>
  <c r="M39" i="28"/>
  <c r="N63" i="28"/>
  <c r="M23" i="28"/>
  <c r="M21" i="28"/>
  <c r="F39" i="28"/>
  <c r="M38" i="28"/>
  <c r="M41" i="28"/>
  <c r="F26" i="27"/>
  <c r="F29" i="27" s="1"/>
  <c r="F21" i="27"/>
  <c r="F12" i="28" s="1"/>
  <c r="F42" i="28"/>
  <c r="O42" i="28"/>
  <c r="N41" i="28"/>
  <c r="N39" i="28"/>
  <c r="N38" i="28"/>
  <c r="O63" i="28"/>
  <c r="O39" i="28"/>
  <c r="N58" i="28"/>
  <c r="I139" i="32"/>
  <c r="O58" i="28"/>
  <c r="N42" i="28"/>
  <c r="M42" i="28"/>
  <c r="R15" i="27" l="1"/>
  <c r="R16" i="27" s="1"/>
  <c r="R11" i="28" s="1"/>
  <c r="Q11" i="28"/>
  <c r="R10" i="28"/>
  <c r="S15" i="21"/>
  <c r="S13" i="27" s="1"/>
  <c r="S16" i="21"/>
  <c r="S14" i="27" s="1"/>
  <c r="S10" i="27"/>
  <c r="F30" i="27"/>
  <c r="F69" i="28"/>
  <c r="F33" i="27"/>
  <c r="O12" i="28"/>
  <c r="O57" i="28"/>
  <c r="M12" i="28"/>
  <c r="M57" i="28"/>
  <c r="I148" i="32"/>
  <c r="M56" i="28"/>
  <c r="N56" i="28"/>
  <c r="N53" i="28" s="1"/>
  <c r="F122" i="32"/>
  <c r="N57" i="28"/>
  <c r="N12" i="28"/>
  <c r="F132" i="32"/>
  <c r="O56" i="28"/>
  <c r="O53" i="28" s="1"/>
  <c r="S11" i="27" l="1"/>
  <c r="S10" i="28" s="1"/>
  <c r="S15" i="27"/>
  <c r="S16" i="27" s="1"/>
  <c r="T16" i="21"/>
  <c r="T14" i="27" s="1"/>
  <c r="T10" i="27"/>
  <c r="T15" i="21"/>
  <c r="T13" i="27" s="1"/>
  <c r="N59" i="28"/>
  <c r="N60" i="28" s="1"/>
  <c r="F13" i="28"/>
  <c r="M62" i="28"/>
  <c r="M69" i="28"/>
  <c r="M71" i="28" s="1"/>
  <c r="F131" i="32"/>
  <c r="F130" i="32" s="1"/>
  <c r="F133" i="32"/>
  <c r="F134" i="32" s="1"/>
  <c r="M53" i="28"/>
  <c r="M59" i="28"/>
  <c r="M60" i="28" s="1"/>
  <c r="O59" i="28"/>
  <c r="F123" i="32"/>
  <c r="F124" i="32" s="1"/>
  <c r="F121" i="32"/>
  <c r="F120" i="32" s="1"/>
  <c r="M44" i="28"/>
  <c r="F112" i="32"/>
  <c r="L69" i="32"/>
  <c r="M69" i="32"/>
  <c r="K69" i="32"/>
  <c r="J69" i="32"/>
  <c r="N69" i="32"/>
  <c r="L120" i="32"/>
  <c r="O69" i="28"/>
  <c r="O71" i="28" s="1"/>
  <c r="O62" i="28"/>
  <c r="N41" i="32"/>
  <c r="L130" i="32"/>
  <c r="M41" i="32"/>
  <c r="K41" i="32"/>
  <c r="L41" i="32"/>
  <c r="N69" i="28"/>
  <c r="N71" i="28" s="1"/>
  <c r="N62" i="28"/>
  <c r="O44" i="28"/>
  <c r="N44" i="28"/>
  <c r="S11" i="28" l="1"/>
  <c r="O60" i="28"/>
  <c r="T59" i="28"/>
  <c r="E22" i="31" s="1"/>
  <c r="E23" i="31" s="1"/>
  <c r="C7" i="31"/>
  <c r="G7" i="31" s="1"/>
  <c r="T15" i="27"/>
  <c r="T11" i="27"/>
  <c r="T10" i="28" s="1"/>
  <c r="M68" i="28"/>
  <c r="N68" i="28"/>
  <c r="L100" i="32"/>
  <c r="M13" i="28"/>
  <c r="N13" i="28"/>
  <c r="F113" i="32"/>
  <c r="F114" i="32" s="1"/>
  <c r="F111" i="32"/>
  <c r="F110" i="32" s="1"/>
  <c r="L110" i="32"/>
  <c r="O68" i="28"/>
  <c r="O13" i="28"/>
  <c r="F101" i="32"/>
  <c r="F100" i="32" s="1"/>
  <c r="F103" i="32"/>
  <c r="F104" i="32" s="1"/>
  <c r="C8" i="31" l="1"/>
  <c r="E20" i="31" s="1"/>
  <c r="G8" i="31" s="1"/>
  <c r="T16" i="27"/>
  <c r="T11" i="28" s="1"/>
  <c r="O16" i="20"/>
  <c r="N16" i="20"/>
  <c r="M16" i="20"/>
  <c r="L16" i="20"/>
  <c r="K16" i="20"/>
  <c r="J16" i="20"/>
  <c r="I16" i="20"/>
  <c r="H16" i="20"/>
  <c r="G16" i="20"/>
  <c r="O17" i="20"/>
  <c r="N17" i="20"/>
  <c r="M17" i="20"/>
  <c r="L17" i="20"/>
  <c r="K17" i="20"/>
  <c r="J17" i="20"/>
  <c r="I17" i="20"/>
  <c r="H17" i="20"/>
  <c r="G17" i="20"/>
  <c r="F16" i="20"/>
  <c r="F17" i="20"/>
  <c r="O11" i="20"/>
  <c r="N11" i="20"/>
  <c r="M11" i="20"/>
  <c r="L11" i="20"/>
  <c r="K11" i="20"/>
  <c r="J11" i="20"/>
  <c r="I11" i="20"/>
  <c r="H11" i="20"/>
  <c r="G11" i="20"/>
  <c r="T11" i="20" s="1"/>
  <c r="O48" i="20"/>
  <c r="N48" i="20"/>
  <c r="M48" i="20"/>
  <c r="L48" i="20"/>
  <c r="K48" i="20"/>
  <c r="J48" i="20"/>
  <c r="O47" i="20"/>
  <c r="N47" i="20"/>
  <c r="M47" i="20"/>
  <c r="L47" i="20"/>
  <c r="K47" i="20"/>
  <c r="J47" i="20"/>
  <c r="O46" i="20"/>
  <c r="N46" i="20"/>
  <c r="M46" i="20"/>
  <c r="L46" i="20"/>
  <c r="K46" i="20"/>
  <c r="J46" i="20"/>
  <c r="G5" i="20"/>
  <c r="H5" i="20" s="1"/>
  <c r="I5" i="20" s="1"/>
  <c r="B5" i="24"/>
  <c r="F5" i="24"/>
  <c r="G5" i="24"/>
  <c r="H5" i="24"/>
  <c r="I5" i="24"/>
  <c r="J5" i="24"/>
  <c r="K5" i="24"/>
  <c r="L5" i="24"/>
  <c r="M5" i="24"/>
  <c r="N5" i="24"/>
  <c r="K13" i="24"/>
  <c r="L13" i="24"/>
  <c r="M13" i="24" s="1"/>
  <c r="K14" i="24"/>
  <c r="L14" i="24"/>
  <c r="B5" i="23"/>
  <c r="F5" i="23"/>
  <c r="G5" i="23"/>
  <c r="H5" i="23"/>
  <c r="J20" i="23"/>
  <c r="B5" i="22"/>
  <c r="B29" i="22"/>
  <c r="B30" i="22"/>
  <c r="B5" i="21"/>
  <c r="G46" i="20"/>
  <c r="H46" i="20"/>
  <c r="I46" i="20"/>
  <c r="P46" i="20"/>
  <c r="Q46" i="20"/>
  <c r="R46" i="20"/>
  <c r="S46" i="20"/>
  <c r="T46" i="20"/>
  <c r="G47" i="20"/>
  <c r="H47" i="20"/>
  <c r="I47" i="20"/>
  <c r="P47" i="20"/>
  <c r="Q47" i="20"/>
  <c r="R47" i="20"/>
  <c r="S47" i="20"/>
  <c r="T47" i="20"/>
  <c r="G48" i="20"/>
  <c r="H48" i="20"/>
  <c r="I48" i="20"/>
  <c r="P48" i="20"/>
  <c r="Q48" i="20"/>
  <c r="R48" i="20"/>
  <c r="S48" i="20"/>
  <c r="T48" i="20"/>
  <c r="N13" i="24" l="1"/>
  <c r="M14" i="24"/>
  <c r="J25" i="23"/>
  <c r="K20" i="23"/>
  <c r="Q65" i="27" s="1"/>
  <c r="K19" i="23"/>
  <c r="Q68" i="27" s="1"/>
  <c r="Q100" i="27" s="1"/>
  <c r="J11" i="24"/>
  <c r="J10" i="24"/>
  <c r="B31" i="22"/>
  <c r="Q11" i="20"/>
  <c r="R11" i="20"/>
  <c r="S11" i="20"/>
  <c r="J5" i="20"/>
  <c r="K5" i="20" s="1"/>
  <c r="L5" i="20" s="1"/>
  <c r="M5" i="20" s="1"/>
  <c r="N5" i="20" s="1"/>
  <c r="O5" i="20" s="1"/>
  <c r="P5" i="20" s="1"/>
  <c r="Q5" i="20" s="1"/>
  <c r="R5" i="20" s="1"/>
  <c r="S5" i="20" s="1"/>
  <c r="T5" i="20" s="1"/>
  <c r="B28" i="22"/>
  <c r="B27" i="22"/>
  <c r="P95" i="27" l="1"/>
  <c r="R93" i="27"/>
  <c r="N14" i="24"/>
  <c r="Q93" i="27"/>
  <c r="K10" i="24"/>
  <c r="Q51" i="27" s="1"/>
  <c r="L19" i="23"/>
  <c r="R68" i="27" s="1"/>
  <c r="R100" i="27" s="1"/>
  <c r="L20" i="23"/>
  <c r="R65" i="27" s="1"/>
  <c r="K25" i="23"/>
  <c r="Q60" i="27" s="1"/>
  <c r="K11" i="24"/>
  <c r="Q52" i="27" s="1"/>
  <c r="Q54" i="27" l="1"/>
  <c r="Q95" i="27" s="1"/>
  <c r="S93" i="27"/>
  <c r="L25" i="23"/>
  <c r="R60" i="27" s="1"/>
  <c r="M19" i="23"/>
  <c r="S68" i="27" s="1"/>
  <c r="S100" i="27" s="1"/>
  <c r="L11" i="24"/>
  <c r="R52" i="27" s="1"/>
  <c r="M20" i="23"/>
  <c r="S65" i="27" s="1"/>
  <c r="L10" i="24"/>
  <c r="R51" i="27" s="1"/>
  <c r="R54" i="27" l="1"/>
  <c r="R95" i="27" s="1"/>
  <c r="T93" i="27"/>
  <c r="N20" i="23"/>
  <c r="T65" i="27" s="1"/>
  <c r="M25" i="23"/>
  <c r="S60" i="27" s="1"/>
  <c r="M10" i="24"/>
  <c r="S51" i="27" s="1"/>
  <c r="M11" i="24"/>
  <c r="S52" i="27" s="1"/>
  <c r="N19" i="23"/>
  <c r="T68" i="27" s="1"/>
  <c r="T100" i="27" s="1"/>
  <c r="S54" i="27" l="1"/>
  <c r="S95" i="27" s="1"/>
  <c r="N25" i="23"/>
  <c r="T60" i="27" s="1"/>
  <c r="N10" i="24"/>
  <c r="T51" i="27" s="1"/>
  <c r="N11" i="24"/>
  <c r="T52" i="27" s="1"/>
  <c r="T54" i="27" l="1"/>
  <c r="T95" i="27" s="1"/>
  <c r="C33" i="31" s="1"/>
  <c r="O44" i="16" l="1"/>
  <c r="N44" i="16"/>
  <c r="M44" i="16"/>
  <c r="L44" i="16"/>
  <c r="K44" i="16"/>
  <c r="D128" i="14"/>
  <c r="D127" i="14"/>
  <c r="D126" i="14"/>
  <c r="D53" i="14"/>
  <c r="D125" i="14"/>
  <c r="D135" i="14"/>
  <c r="D134" i="14"/>
  <c r="D60" i="14"/>
  <c r="D55" i="14"/>
  <c r="D54" i="14"/>
  <c r="D52" i="14"/>
  <c r="D51" i="14"/>
  <c r="C51" i="14"/>
  <c r="C52" i="14"/>
  <c r="L100" i="14"/>
  <c r="I17" i="23" s="1"/>
  <c r="K100" i="14"/>
  <c r="J100" i="14"/>
  <c r="I100" i="14"/>
  <c r="H100" i="14"/>
  <c r="G100" i="14"/>
  <c r="F100" i="14"/>
  <c r="E100" i="14"/>
  <c r="D100" i="14"/>
  <c r="L99" i="14"/>
  <c r="K99" i="14"/>
  <c r="J99" i="14"/>
  <c r="I99" i="14"/>
  <c r="H99" i="14"/>
  <c r="G99" i="14"/>
  <c r="F99" i="14"/>
  <c r="E99" i="14"/>
  <c r="D99" i="14"/>
  <c r="C100" i="14"/>
  <c r="C99" i="14"/>
  <c r="B116" i="17"/>
  <c r="C102" i="14"/>
  <c r="I81" i="14"/>
  <c r="I94" i="14"/>
  <c r="L75" i="14"/>
  <c r="K75" i="14"/>
  <c r="J75" i="14"/>
  <c r="I75" i="14"/>
  <c r="H75" i="14"/>
  <c r="G75" i="14"/>
  <c r="F75" i="14"/>
  <c r="E75" i="14"/>
  <c r="D75" i="14"/>
  <c r="C76" i="14"/>
  <c r="C75" i="14"/>
  <c r="C74" i="14"/>
  <c r="C54" i="14"/>
  <c r="L55" i="14"/>
  <c r="K55" i="14"/>
  <c r="J55" i="14"/>
  <c r="I55" i="14"/>
  <c r="H55" i="14"/>
  <c r="G55" i="14"/>
  <c r="F55" i="14"/>
  <c r="E55" i="14"/>
  <c r="C55" i="14"/>
  <c r="L51" i="14"/>
  <c r="L128" i="14" s="1"/>
  <c r="K51" i="14"/>
  <c r="K128" i="14" s="1"/>
  <c r="J51" i="14"/>
  <c r="J128" i="14" s="1"/>
  <c r="I51" i="14"/>
  <c r="I128" i="14" s="1"/>
  <c r="H51" i="14"/>
  <c r="H128" i="14" s="1"/>
  <c r="G51" i="14"/>
  <c r="G128" i="14" s="1"/>
  <c r="F51" i="14"/>
  <c r="F128" i="14" s="1"/>
  <c r="E51" i="14"/>
  <c r="E128" i="14" s="1"/>
  <c r="L53" i="14"/>
  <c r="K53" i="14"/>
  <c r="J53" i="14"/>
  <c r="I53" i="14"/>
  <c r="H53" i="14"/>
  <c r="G53" i="14"/>
  <c r="F53" i="14"/>
  <c r="E53" i="14"/>
  <c r="C53" i="14"/>
  <c r="L52" i="14"/>
  <c r="L125" i="14" s="1"/>
  <c r="K52" i="14"/>
  <c r="K125" i="14" s="1"/>
  <c r="J52" i="14"/>
  <c r="J125" i="14" s="1"/>
  <c r="I52" i="14"/>
  <c r="I125" i="14" s="1"/>
  <c r="H52" i="14"/>
  <c r="H125" i="14" s="1"/>
  <c r="G52" i="14"/>
  <c r="G125" i="14" s="1"/>
  <c r="F52" i="14"/>
  <c r="F125" i="14" s="1"/>
  <c r="E52" i="14"/>
  <c r="E125" i="14" s="1"/>
  <c r="L61" i="14"/>
  <c r="L135" i="14" s="1"/>
  <c r="K61" i="14"/>
  <c r="K135" i="14" s="1"/>
  <c r="J61" i="14"/>
  <c r="J135" i="14" s="1"/>
  <c r="I61" i="14"/>
  <c r="I135" i="14" s="1"/>
  <c r="H61" i="14"/>
  <c r="H135" i="14" s="1"/>
  <c r="G61" i="14"/>
  <c r="G135" i="14" s="1"/>
  <c r="F61" i="14"/>
  <c r="F135" i="14" s="1"/>
  <c r="E61" i="14"/>
  <c r="E135" i="14" s="1"/>
  <c r="D61" i="14"/>
  <c r="L54" i="14"/>
  <c r="L127" i="14" s="1"/>
  <c r="K54" i="14"/>
  <c r="K127" i="14" s="1"/>
  <c r="J54" i="14"/>
  <c r="J127" i="14" s="1"/>
  <c r="I54" i="14"/>
  <c r="I127" i="14" s="1"/>
  <c r="H54" i="14"/>
  <c r="H127" i="14" s="1"/>
  <c r="G54" i="14"/>
  <c r="G127" i="14" s="1"/>
  <c r="F54" i="14"/>
  <c r="F127" i="14" s="1"/>
  <c r="E54" i="14"/>
  <c r="E127" i="14" s="1"/>
  <c r="C61" i="14"/>
  <c r="D81" i="14"/>
  <c r="J14" i="23" l="1"/>
  <c r="I126" i="14"/>
  <c r="H126" i="14"/>
  <c r="G126" i="14"/>
  <c r="J126" i="14"/>
  <c r="K126" i="14"/>
  <c r="L126" i="14"/>
  <c r="E126" i="14"/>
  <c r="F126" i="14"/>
  <c r="D42" i="14" l="1"/>
  <c r="D41" i="14"/>
  <c r="E96" i="14"/>
  <c r="D80" i="14"/>
  <c r="L102" i="14"/>
  <c r="K102" i="14"/>
  <c r="J102" i="14"/>
  <c r="I102" i="14"/>
  <c r="H102" i="14"/>
  <c r="G102" i="14"/>
  <c r="F102" i="14"/>
  <c r="E102" i="14"/>
  <c r="D102" i="14"/>
  <c r="D96" i="14"/>
  <c r="H42" i="20" s="1"/>
  <c r="D47" i="14"/>
  <c r="D116" i="14" s="1"/>
  <c r="D46" i="14"/>
  <c r="D115" i="14" s="1"/>
  <c r="C16" i="14"/>
  <c r="C80" i="14"/>
  <c r="E80" i="14"/>
  <c r="F80" i="14"/>
  <c r="G80" i="14"/>
  <c r="H80" i="14"/>
  <c r="I80" i="14"/>
  <c r="J80" i="14"/>
  <c r="K80" i="14"/>
  <c r="L80" i="14"/>
  <c r="C103" i="14"/>
  <c r="C104" i="14" s="1"/>
  <c r="C96" i="14"/>
  <c r="G42" i="20" s="1"/>
  <c r="C94" i="14"/>
  <c r="C93" i="14"/>
  <c r="F38" i="20" s="1"/>
  <c r="C88" i="14"/>
  <c r="C87" i="14"/>
  <c r="C86" i="14"/>
  <c r="C81" i="14"/>
  <c r="C79" i="14"/>
  <c r="C73" i="14"/>
  <c r="F31" i="20" s="1"/>
  <c r="C72" i="14"/>
  <c r="F29" i="20" s="1"/>
  <c r="C71" i="14"/>
  <c r="F28" i="20" s="1"/>
  <c r="C70" i="14"/>
  <c r="F27" i="20" s="1"/>
  <c r="D121" i="14" l="1"/>
  <c r="C95" i="14"/>
  <c r="C89" i="14"/>
  <c r="C77" i="14"/>
  <c r="C82" i="14"/>
  <c r="C97" i="14" l="1"/>
  <c r="C106" i="14" s="1"/>
  <c r="C84" i="14"/>
  <c r="C91" i="14" s="1"/>
  <c r="C107" i="14" s="1"/>
  <c r="D87" i="14" l="1"/>
  <c r="E87" i="14"/>
  <c r="F87" i="14"/>
  <c r="G87" i="14"/>
  <c r="H87" i="14"/>
  <c r="I87" i="14"/>
  <c r="J87" i="14"/>
  <c r="K87" i="14"/>
  <c r="L87" i="14"/>
  <c r="D19" i="14"/>
  <c r="D20" i="14"/>
  <c r="L65" i="14"/>
  <c r="L134" i="14" s="1"/>
  <c r="K65" i="14"/>
  <c r="K134" i="14" s="1"/>
  <c r="J65" i="14"/>
  <c r="J134" i="14" s="1"/>
  <c r="I65" i="14"/>
  <c r="I134" i="14" s="1"/>
  <c r="H65" i="14"/>
  <c r="H134" i="14" s="1"/>
  <c r="G65" i="14"/>
  <c r="G134" i="14" s="1"/>
  <c r="F65" i="14"/>
  <c r="F134" i="14" s="1"/>
  <c r="E65" i="14"/>
  <c r="E134" i="14" s="1"/>
  <c r="D65" i="14"/>
  <c r="L60" i="14"/>
  <c r="K60" i="14"/>
  <c r="J60" i="14"/>
  <c r="I60" i="14"/>
  <c r="H60" i="14"/>
  <c r="G60" i="14"/>
  <c r="F60" i="14"/>
  <c r="E60" i="14"/>
  <c r="L47" i="14"/>
  <c r="L116" i="14" s="1"/>
  <c r="K47" i="14"/>
  <c r="K116" i="14" s="1"/>
  <c r="J47" i="14"/>
  <c r="J116" i="14" s="1"/>
  <c r="I47" i="14"/>
  <c r="I116" i="14" s="1"/>
  <c r="H47" i="14"/>
  <c r="H116" i="14" s="1"/>
  <c r="G47" i="14"/>
  <c r="G116" i="14" s="1"/>
  <c r="F47" i="14"/>
  <c r="F116" i="14" s="1"/>
  <c r="E47" i="14"/>
  <c r="E116" i="14" s="1"/>
  <c r="L46" i="14"/>
  <c r="L115" i="14" s="1"/>
  <c r="K46" i="14"/>
  <c r="K115" i="14" s="1"/>
  <c r="J46" i="14"/>
  <c r="J115" i="14" s="1"/>
  <c r="I46" i="14"/>
  <c r="I115" i="14" s="1"/>
  <c r="H46" i="14"/>
  <c r="H115" i="14" s="1"/>
  <c r="G46" i="14"/>
  <c r="G115" i="14" s="1"/>
  <c r="F46" i="14"/>
  <c r="F115" i="14" s="1"/>
  <c r="E46" i="14"/>
  <c r="E115" i="14" s="1"/>
  <c r="L42" i="14"/>
  <c r="K42" i="14"/>
  <c r="J42" i="14"/>
  <c r="I42" i="14"/>
  <c r="H42" i="14"/>
  <c r="G42" i="14"/>
  <c r="F42" i="14"/>
  <c r="E42" i="14"/>
  <c r="L41" i="14"/>
  <c r="K41" i="14"/>
  <c r="J41" i="14"/>
  <c r="I41" i="14"/>
  <c r="H41" i="14"/>
  <c r="G41" i="14"/>
  <c r="F41" i="14"/>
  <c r="E41" i="14"/>
  <c r="L38" i="14"/>
  <c r="K38" i="14"/>
  <c r="J38" i="14"/>
  <c r="I38" i="14"/>
  <c r="H38" i="14"/>
  <c r="G38" i="14"/>
  <c r="F38" i="14"/>
  <c r="E38" i="14"/>
  <c r="D38" i="14"/>
  <c r="C65" i="14"/>
  <c r="C42" i="14"/>
  <c r="C60" i="14"/>
  <c r="C47" i="14"/>
  <c r="C46" i="14"/>
  <c r="C41" i="14"/>
  <c r="C38" i="14"/>
  <c r="L70" i="14"/>
  <c r="O27" i="20" s="1"/>
  <c r="K70" i="14"/>
  <c r="N27" i="20" s="1"/>
  <c r="J70" i="14"/>
  <c r="M27" i="20" s="1"/>
  <c r="I70" i="14"/>
  <c r="L27" i="20" s="1"/>
  <c r="H70" i="14"/>
  <c r="K27" i="20" s="1"/>
  <c r="G70" i="14"/>
  <c r="J27" i="20" s="1"/>
  <c r="F70" i="14"/>
  <c r="I27" i="20" s="1"/>
  <c r="E70" i="14"/>
  <c r="H27" i="20" s="1"/>
  <c r="D70" i="14"/>
  <c r="G27" i="20" s="1"/>
  <c r="L103" i="14"/>
  <c r="K103" i="14"/>
  <c r="J103" i="14"/>
  <c r="I103" i="14"/>
  <c r="H103" i="14"/>
  <c r="G103" i="14"/>
  <c r="F103" i="14"/>
  <c r="E103" i="14"/>
  <c r="D103" i="14"/>
  <c r="D137" i="14" s="1"/>
  <c r="L96" i="14"/>
  <c r="K96" i="14"/>
  <c r="J96" i="14"/>
  <c r="I96" i="14"/>
  <c r="H96" i="14"/>
  <c r="G96" i="14"/>
  <c r="F96" i="14"/>
  <c r="L94" i="14"/>
  <c r="K94" i="14"/>
  <c r="J94" i="14"/>
  <c r="H94" i="14"/>
  <c r="G94" i="14"/>
  <c r="F94" i="14"/>
  <c r="E94" i="14"/>
  <c r="D94" i="14"/>
  <c r="O38" i="20"/>
  <c r="K93" i="14"/>
  <c r="N38" i="20" s="1"/>
  <c r="J93" i="14"/>
  <c r="M38" i="20" s="1"/>
  <c r="I93" i="14"/>
  <c r="L38" i="20" s="1"/>
  <c r="H93" i="14"/>
  <c r="K38" i="20" s="1"/>
  <c r="G93" i="14"/>
  <c r="J38" i="20" s="1"/>
  <c r="F93" i="14"/>
  <c r="I38" i="20" s="1"/>
  <c r="E93" i="14"/>
  <c r="H38" i="20" s="1"/>
  <c r="D93" i="14"/>
  <c r="G38" i="20" s="1"/>
  <c r="L88" i="14"/>
  <c r="K88" i="14"/>
  <c r="J88" i="14"/>
  <c r="I88" i="14"/>
  <c r="H88" i="14"/>
  <c r="G88" i="14"/>
  <c r="F88" i="14"/>
  <c r="E88" i="14"/>
  <c r="D88" i="14"/>
  <c r="L86" i="14"/>
  <c r="K86" i="14"/>
  <c r="J86" i="14"/>
  <c r="I86" i="14"/>
  <c r="H86" i="14"/>
  <c r="G86" i="14"/>
  <c r="F86" i="14"/>
  <c r="E86" i="14"/>
  <c r="D86" i="14"/>
  <c r="L81" i="14"/>
  <c r="I37" i="22" s="1"/>
  <c r="K81" i="14"/>
  <c r="J81" i="14"/>
  <c r="H81" i="14"/>
  <c r="G81" i="14"/>
  <c r="F81" i="14"/>
  <c r="E81" i="14"/>
  <c r="L79" i="14"/>
  <c r="K79" i="14"/>
  <c r="J79" i="14"/>
  <c r="I79" i="14"/>
  <c r="H79" i="14"/>
  <c r="G79" i="14"/>
  <c r="F79" i="14"/>
  <c r="E79" i="14"/>
  <c r="D79" i="14"/>
  <c r="H22" i="20" s="1"/>
  <c r="L76" i="14"/>
  <c r="O16" i="22" s="1"/>
  <c r="P16" i="22" s="1"/>
  <c r="K76" i="14"/>
  <c r="J76" i="14"/>
  <c r="I76" i="14"/>
  <c r="H76" i="14"/>
  <c r="G76" i="14"/>
  <c r="F76" i="14"/>
  <c r="E76" i="14"/>
  <c r="D76" i="14"/>
  <c r="L74" i="14"/>
  <c r="O15" i="22" s="1"/>
  <c r="P15" i="22" s="1"/>
  <c r="K74" i="14"/>
  <c r="J74" i="14"/>
  <c r="I74" i="14"/>
  <c r="H74" i="14"/>
  <c r="G74" i="14"/>
  <c r="F74" i="14"/>
  <c r="E74" i="14"/>
  <c r="D74" i="14"/>
  <c r="L73" i="14"/>
  <c r="O31" i="20" s="1"/>
  <c r="K73" i="14"/>
  <c r="N31" i="20" s="1"/>
  <c r="J73" i="14"/>
  <c r="M31" i="20" s="1"/>
  <c r="I73" i="14"/>
  <c r="L31" i="20" s="1"/>
  <c r="H73" i="14"/>
  <c r="K31" i="20" s="1"/>
  <c r="G73" i="14"/>
  <c r="J31" i="20" s="1"/>
  <c r="F73" i="14"/>
  <c r="I31" i="20" s="1"/>
  <c r="E73" i="14"/>
  <c r="H31" i="20" s="1"/>
  <c r="D73" i="14"/>
  <c r="G31" i="20" s="1"/>
  <c r="L72" i="14"/>
  <c r="O29" i="20" s="1"/>
  <c r="K72" i="14"/>
  <c r="N29" i="20" s="1"/>
  <c r="J72" i="14"/>
  <c r="M29" i="20" s="1"/>
  <c r="I72" i="14"/>
  <c r="L29" i="20" s="1"/>
  <c r="H72" i="14"/>
  <c r="K29" i="20" s="1"/>
  <c r="G72" i="14"/>
  <c r="J29" i="20" s="1"/>
  <c r="F72" i="14"/>
  <c r="I29" i="20" s="1"/>
  <c r="E72" i="14"/>
  <c r="H29" i="20" s="1"/>
  <c r="D72" i="14"/>
  <c r="G29" i="20" s="1"/>
  <c r="L71" i="14"/>
  <c r="O28" i="20" s="1"/>
  <c r="K71" i="14"/>
  <c r="N28" i="20" s="1"/>
  <c r="J71" i="14"/>
  <c r="M28" i="20" s="1"/>
  <c r="I71" i="14"/>
  <c r="L28" i="20" s="1"/>
  <c r="H71" i="14"/>
  <c r="K28" i="20" s="1"/>
  <c r="G71" i="14"/>
  <c r="J28" i="20" s="1"/>
  <c r="F71" i="14"/>
  <c r="I28" i="20" s="1"/>
  <c r="E71" i="14"/>
  <c r="H28" i="20" s="1"/>
  <c r="D71" i="14"/>
  <c r="G28" i="20" s="1"/>
  <c r="O42" i="20" l="1"/>
  <c r="L42" i="20"/>
  <c r="M42" i="20"/>
  <c r="N42" i="20"/>
  <c r="Q15" i="22"/>
  <c r="Q16" i="22"/>
  <c r="N22" i="20"/>
  <c r="J42" i="20"/>
  <c r="I42" i="20"/>
  <c r="Q31" i="20"/>
  <c r="Q13" i="22" s="1"/>
  <c r="P31" i="20"/>
  <c r="P13" i="22" s="1"/>
  <c r="P40" i="27" s="1"/>
  <c r="S31" i="20"/>
  <c r="S13" i="22" s="1"/>
  <c r="R31" i="20"/>
  <c r="R13" i="22" s="1"/>
  <c r="T31" i="20"/>
  <c r="T13" i="22" s="1"/>
  <c r="O22" i="20"/>
  <c r="I22" i="20"/>
  <c r="M22" i="20"/>
  <c r="J22" i="20"/>
  <c r="K22" i="20"/>
  <c r="L22" i="20"/>
  <c r="T38" i="20"/>
  <c r="R38" i="20"/>
  <c r="P38" i="20"/>
  <c r="S38" i="20"/>
  <c r="Q38" i="20"/>
  <c r="K42" i="20"/>
  <c r="D120" i="14"/>
  <c r="K137" i="14"/>
  <c r="E137" i="14"/>
  <c r="L137" i="14"/>
  <c r="F121" i="14"/>
  <c r="J121" i="14"/>
  <c r="F120" i="14"/>
  <c r="H120" i="14"/>
  <c r="E120" i="14"/>
  <c r="E121" i="14"/>
  <c r="G120" i="14"/>
  <c r="K121" i="14"/>
  <c r="H137" i="14"/>
  <c r="D77" i="14"/>
  <c r="D119" i="14" s="1"/>
  <c r="I121" i="14"/>
  <c r="H121" i="14"/>
  <c r="I120" i="14"/>
  <c r="G137" i="14"/>
  <c r="G121" i="14"/>
  <c r="F137" i="14"/>
  <c r="J120" i="14"/>
  <c r="K120" i="14"/>
  <c r="I137" i="14"/>
  <c r="L120" i="14"/>
  <c r="D89" i="14"/>
  <c r="D131" i="14" s="1"/>
  <c r="J137" i="14"/>
  <c r="C115" i="14"/>
  <c r="C116" i="14"/>
  <c r="D43" i="14"/>
  <c r="D48" i="14" s="1"/>
  <c r="D58" i="14" s="1"/>
  <c r="D39" i="14"/>
  <c r="E39" i="14"/>
  <c r="L104" i="14"/>
  <c r="E104" i="14"/>
  <c r="K104" i="14"/>
  <c r="H104" i="14"/>
  <c r="G104" i="14"/>
  <c r="I104" i="14"/>
  <c r="F104" i="14"/>
  <c r="J104" i="14"/>
  <c r="D104" i="14"/>
  <c r="F39" i="14"/>
  <c r="G39" i="14"/>
  <c r="H39" i="14"/>
  <c r="C43" i="14"/>
  <c r="C44" i="14" s="1"/>
  <c r="F43" i="14"/>
  <c r="F44" i="14" s="1"/>
  <c r="I39" i="14"/>
  <c r="J43" i="14"/>
  <c r="J48" i="14" s="1"/>
  <c r="J58" i="14" s="1"/>
  <c r="I43" i="14"/>
  <c r="K43" i="14"/>
  <c r="G43" i="14"/>
  <c r="H43" i="14"/>
  <c r="L43" i="14"/>
  <c r="J39" i="14"/>
  <c r="E43" i="14"/>
  <c r="K39" i="14"/>
  <c r="L39" i="14"/>
  <c r="G89" i="14"/>
  <c r="I89" i="14"/>
  <c r="K95" i="14"/>
  <c r="H95" i="14"/>
  <c r="D82" i="14"/>
  <c r="L82" i="14"/>
  <c r="E95" i="14"/>
  <c r="J95" i="14"/>
  <c r="J77" i="14"/>
  <c r="D95" i="14"/>
  <c r="L130" i="14"/>
  <c r="E77" i="14"/>
  <c r="F82" i="14"/>
  <c r="K82" i="14"/>
  <c r="E89" i="14"/>
  <c r="F89" i="14"/>
  <c r="I95" i="14"/>
  <c r="F77" i="14"/>
  <c r="G77" i="14"/>
  <c r="L77" i="14"/>
  <c r="E82" i="14"/>
  <c r="I77" i="14"/>
  <c r="I82" i="14"/>
  <c r="H82" i="14"/>
  <c r="G82" i="14"/>
  <c r="H89" i="14"/>
  <c r="J82" i="14"/>
  <c r="L89" i="14"/>
  <c r="K89" i="14"/>
  <c r="J89" i="14"/>
  <c r="G95" i="14"/>
  <c r="F95" i="14"/>
  <c r="K77" i="14"/>
  <c r="H77" i="14"/>
  <c r="M39" i="20" l="1"/>
  <c r="K39" i="20"/>
  <c r="I39" i="20"/>
  <c r="L39" i="20"/>
  <c r="O39" i="20"/>
  <c r="R39" i="20" s="1"/>
  <c r="Q42" i="27"/>
  <c r="R16" i="22"/>
  <c r="Q41" i="27"/>
  <c r="R15" i="22"/>
  <c r="M24" i="23"/>
  <c r="M28" i="23" s="1"/>
  <c r="Q12" i="22"/>
  <c r="S10" i="22"/>
  <c r="D130" i="14"/>
  <c r="H39" i="20"/>
  <c r="G39" i="20"/>
  <c r="Q10" i="22"/>
  <c r="R10" i="22"/>
  <c r="R40" i="27"/>
  <c r="K24" i="23"/>
  <c r="K28" i="23" s="1"/>
  <c r="T12" i="22"/>
  <c r="P10" i="22"/>
  <c r="P37" i="27" s="1"/>
  <c r="S40" i="27"/>
  <c r="Q11" i="22"/>
  <c r="R11" i="22"/>
  <c r="Q24" i="20"/>
  <c r="Q35" i="22" s="1"/>
  <c r="R24" i="20"/>
  <c r="R35" i="22" s="1"/>
  <c r="S24" i="20"/>
  <c r="S35" i="22" s="1"/>
  <c r="T24" i="20"/>
  <c r="T35" i="22" s="1"/>
  <c r="S12" i="22"/>
  <c r="Q42" i="20"/>
  <c r="S42" i="20"/>
  <c r="T42" i="20"/>
  <c r="R42" i="20"/>
  <c r="P42" i="20"/>
  <c r="Q40" i="27"/>
  <c r="L24" i="23"/>
  <c r="L28" i="23" s="1"/>
  <c r="T11" i="22"/>
  <c r="F130" i="14"/>
  <c r="J39" i="20"/>
  <c r="N39" i="20"/>
  <c r="N24" i="23"/>
  <c r="N28" i="23" s="1"/>
  <c r="R12" i="22"/>
  <c r="P11" i="22"/>
  <c r="P38" i="27" s="1"/>
  <c r="S11" i="22"/>
  <c r="P12" i="22"/>
  <c r="P39" i="27" s="1"/>
  <c r="T10" i="22"/>
  <c r="T40" i="27"/>
  <c r="F131" i="14"/>
  <c r="J119" i="14"/>
  <c r="G131" i="14"/>
  <c r="L131" i="14"/>
  <c r="H130" i="14"/>
  <c r="K131" i="14"/>
  <c r="L119" i="14"/>
  <c r="K130" i="14"/>
  <c r="H131" i="14"/>
  <c r="D97" i="14"/>
  <c r="D106" i="14" s="1"/>
  <c r="J130" i="14"/>
  <c r="E130" i="14"/>
  <c r="H119" i="14"/>
  <c r="I131" i="14"/>
  <c r="I130" i="14"/>
  <c r="G130" i="14"/>
  <c r="E131" i="14"/>
  <c r="J131" i="14"/>
  <c r="I84" i="14"/>
  <c r="I91" i="14" s="1"/>
  <c r="F119" i="14"/>
  <c r="I119" i="14"/>
  <c r="E119" i="14"/>
  <c r="K119" i="14"/>
  <c r="G119" i="14"/>
  <c r="I97" i="14"/>
  <c r="I106" i="14" s="1"/>
  <c r="E97" i="14"/>
  <c r="E106" i="14" s="1"/>
  <c r="J97" i="14"/>
  <c r="J106" i="14" s="1"/>
  <c r="H97" i="14"/>
  <c r="H106" i="14" s="1"/>
  <c r="F97" i="14"/>
  <c r="F106" i="14" s="1"/>
  <c r="L97" i="14"/>
  <c r="L106" i="14" s="1"/>
  <c r="K97" i="14"/>
  <c r="K106" i="14" s="1"/>
  <c r="G97" i="14"/>
  <c r="G106" i="14" s="1"/>
  <c r="F48" i="14"/>
  <c r="C48" i="14"/>
  <c r="J84" i="14"/>
  <c r="J91" i="14" s="1"/>
  <c r="J44" i="14"/>
  <c r="D44" i="14"/>
  <c r="H48" i="14"/>
  <c r="H58" i="14" s="1"/>
  <c r="H44" i="14"/>
  <c r="L48" i="14"/>
  <c r="L58" i="14" s="1"/>
  <c r="L44" i="14"/>
  <c r="K48" i="14"/>
  <c r="K58" i="14" s="1"/>
  <c r="K44" i="14"/>
  <c r="J62" i="14"/>
  <c r="J136" i="14" s="1"/>
  <c r="J49" i="14"/>
  <c r="E48" i="14"/>
  <c r="E58" i="14" s="1"/>
  <c r="E44" i="14"/>
  <c r="I48" i="14"/>
  <c r="I58" i="14" s="1"/>
  <c r="I44" i="14"/>
  <c r="G48" i="14"/>
  <c r="G58" i="14" s="1"/>
  <c r="G44" i="14"/>
  <c r="F84" i="14"/>
  <c r="F91" i="14" s="1"/>
  <c r="D84" i="14"/>
  <c r="D91" i="14" s="1"/>
  <c r="L84" i="14"/>
  <c r="L91" i="14" s="1"/>
  <c r="E84" i="14"/>
  <c r="E91" i="14" s="1"/>
  <c r="G84" i="14"/>
  <c r="G91" i="14" s="1"/>
  <c r="H84" i="14"/>
  <c r="H91" i="14" s="1"/>
  <c r="K84" i="14"/>
  <c r="K91" i="14" s="1"/>
  <c r="P43" i="27" l="1"/>
  <c r="P36" i="22"/>
  <c r="P19" i="27" s="1"/>
  <c r="P35" i="22"/>
  <c r="R42" i="27"/>
  <c r="S16" i="22"/>
  <c r="D27" i="22"/>
  <c r="P27" i="22" s="1"/>
  <c r="Q26" i="22"/>
  <c r="R26" i="22" s="1"/>
  <c r="R41" i="27"/>
  <c r="S15" i="22"/>
  <c r="Q58" i="27"/>
  <c r="Q39" i="27"/>
  <c r="E54" i="31"/>
  <c r="S58" i="27"/>
  <c r="R58" i="27"/>
  <c r="S38" i="27"/>
  <c r="T58" i="27"/>
  <c r="T37" i="27"/>
  <c r="R38" i="27"/>
  <c r="S39" i="27"/>
  <c r="R37" i="27"/>
  <c r="T39" i="20"/>
  <c r="S39" i="20"/>
  <c r="Q39" i="20"/>
  <c r="P39" i="20"/>
  <c r="Q38" i="27"/>
  <c r="T39" i="27"/>
  <c r="S37" i="27"/>
  <c r="R39" i="27"/>
  <c r="T38" i="27"/>
  <c r="Q37" i="27"/>
  <c r="R22" i="22"/>
  <c r="D29" i="22" s="1"/>
  <c r="Q22" i="22"/>
  <c r="D28" i="22" s="1"/>
  <c r="T22" i="22"/>
  <c r="S22" i="22"/>
  <c r="C58" i="14"/>
  <c r="C62" i="14" s="1"/>
  <c r="F49" i="14"/>
  <c r="F58" i="14"/>
  <c r="F62" i="14" s="1"/>
  <c r="F136" i="14" s="1"/>
  <c r="I107" i="14"/>
  <c r="E107" i="14"/>
  <c r="F107" i="14"/>
  <c r="H107" i="14"/>
  <c r="L107" i="14"/>
  <c r="G107" i="14"/>
  <c r="J107" i="14"/>
  <c r="K107" i="14"/>
  <c r="D107" i="14"/>
  <c r="C49" i="14"/>
  <c r="G49" i="14"/>
  <c r="G62" i="14"/>
  <c r="G136" i="14" s="1"/>
  <c r="I62" i="14"/>
  <c r="I136" i="14" s="1"/>
  <c r="I49" i="14"/>
  <c r="E49" i="14"/>
  <c r="E62" i="14"/>
  <c r="E136" i="14" s="1"/>
  <c r="H49" i="14"/>
  <c r="H62" i="14"/>
  <c r="H136" i="14" s="1"/>
  <c r="K49" i="14"/>
  <c r="K62" i="14"/>
  <c r="K136" i="14" s="1"/>
  <c r="L49" i="14"/>
  <c r="L62" i="14"/>
  <c r="L136" i="14" s="1"/>
  <c r="J63" i="14"/>
  <c r="J66" i="14"/>
  <c r="D49" i="14"/>
  <c r="D62" i="14"/>
  <c r="D136" i="14" s="1"/>
  <c r="P37" i="22" l="1"/>
  <c r="P46" i="27" s="1"/>
  <c r="P81" i="27"/>
  <c r="S41" i="27"/>
  <c r="T15" i="22"/>
  <c r="T41" i="27" s="1"/>
  <c r="S42" i="27"/>
  <c r="T16" i="22"/>
  <c r="T42" i="27" s="1"/>
  <c r="M27" i="23"/>
  <c r="P28" i="28"/>
  <c r="P32" i="28" s="1"/>
  <c r="Q28" i="28"/>
  <c r="Q43" i="27"/>
  <c r="T29" i="28"/>
  <c r="R30" i="28"/>
  <c r="Q29" i="28"/>
  <c r="S61" i="27"/>
  <c r="Q30" i="28"/>
  <c r="S30" i="28"/>
  <c r="R28" i="28"/>
  <c r="R43" i="27"/>
  <c r="R29" i="28"/>
  <c r="T61" i="27"/>
  <c r="N27" i="23"/>
  <c r="T30" i="28"/>
  <c r="R61" i="27"/>
  <c r="S28" i="28"/>
  <c r="P30" i="28"/>
  <c r="P34" i="28" s="1"/>
  <c r="K27" i="23"/>
  <c r="J27" i="23"/>
  <c r="L27" i="23"/>
  <c r="P29" i="28"/>
  <c r="P33" i="28" s="1"/>
  <c r="T28" i="28"/>
  <c r="S29" i="28"/>
  <c r="Q61" i="27"/>
  <c r="D30" i="22"/>
  <c r="D31" i="22"/>
  <c r="C66" i="14"/>
  <c r="C63" i="14"/>
  <c r="F63" i="14"/>
  <c r="F66" i="14"/>
  <c r="H63" i="14"/>
  <c r="H66" i="14"/>
  <c r="E63" i="14"/>
  <c r="E66" i="14"/>
  <c r="L63" i="14"/>
  <c r="L66" i="14"/>
  <c r="I63" i="14"/>
  <c r="I66" i="14"/>
  <c r="D63" i="14"/>
  <c r="D66" i="14"/>
  <c r="K63" i="14"/>
  <c r="K66" i="14"/>
  <c r="G63" i="14"/>
  <c r="G66" i="14"/>
  <c r="P86" i="27" l="1"/>
  <c r="Q34" i="22"/>
  <c r="Q36" i="22"/>
  <c r="Q19" i="27" s="1"/>
  <c r="S34" i="28"/>
  <c r="T43" i="27"/>
  <c r="T32" i="28"/>
  <c r="R32" i="28"/>
  <c r="S43" i="27"/>
  <c r="T34" i="28"/>
  <c r="R34" i="28"/>
  <c r="R33" i="28"/>
  <c r="P84" i="27"/>
  <c r="Q94" i="27"/>
  <c r="S33" i="28"/>
  <c r="S94" i="27"/>
  <c r="Q24" i="27"/>
  <c r="R94" i="27"/>
  <c r="R84" i="27"/>
  <c r="Q33" i="28"/>
  <c r="T24" i="27"/>
  <c r="R24" i="27"/>
  <c r="S32" i="28"/>
  <c r="C48" i="31"/>
  <c r="E48" i="31" s="1"/>
  <c r="E45" i="31" s="1"/>
  <c r="T94" i="27"/>
  <c r="P24" i="27"/>
  <c r="Q84" i="27"/>
  <c r="P94" i="27"/>
  <c r="Q32" i="28"/>
  <c r="S24" i="27"/>
  <c r="Q34" i="28"/>
  <c r="T33" i="28"/>
  <c r="P29" i="22"/>
  <c r="P28" i="22"/>
  <c r="P31" i="22"/>
  <c r="P30" i="22"/>
  <c r="C32" i="14"/>
  <c r="M77" i="17"/>
  <c r="C11" i="14"/>
  <c r="C10" i="14"/>
  <c r="L32" i="14"/>
  <c r="K32" i="14"/>
  <c r="J32" i="14"/>
  <c r="I32" i="14"/>
  <c r="H32" i="14"/>
  <c r="G32" i="14"/>
  <c r="F32" i="14"/>
  <c r="E32" i="14"/>
  <c r="D32" i="14"/>
  <c r="L28" i="14"/>
  <c r="K28" i="14"/>
  <c r="J28" i="14"/>
  <c r="I28" i="14"/>
  <c r="H28" i="14"/>
  <c r="G28" i="14"/>
  <c r="F28" i="14"/>
  <c r="E28" i="14"/>
  <c r="D28" i="14"/>
  <c r="L26" i="14"/>
  <c r="K26" i="14"/>
  <c r="J26" i="14"/>
  <c r="I26" i="14"/>
  <c r="H26" i="14"/>
  <c r="G26" i="14"/>
  <c r="F26" i="14"/>
  <c r="E26" i="14"/>
  <c r="D26" i="14"/>
  <c r="L23" i="14"/>
  <c r="K23" i="14"/>
  <c r="J23" i="14"/>
  <c r="I23" i="14"/>
  <c r="H23" i="14"/>
  <c r="G23" i="14"/>
  <c r="F23" i="14"/>
  <c r="E23" i="14"/>
  <c r="D23" i="14"/>
  <c r="L20" i="14"/>
  <c r="K20" i="14"/>
  <c r="J20" i="14"/>
  <c r="I20" i="14"/>
  <c r="H20" i="14"/>
  <c r="G20" i="14"/>
  <c r="F20" i="14"/>
  <c r="E20" i="14"/>
  <c r="L19" i="14"/>
  <c r="K19" i="14"/>
  <c r="J19" i="14"/>
  <c r="I19" i="14"/>
  <c r="H19" i="14"/>
  <c r="G19" i="14"/>
  <c r="F19" i="14"/>
  <c r="E19" i="14"/>
  <c r="L16" i="14"/>
  <c r="K16" i="14"/>
  <c r="J16" i="14"/>
  <c r="I16" i="14"/>
  <c r="H16" i="14"/>
  <c r="G16" i="14"/>
  <c r="F16" i="14"/>
  <c r="E16" i="14"/>
  <c r="D16" i="14"/>
  <c r="L12" i="14"/>
  <c r="K12" i="14"/>
  <c r="J12" i="14"/>
  <c r="I12" i="14"/>
  <c r="H12" i="14"/>
  <c r="G12" i="14"/>
  <c r="F12" i="14"/>
  <c r="E12" i="14"/>
  <c r="D12" i="14"/>
  <c r="L11" i="14"/>
  <c r="K11" i="14"/>
  <c r="J11" i="14"/>
  <c r="M16" i="21" s="1"/>
  <c r="I11" i="14"/>
  <c r="L16" i="21" s="1"/>
  <c r="H11" i="14"/>
  <c r="K16" i="21" s="1"/>
  <c r="G11" i="14"/>
  <c r="J16" i="21" s="1"/>
  <c r="F11" i="14"/>
  <c r="I16" i="21" s="1"/>
  <c r="E11" i="14"/>
  <c r="H16" i="21" s="1"/>
  <c r="D11" i="14"/>
  <c r="G16" i="21" s="1"/>
  <c r="L10" i="14"/>
  <c r="K10" i="14"/>
  <c r="J10" i="14"/>
  <c r="I10" i="14"/>
  <c r="H10" i="14"/>
  <c r="G10" i="14"/>
  <c r="F10" i="14"/>
  <c r="E10" i="14"/>
  <c r="D10" i="14"/>
  <c r="L8" i="14"/>
  <c r="K8" i="14"/>
  <c r="J8" i="14"/>
  <c r="I8" i="14"/>
  <c r="H8" i="14"/>
  <c r="G8" i="14"/>
  <c r="F8" i="14"/>
  <c r="E8" i="14"/>
  <c r="D8" i="14"/>
  <c r="C28" i="14"/>
  <c r="C20" i="14"/>
  <c r="C19" i="14"/>
  <c r="C26" i="14"/>
  <c r="C23" i="14"/>
  <c r="A140" i="2"/>
  <c r="C12" i="14"/>
  <c r="C8" i="14"/>
  <c r="XFC4" i="14"/>
  <c r="P32" i="22" l="1"/>
  <c r="Q81" i="27"/>
  <c r="Q37" i="22"/>
  <c r="S84" i="27"/>
  <c r="T84" i="27"/>
  <c r="C14" i="31" s="1"/>
  <c r="C30" i="31" s="1"/>
  <c r="S26" i="22"/>
  <c r="R91" i="27"/>
  <c r="Q91" i="27"/>
  <c r="P91" i="27"/>
  <c r="T91" i="27"/>
  <c r="C32" i="31"/>
  <c r="S91" i="27"/>
  <c r="Q31" i="22"/>
  <c r="Q30" i="22"/>
  <c r="Q28" i="22"/>
  <c r="Q27" i="22"/>
  <c r="Q29" i="22"/>
  <c r="K21" i="14"/>
  <c r="D13" i="14"/>
  <c r="D14" i="14" s="1"/>
  <c r="D18" i="14" s="1"/>
  <c r="L13" i="14"/>
  <c r="L14" i="14" s="1"/>
  <c r="L15" i="14" s="1"/>
  <c r="H13" i="14"/>
  <c r="H14" i="14" s="1"/>
  <c r="H18" i="14" s="1"/>
  <c r="H112" i="14" s="1"/>
  <c r="E21" i="14"/>
  <c r="J13" i="14"/>
  <c r="J14" i="14" s="1"/>
  <c r="J15" i="14" s="1"/>
  <c r="C21" i="14"/>
  <c r="I21" i="14"/>
  <c r="J21" i="14"/>
  <c r="I13" i="14"/>
  <c r="I14" i="14" s="1"/>
  <c r="I18" i="14" s="1"/>
  <c r="I112" i="14" s="1"/>
  <c r="D21" i="14"/>
  <c r="L21" i="14"/>
  <c r="F13" i="14"/>
  <c r="F14" i="14" s="1"/>
  <c r="G21" i="14"/>
  <c r="G13" i="14"/>
  <c r="G14" i="14" s="1"/>
  <c r="H21" i="14"/>
  <c r="E13" i="14"/>
  <c r="E14" i="14" s="1"/>
  <c r="K13" i="14"/>
  <c r="K14" i="14" s="1"/>
  <c r="K18" i="14" s="1"/>
  <c r="K112" i="14" s="1"/>
  <c r="F21" i="14"/>
  <c r="C13" i="14"/>
  <c r="C14" i="14" s="1"/>
  <c r="P18" i="27" l="1"/>
  <c r="P23" i="22"/>
  <c r="P24" i="22" s="1"/>
  <c r="P45" i="27" s="1"/>
  <c r="R34" i="22"/>
  <c r="Q46" i="27"/>
  <c r="R36" i="22"/>
  <c r="R19" i="27" s="1"/>
  <c r="T26" i="22"/>
  <c r="R28" i="22"/>
  <c r="R29" i="22"/>
  <c r="R27" i="22"/>
  <c r="R30" i="22"/>
  <c r="R31" i="22"/>
  <c r="Q32" i="22"/>
  <c r="D112" i="14"/>
  <c r="J18" i="14"/>
  <c r="J112" i="14" s="1"/>
  <c r="H22" i="14"/>
  <c r="H24" i="14" s="1"/>
  <c r="H27" i="14" s="1"/>
  <c r="L18" i="14"/>
  <c r="L112" i="14" s="1"/>
  <c r="K15" i="14"/>
  <c r="D22" i="14"/>
  <c r="D24" i="14" s="1"/>
  <c r="D25" i="14" s="1"/>
  <c r="K22" i="14"/>
  <c r="K24" i="14" s="1"/>
  <c r="D15" i="14"/>
  <c r="I22" i="14"/>
  <c r="I24" i="14" s="1"/>
  <c r="I27" i="14" s="1"/>
  <c r="I15" i="14"/>
  <c r="H15" i="14"/>
  <c r="G18" i="14"/>
  <c r="G112" i="14" s="1"/>
  <c r="G15" i="14"/>
  <c r="C18" i="14"/>
  <c r="C15" i="14"/>
  <c r="E15" i="14"/>
  <c r="E18" i="14"/>
  <c r="E112" i="14" s="1"/>
  <c r="F15" i="14"/>
  <c r="F18" i="14"/>
  <c r="F112" i="14" s="1"/>
  <c r="P80" i="27" l="1"/>
  <c r="P20" i="27"/>
  <c r="P77" i="27" s="1"/>
  <c r="P85" i="27"/>
  <c r="P17" i="28" s="1"/>
  <c r="P47" i="27"/>
  <c r="P49" i="27" s="1"/>
  <c r="P56" i="27" s="1"/>
  <c r="R81" i="27"/>
  <c r="Q86" i="27"/>
  <c r="R37" i="22"/>
  <c r="Q18" i="27"/>
  <c r="Q20" i="27" s="1"/>
  <c r="Q23" i="22"/>
  <c r="P18" i="28"/>
  <c r="S29" i="22"/>
  <c r="S30" i="22"/>
  <c r="S27" i="22"/>
  <c r="S31" i="22"/>
  <c r="S28" i="22"/>
  <c r="R32" i="22"/>
  <c r="R18" i="27" s="1"/>
  <c r="H114" i="14"/>
  <c r="H117" i="14" s="1"/>
  <c r="H122" i="14" s="1"/>
  <c r="H124" i="14"/>
  <c r="I114" i="14"/>
  <c r="I117" i="14" s="1"/>
  <c r="I122" i="14" s="1"/>
  <c r="I124" i="14"/>
  <c r="D114" i="14"/>
  <c r="D117" i="14" s="1"/>
  <c r="D122" i="14" s="1"/>
  <c r="D124" i="14"/>
  <c r="K114" i="14"/>
  <c r="K117" i="14" s="1"/>
  <c r="K122" i="14" s="1"/>
  <c r="K124" i="14"/>
  <c r="G124" i="14"/>
  <c r="L124" i="14"/>
  <c r="F124" i="14"/>
  <c r="J22" i="14"/>
  <c r="J24" i="14" s="1"/>
  <c r="J27" i="14" s="1"/>
  <c r="G22" i="14"/>
  <c r="G24" i="14" s="1"/>
  <c r="G25" i="14" s="1"/>
  <c r="L22" i="14"/>
  <c r="L24" i="14" s="1"/>
  <c r="E22" i="14"/>
  <c r="E24" i="14" s="1"/>
  <c r="E27" i="14" s="1"/>
  <c r="F22" i="14"/>
  <c r="F24" i="14" s="1"/>
  <c r="F27" i="14" s="1"/>
  <c r="K27" i="14"/>
  <c r="C22" i="14"/>
  <c r="C24" i="14" s="1"/>
  <c r="C27" i="14" s="1"/>
  <c r="C29" i="14" s="1"/>
  <c r="C112" i="14"/>
  <c r="D27" i="14"/>
  <c r="H25" i="14"/>
  <c r="K25" i="14"/>
  <c r="I29" i="14"/>
  <c r="I30" i="14" s="1"/>
  <c r="I33" i="14"/>
  <c r="I25" i="14"/>
  <c r="H29" i="14"/>
  <c r="H30" i="14" s="1"/>
  <c r="H33" i="14"/>
  <c r="P21" i="27" l="1"/>
  <c r="Q80" i="27"/>
  <c r="Q18" i="28" s="1"/>
  <c r="R46" i="27"/>
  <c r="S36" i="22"/>
  <c r="S19" i="27" s="1"/>
  <c r="S34" i="22"/>
  <c r="F122" i="14"/>
  <c r="F132" i="14" s="1"/>
  <c r="F141" i="14" s="1"/>
  <c r="F142" i="14" s="1"/>
  <c r="P78" i="27"/>
  <c r="P79" i="27" s="1"/>
  <c r="P82" i="27" s="1"/>
  <c r="P87" i="27" s="1"/>
  <c r="J24" i="32" s="1"/>
  <c r="R80" i="27"/>
  <c r="R18" i="28" s="1"/>
  <c r="R20" i="27"/>
  <c r="P12" i="28"/>
  <c r="P57" i="28"/>
  <c r="Q21" i="27"/>
  <c r="Q77" i="27"/>
  <c r="T30" i="22"/>
  <c r="T29" i="22"/>
  <c r="S32" i="22"/>
  <c r="S23" i="22" s="1"/>
  <c r="T27" i="22"/>
  <c r="T31" i="22"/>
  <c r="R23" i="22"/>
  <c r="T28" i="22"/>
  <c r="Q21" i="22"/>
  <c r="Q24" i="22" s="1"/>
  <c r="J19" i="24"/>
  <c r="D132" i="14"/>
  <c r="D141" i="14" s="1"/>
  <c r="D142" i="14" s="1"/>
  <c r="L114" i="14"/>
  <c r="L117" i="14" s="1"/>
  <c r="L122" i="14" s="1"/>
  <c r="L132" i="14" s="1"/>
  <c r="L141" i="14" s="1"/>
  <c r="L142" i="14" s="1"/>
  <c r="G114" i="14"/>
  <c r="G117" i="14" s="1"/>
  <c r="G122" i="14" s="1"/>
  <c r="G132" i="14" s="1"/>
  <c r="G141" i="14" s="1"/>
  <c r="G142" i="14" s="1"/>
  <c r="J114" i="14"/>
  <c r="J117" i="14" s="1"/>
  <c r="J122" i="14" s="1"/>
  <c r="J124" i="14"/>
  <c r="I132" i="14"/>
  <c r="I141" i="14" s="1"/>
  <c r="I142" i="14" s="1"/>
  <c r="E114" i="14"/>
  <c r="E117" i="14" s="1"/>
  <c r="E122" i="14" s="1"/>
  <c r="E124" i="14"/>
  <c r="K132" i="14"/>
  <c r="K141" i="14" s="1"/>
  <c r="K142" i="14" s="1"/>
  <c r="H132" i="14"/>
  <c r="H141" i="14" s="1"/>
  <c r="H142" i="14" s="1"/>
  <c r="C114" i="14"/>
  <c r="C117" i="14" s="1"/>
  <c r="J25" i="14"/>
  <c r="J29" i="14"/>
  <c r="J30" i="14" s="1"/>
  <c r="J33" i="14"/>
  <c r="F25" i="14"/>
  <c r="D33" i="14"/>
  <c r="G27" i="14"/>
  <c r="G33" i="14" s="1"/>
  <c r="L25" i="14"/>
  <c r="E25" i="14"/>
  <c r="L27" i="14"/>
  <c r="K33" i="14"/>
  <c r="K29" i="14"/>
  <c r="K30" i="14" s="1"/>
  <c r="C33" i="14"/>
  <c r="D29" i="14"/>
  <c r="D30" i="14" s="1"/>
  <c r="F33" i="14"/>
  <c r="F29" i="14"/>
  <c r="F30" i="14" s="1"/>
  <c r="E33" i="14"/>
  <c r="E29" i="14"/>
  <c r="E30" i="14" s="1"/>
  <c r="S37" i="22" l="1"/>
  <c r="S46" i="27" s="1"/>
  <c r="S81" i="27"/>
  <c r="R86" i="27"/>
  <c r="Q78" i="27"/>
  <c r="Q79" i="27" s="1"/>
  <c r="Q82" i="27" s="1"/>
  <c r="Q12" i="28"/>
  <c r="Q57" i="28"/>
  <c r="P24" i="28"/>
  <c r="S18" i="27"/>
  <c r="P20" i="28"/>
  <c r="P21" i="28"/>
  <c r="P23" i="28"/>
  <c r="R21" i="27"/>
  <c r="R77" i="27"/>
  <c r="T32" i="22"/>
  <c r="T18" i="27" s="1"/>
  <c r="Q45" i="27"/>
  <c r="J22" i="24"/>
  <c r="K19" i="24"/>
  <c r="E132" i="14"/>
  <c r="E141" i="14" s="1"/>
  <c r="E142" i="14" s="1"/>
  <c r="J132" i="14"/>
  <c r="J141" i="14" s="1"/>
  <c r="J142" i="14" s="1"/>
  <c r="G29" i="14"/>
  <c r="G30" i="14" s="1"/>
  <c r="L29" i="14"/>
  <c r="L30" i="14" s="1"/>
  <c r="L33" i="14"/>
  <c r="C25" i="14"/>
  <c r="T34" i="22" l="1"/>
  <c r="T36" i="22"/>
  <c r="T19" i="27" s="1"/>
  <c r="T81" i="27" s="1"/>
  <c r="S86" i="27"/>
  <c r="Q47" i="27"/>
  <c r="Q85" i="27"/>
  <c r="Q17" i="28" s="1"/>
  <c r="R78" i="27"/>
  <c r="R79" i="27" s="1"/>
  <c r="R82" i="27" s="1"/>
  <c r="R12" i="28"/>
  <c r="R57" i="28"/>
  <c r="S80" i="27"/>
  <c r="S20" i="27"/>
  <c r="T80" i="27"/>
  <c r="J139" i="32"/>
  <c r="P58" i="28"/>
  <c r="L19" i="24"/>
  <c r="T23" i="22"/>
  <c r="R21" i="22"/>
  <c r="K22" i="24"/>
  <c r="C30" i="14"/>
  <c r="T20" i="27" l="1"/>
  <c r="T21" i="27" s="1"/>
  <c r="C9" i="31"/>
  <c r="C13" i="31" s="1"/>
  <c r="C29" i="31" s="1"/>
  <c r="T37" i="22"/>
  <c r="T46" i="27" s="1"/>
  <c r="T86" i="27" s="1"/>
  <c r="T18" i="28"/>
  <c r="S18" i="28"/>
  <c r="J40" i="32"/>
  <c r="J42" i="32" s="1"/>
  <c r="T77" i="27"/>
  <c r="Q21" i="28"/>
  <c r="Q20" i="28"/>
  <c r="Q23" i="28"/>
  <c r="Q49" i="27"/>
  <c r="Q24" i="28"/>
  <c r="S21" i="27"/>
  <c r="S77" i="27"/>
  <c r="M19" i="24"/>
  <c r="Q87" i="27"/>
  <c r="L22" i="24"/>
  <c r="R24" i="22"/>
  <c r="R45" i="27" s="1"/>
  <c r="C10" i="31" l="1"/>
  <c r="M22" i="24"/>
  <c r="K139" i="32"/>
  <c r="Q56" i="27"/>
  <c r="Q58" i="28"/>
  <c r="T78" i="27"/>
  <c r="T79" i="27" s="1"/>
  <c r="S78" i="27"/>
  <c r="C11" i="31"/>
  <c r="C12" i="31" s="1"/>
  <c r="R47" i="27"/>
  <c r="R85" i="27"/>
  <c r="T12" i="28"/>
  <c r="T57" i="28"/>
  <c r="S12" i="28"/>
  <c r="S57" i="28"/>
  <c r="K22" i="32"/>
  <c r="N19" i="24"/>
  <c r="S21" i="22"/>
  <c r="E12" i="31" l="1"/>
  <c r="E16" i="31" s="1"/>
  <c r="T82" i="27"/>
  <c r="S79" i="27"/>
  <c r="K40" i="32"/>
  <c r="K42" i="32" s="1"/>
  <c r="K24" i="32"/>
  <c r="R17" i="28"/>
  <c r="R87" i="27"/>
  <c r="R49" i="27"/>
  <c r="R24" i="28"/>
  <c r="N22" i="24"/>
  <c r="S24" i="22"/>
  <c r="S45" i="27" s="1"/>
  <c r="S82" i="27" l="1"/>
  <c r="L139" i="32"/>
  <c r="R56" i="27"/>
  <c r="R58" i="28"/>
  <c r="L22" i="32"/>
  <c r="S47" i="27"/>
  <c r="S85" i="27"/>
  <c r="S17" i="28" s="1"/>
  <c r="R21" i="28"/>
  <c r="R20" i="28"/>
  <c r="R23" i="28"/>
  <c r="T21" i="22"/>
  <c r="S49" i="27" l="1"/>
  <c r="S24" i="28"/>
  <c r="S21" i="28"/>
  <c r="S20" i="28"/>
  <c r="S23" i="28"/>
  <c r="S87" i="27"/>
  <c r="L40" i="32"/>
  <c r="L42" i="32" s="1"/>
  <c r="L24" i="32"/>
  <c r="T24" i="22"/>
  <c r="T45" i="27" s="1"/>
  <c r="M139" i="32" l="1"/>
  <c r="S56" i="27"/>
  <c r="S58" i="28"/>
  <c r="T85" i="27"/>
  <c r="T47" i="27"/>
  <c r="M22" i="32"/>
  <c r="T49" i="27" l="1"/>
  <c r="T24" i="28"/>
  <c r="C15" i="31"/>
  <c r="T17" i="28"/>
  <c r="T87" i="27"/>
  <c r="M40" i="32"/>
  <c r="M42" i="32" s="1"/>
  <c r="M24" i="32"/>
  <c r="N22" i="32" l="1"/>
  <c r="T20" i="28"/>
  <c r="T21" i="28"/>
  <c r="T23" i="28"/>
  <c r="C31" i="31"/>
  <c r="E21" i="31"/>
  <c r="G15" i="31" s="1"/>
  <c r="G9" i="31" s="1"/>
  <c r="C16" i="31"/>
  <c r="N139" i="32"/>
  <c r="T56" i="27"/>
  <c r="T58" i="28"/>
  <c r="G13" i="31" l="1"/>
  <c r="G10" i="31"/>
  <c r="I16" i="31"/>
  <c r="C17" i="31"/>
  <c r="N40" i="32"/>
  <c r="N42" i="32" s="1"/>
  <c r="I44" i="32" s="1"/>
  <c r="N24" i="32"/>
  <c r="I26" i="32" s="1"/>
  <c r="G11" i="31" l="1"/>
  <c r="G12" i="31" s="1"/>
  <c r="G16" i="31" s="1"/>
  <c r="P42" i="28" l="1"/>
  <c r="P90" i="27"/>
  <c r="P26" i="27"/>
  <c r="J18" i="24" l="1"/>
  <c r="P44" i="28"/>
  <c r="P67" i="28"/>
  <c r="J21" i="24" l="1"/>
  <c r="J23" i="24" l="1"/>
  <c r="P28" i="27" l="1"/>
  <c r="P56" i="28" l="1"/>
  <c r="P89" i="27"/>
  <c r="P29" i="27"/>
  <c r="P69" i="28" l="1"/>
  <c r="P30" i="27"/>
  <c r="P13" i="28" s="1"/>
  <c r="J10" i="23"/>
  <c r="J48" i="32"/>
  <c r="J51" i="32" s="1"/>
  <c r="P96" i="27"/>
  <c r="P59" i="28"/>
  <c r="P53" i="28"/>
  <c r="J140" i="32" s="1"/>
  <c r="J141" i="32" s="1"/>
  <c r="J142" i="32" s="1"/>
  <c r="J15" i="23" l="1"/>
  <c r="J11" i="23"/>
  <c r="J16" i="23" s="1"/>
  <c r="P60" i="28"/>
  <c r="P68" i="28"/>
  <c r="J68" i="32" s="1"/>
  <c r="J70" i="32" s="1"/>
  <c r="J17" i="23" l="1"/>
  <c r="P32" i="27"/>
  <c r="P66" i="27" l="1"/>
  <c r="P67" i="27" s="1"/>
  <c r="P69" i="27" s="1"/>
  <c r="K14" i="23"/>
  <c r="P98" i="27"/>
  <c r="P33" i="27"/>
  <c r="P99" i="27" l="1"/>
  <c r="P102" i="27" s="1"/>
  <c r="J34" i="23" l="1"/>
  <c r="J35" i="23" s="1"/>
  <c r="P62" i="28"/>
  <c r="Q26" i="27" l="1"/>
  <c r="Q42" i="28"/>
  <c r="Q90" i="27"/>
  <c r="K18" i="24" l="1"/>
  <c r="Q67" i="28"/>
  <c r="Q44" i="28"/>
  <c r="R90" i="27"/>
  <c r="R42" i="28"/>
  <c r="R26" i="27"/>
  <c r="K21" i="24" l="1"/>
  <c r="L18" i="24"/>
  <c r="R67" i="28"/>
  <c r="R44" i="28"/>
  <c r="K23" i="24" l="1"/>
  <c r="L21" i="24"/>
  <c r="Q28" i="27" l="1"/>
  <c r="Q29" i="27" s="1"/>
  <c r="K10" i="23" s="1"/>
  <c r="L23" i="24"/>
  <c r="S90" i="27"/>
  <c r="S42" i="28"/>
  <c r="S26" i="27"/>
  <c r="K11" i="23" l="1"/>
  <c r="K15" i="23"/>
  <c r="Q89" i="27"/>
  <c r="Q56" i="28"/>
  <c r="S67" i="28"/>
  <c r="S44" i="28"/>
  <c r="M18" i="24"/>
  <c r="R28" i="27"/>
  <c r="Q32" i="27" l="1"/>
  <c r="Q98" i="27" s="1"/>
  <c r="K16" i="23"/>
  <c r="Q30" i="27"/>
  <c r="Q69" i="28"/>
  <c r="Q59" i="28"/>
  <c r="Q53" i="28"/>
  <c r="K140" i="32" s="1"/>
  <c r="K141" i="32" s="1"/>
  <c r="K142" i="32" s="1"/>
  <c r="Q96" i="27"/>
  <c r="K48" i="32"/>
  <c r="K51" i="32" s="1"/>
  <c r="R56" i="28"/>
  <c r="R89" i="27"/>
  <c r="R29" i="27"/>
  <c r="L10" i="23" s="1"/>
  <c r="T42" i="28"/>
  <c r="T90" i="27"/>
  <c r="T26" i="27"/>
  <c r="M21" i="24"/>
  <c r="Q33" i="27" l="1"/>
  <c r="K17" i="23"/>
  <c r="L11" i="23"/>
  <c r="L15" i="23"/>
  <c r="Q60" i="28"/>
  <c r="Q68" i="28"/>
  <c r="K68" i="32" s="1"/>
  <c r="K70" i="32" s="1"/>
  <c r="Q13" i="28"/>
  <c r="R69" i="28"/>
  <c r="R30" i="27"/>
  <c r="R53" i="28"/>
  <c r="L140" i="32" s="1"/>
  <c r="L141" i="32" s="1"/>
  <c r="L142" i="32" s="1"/>
  <c r="R59" i="28"/>
  <c r="T44" i="28"/>
  <c r="T67" i="28"/>
  <c r="L48" i="32"/>
  <c r="L51" i="32" s="1"/>
  <c r="R96" i="27"/>
  <c r="N18" i="24"/>
  <c r="M23" i="24"/>
  <c r="Q66" i="27" l="1"/>
  <c r="L14" i="23"/>
  <c r="L16" i="23"/>
  <c r="R32" i="27"/>
  <c r="R60" i="28"/>
  <c r="S28" i="27"/>
  <c r="R13" i="28"/>
  <c r="N21" i="24"/>
  <c r="R68" i="28"/>
  <c r="L68" i="32" s="1"/>
  <c r="L70" i="32" s="1"/>
  <c r="Q67" i="27" l="1"/>
  <c r="R98" i="27"/>
  <c r="R33" i="27"/>
  <c r="L17" i="23"/>
  <c r="N23" i="24"/>
  <c r="S56" i="28"/>
  <c r="S89" i="27"/>
  <c r="S29" i="27"/>
  <c r="M10" i="23" s="1"/>
  <c r="M11" i="23" l="1"/>
  <c r="M15" i="23"/>
  <c r="Q69" i="27"/>
  <c r="Q99" i="27"/>
  <c r="R66" i="27"/>
  <c r="M14" i="23"/>
  <c r="S69" i="28"/>
  <c r="S30" i="27"/>
  <c r="M48" i="32"/>
  <c r="M51" i="32" s="1"/>
  <c r="S96" i="27"/>
  <c r="S59" i="28"/>
  <c r="S53" i="28"/>
  <c r="M140" i="32" s="1"/>
  <c r="M141" i="32" s="1"/>
  <c r="M142" i="32" s="1"/>
  <c r="T28" i="27"/>
  <c r="Q62" i="28" l="1"/>
  <c r="M16" i="23"/>
  <c r="S32" i="27"/>
  <c r="Q102" i="27"/>
  <c r="R67" i="27"/>
  <c r="S13" i="28"/>
  <c r="T89" i="27"/>
  <c r="T56" i="28"/>
  <c r="T29" i="27"/>
  <c r="N10" i="23" s="1"/>
  <c r="S60" i="28"/>
  <c r="S68" i="28"/>
  <c r="M68" i="32" s="1"/>
  <c r="M70" i="32" s="1"/>
  <c r="N11" i="23" l="1"/>
  <c r="N15" i="23"/>
  <c r="M17" i="23"/>
  <c r="S66" i="27" s="1"/>
  <c r="K34" i="23"/>
  <c r="S98" i="27"/>
  <c r="S33" i="27"/>
  <c r="R69" i="27"/>
  <c r="R99" i="27"/>
  <c r="T30" i="27"/>
  <c r="T69" i="28"/>
  <c r="C28" i="31" s="1"/>
  <c r="T53" i="28"/>
  <c r="N140" i="32" s="1"/>
  <c r="N48" i="32"/>
  <c r="N51" i="32" s="1"/>
  <c r="I53" i="32" s="1"/>
  <c r="T96" i="27"/>
  <c r="C44" i="31"/>
  <c r="N14" i="23" l="1"/>
  <c r="R102" i="27"/>
  <c r="T32" i="27"/>
  <c r="N16" i="23"/>
  <c r="R62" i="28"/>
  <c r="S67" i="27"/>
  <c r="T68" i="28"/>
  <c r="N68" i="32" s="1"/>
  <c r="N70" i="32" s="1"/>
  <c r="I72" i="32" s="1"/>
  <c r="T13" i="28"/>
  <c r="O140" i="32"/>
  <c r="O141" i="32" s="1"/>
  <c r="N143" i="32" s="1"/>
  <c r="I145" i="32" s="1"/>
  <c r="N141" i="32"/>
  <c r="N142" i="32" s="1"/>
  <c r="I144" i="32" s="1"/>
  <c r="L34" i="23" l="1"/>
  <c r="T98" i="27"/>
  <c r="T33" i="27"/>
  <c r="N17" i="23"/>
  <c r="T66" i="27" s="1"/>
  <c r="I147" i="32"/>
  <c r="I149" i="32" s="1"/>
  <c r="S69" i="27"/>
  <c r="S99" i="27"/>
  <c r="O22" i="32"/>
  <c r="C34" i="31"/>
  <c r="G34" i="31" s="1"/>
  <c r="E28" i="31"/>
  <c r="I27" i="32" l="1"/>
  <c r="I29" i="32" s="1"/>
  <c r="S102" i="27"/>
  <c r="S62" i="28"/>
  <c r="T67" i="27"/>
  <c r="C35" i="31"/>
  <c r="O40" i="32"/>
  <c r="N43" i="32" s="1"/>
  <c r="I33" i="32" l="1"/>
  <c r="I35" i="32" s="1"/>
  <c r="I36" i="32"/>
  <c r="I45" i="32"/>
  <c r="I46" i="32" s="1"/>
  <c r="M34" i="23"/>
  <c r="T69" i="27"/>
  <c r="T99" i="27"/>
  <c r="F99" i="32" l="1"/>
  <c r="T102" i="27"/>
  <c r="T62" i="28"/>
  <c r="L101" i="32"/>
  <c r="L111" i="32"/>
  <c r="F109" i="32"/>
  <c r="N34" i="23" l="1"/>
  <c r="K33" i="23" l="1"/>
  <c r="K35" i="23" s="1"/>
  <c r="P62" i="27" l="1"/>
  <c r="P63" i="27" s="1"/>
  <c r="P71" i="27" s="1"/>
  <c r="P73" i="27" s="1"/>
  <c r="K37" i="23"/>
  <c r="P70" i="28" l="1"/>
  <c r="P71" i="28" s="1"/>
  <c r="P103" i="27"/>
  <c r="P41" i="28"/>
  <c r="P38" i="28"/>
  <c r="P63" i="28"/>
  <c r="L33" i="23"/>
  <c r="L35" i="23" s="1"/>
  <c r="Q62" i="27"/>
  <c r="Q70" i="28" l="1"/>
  <c r="Q63" i="27"/>
  <c r="Q103" i="27"/>
  <c r="P39" i="28"/>
  <c r="Q71" i="27" l="1"/>
  <c r="Q39" i="28" s="1"/>
  <c r="Q41" i="28"/>
  <c r="Q38" i="28"/>
  <c r="Q63" i="28"/>
  <c r="R62" i="27"/>
  <c r="M33" i="23"/>
  <c r="M35" i="23" s="1"/>
  <c r="L37" i="23"/>
  <c r="Q71" i="28"/>
  <c r="Q73" i="27" l="1"/>
  <c r="R103" i="27"/>
  <c r="R70" i="28"/>
  <c r="R63" i="27"/>
  <c r="R38" i="28" l="1"/>
  <c r="R71" i="27"/>
  <c r="R39" i="28" s="1"/>
  <c r="R41" i="28"/>
  <c r="R63" i="28"/>
  <c r="R71" i="28"/>
  <c r="S62" i="27"/>
  <c r="N33" i="23"/>
  <c r="N35" i="23" s="1"/>
  <c r="M37" i="23"/>
  <c r="R73" i="27" l="1"/>
  <c r="S70" i="28"/>
  <c r="S103" i="27"/>
  <c r="S63" i="27"/>
  <c r="S41" i="28" l="1"/>
  <c r="S38" i="28"/>
  <c r="S71" i="27"/>
  <c r="S63" i="28"/>
  <c r="S71" i="28"/>
  <c r="T62" i="27"/>
  <c r="N37" i="23"/>
  <c r="S73" i="27" l="1"/>
  <c r="T63" i="27"/>
  <c r="C49" i="31"/>
  <c r="E49" i="31" s="1"/>
  <c r="E46" i="31" s="1"/>
  <c r="T70" i="28"/>
  <c r="T71" i="28" s="1"/>
  <c r="E39" i="31" s="1"/>
  <c r="E40" i="31" s="1"/>
  <c r="E34" i="31" s="1"/>
  <c r="O68" i="32" s="1"/>
  <c r="N71" i="32" s="1"/>
  <c r="I73" i="32" s="1"/>
  <c r="I75" i="32" s="1"/>
  <c r="T103" i="27"/>
  <c r="S39" i="28"/>
  <c r="E44" i="31" l="1"/>
  <c r="O48" i="32" s="1"/>
  <c r="N52" i="32" s="1"/>
  <c r="I54" i="32" s="1"/>
  <c r="I55" i="32" s="1"/>
  <c r="I57" i="32" s="1"/>
  <c r="I79" i="32"/>
  <c r="I84" i="32"/>
  <c r="T38" i="28"/>
  <c r="T41" i="28"/>
  <c r="T71" i="27"/>
  <c r="T63" i="28"/>
  <c r="I61" i="32" l="1"/>
  <c r="I63" i="32" s="1"/>
  <c r="I64" i="32"/>
  <c r="T73" i="27"/>
  <c r="T39" i="28"/>
  <c r="I85" i="32"/>
  <c r="L121" i="32"/>
  <c r="I81" i="32"/>
  <c r="F119" i="32"/>
  <c r="F129" i="32" l="1"/>
  <c r="L131"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Alberto</author>
  </authors>
  <commentList>
    <comment ref="E44" authorId="0" shapeId="0" xr:uid="{00000000-0006-0000-0F00-000005000000}">
      <text>
        <r>
          <rPr>
            <sz val="7"/>
            <color rgb="FF000000"/>
            <rFont val="Tahoma"/>
            <family val="2"/>
          </rPr>
          <t>Tax shields include tax savings on interest expenses and tax costs on interest income. In this specific case, 2021 cash is negative (i.e. short term financing) therefore it pays an additional interest, rather than generating interest income</t>
        </r>
      </text>
    </comment>
    <comment ref="E48" authorId="0" shapeId="0" xr:uid="{00000000-0006-0000-0F00-000006000000}">
      <text>
        <r>
          <rPr>
            <sz val="7"/>
            <color rgb="FF000000"/>
            <rFont val="Tahoma"/>
            <family val="2"/>
          </rPr>
          <t>Consistently with the fundamental growth approach, debt and cash grow as much as the whole company in the long run</t>
        </r>
      </text>
    </comment>
    <comment ref="E53" authorId="0" shapeId="0" xr:uid="{00000000-0006-0000-0F00-000007000000}">
      <text>
        <r>
          <rPr>
            <sz val="7"/>
            <color rgb="FF000000"/>
            <rFont val="Tahoma"/>
            <family val="2"/>
          </rPr>
          <t>Assume that in the LT, debt will be paying interests at a rate equal to kD and cash generates interest income at the same historical rate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Alberto</author>
  </authors>
  <commentList>
    <comment ref="M128" authorId="0" shapeId="0" xr:uid="{00000000-0006-0000-1000-000005000000}">
      <text>
        <r>
          <rPr>
            <sz val="7"/>
            <color rgb="FF000000"/>
            <rFont val="Tahoma"/>
            <family val="2"/>
          </rPr>
          <t>Testing the APV against kD needs to model higher kD only both because kD is already extremely low and, more importantly, because lowering kD to a level closer to LT growth would make the terminal value of the tax shield meaningless (the perpetuity divides by a factor equal to kD - g)</t>
        </r>
      </text>
    </comment>
  </commentList>
</comments>
</file>

<file path=xl/sharedStrings.xml><?xml version="1.0" encoding="utf-8"?>
<sst xmlns="http://schemas.openxmlformats.org/spreadsheetml/2006/main" count="1358" uniqueCount="907">
  <si>
    <t>DIASORIN</t>
  </si>
  <si>
    <t>Valuation</t>
  </si>
  <si>
    <t>Financial Model</t>
  </si>
  <si>
    <t>Inputs</t>
  </si>
  <si>
    <t>Company Fundamentals - Income Statement</t>
  </si>
  <si>
    <t>Company Name</t>
  </si>
  <si>
    <t>DiaSorin SpA (DIAS.MI)</t>
  </si>
  <si>
    <t>Country of Exchange</t>
  </si>
  <si>
    <t>Italy</t>
  </si>
  <si>
    <t>Country of Headquarters</t>
  </si>
  <si>
    <t>TRBC Industry Group</t>
  </si>
  <si>
    <t>Healthcare Equipment &amp; Supplies</t>
  </si>
  <si>
    <t>CF Template</t>
  </si>
  <si>
    <t>IND</t>
  </si>
  <si>
    <t>Consolidation Basis</t>
  </si>
  <si>
    <t>Consolidated</t>
  </si>
  <si>
    <t>Scaling</t>
  </si>
  <si>
    <t>Millions</t>
  </si>
  <si>
    <t>Period</t>
  </si>
  <si>
    <t>Annual</t>
  </si>
  <si>
    <t>Export Date</t>
  </si>
  <si>
    <t>Statement Data</t>
  </si>
  <si>
    <t>2015</t>
  </si>
  <si>
    <t>2017</t>
  </si>
  <si>
    <t>2018</t>
  </si>
  <si>
    <t>2019</t>
  </si>
  <si>
    <t>2020</t>
  </si>
  <si>
    <t>2021</t>
  </si>
  <si>
    <t>2022</t>
  </si>
  <si>
    <t>2023</t>
  </si>
  <si>
    <t>2024</t>
  </si>
  <si>
    <t>Period End Date</t>
  </si>
  <si>
    <t>Statement Date</t>
  </si>
  <si>
    <t>Standardized Currency</t>
  </si>
  <si>
    <t>EUR</t>
  </si>
  <si>
    <t>Template Type</t>
  </si>
  <si>
    <t>Industrial - Gross Profit</t>
  </si>
  <si>
    <t>Income Statement - Standardized (Currency: Euro)</t>
  </si>
  <si>
    <t>Field Name</t>
  </si>
  <si>
    <t>31-12-2015</t>
  </si>
  <si>
    <t>31-12-2016</t>
  </si>
  <si>
    <t>31-12-2017</t>
  </si>
  <si>
    <t>31-12-2018</t>
  </si>
  <si>
    <t>31-12-2019</t>
  </si>
  <si>
    <t>31-12-2020</t>
  </si>
  <si>
    <t>31-12-2021</t>
  </si>
  <si>
    <t>31-12-2022</t>
  </si>
  <si>
    <t>31-12-2023</t>
  </si>
  <si>
    <t>31-12-2024</t>
  </si>
  <si>
    <t>Revenues</t>
  </si>
  <si>
    <t>Revenue from Goods &amp; Services</t>
  </si>
  <si>
    <t>Sales of Goods &amp; Services - Net - Unclassified</t>
  </si>
  <si>
    <t>Revenue from Business Activities - Total</t>
  </si>
  <si>
    <t>Operating Expenses</t>
  </si>
  <si>
    <t>Cost of Operating Revenue</t>
  </si>
  <si>
    <t>Cost of Revenues - Total</t>
  </si>
  <si>
    <t>Cost of Revenues - Unclassified</t>
  </si>
  <si>
    <t>Amortization in Cost of Revenues</t>
  </si>
  <si>
    <t>Gross Profit - Industrials/Property - Total</t>
  </si>
  <si>
    <t>Selling, General &amp; Administrative Expenses - Total</t>
  </si>
  <si>
    <t>Selling, General &amp; Administrative Expenses - Unclassified</t>
  </si>
  <si>
    <t>Labor &amp; Related Expenses including Stock-Based Compensation in Selling, General &amp; Administrative Expenses</t>
  </si>
  <si>
    <t>Research &amp; Development Expense</t>
  </si>
  <si>
    <t>Amortization of Intangibles in Selling, General &amp; Administrative Expenses</t>
  </si>
  <si>
    <t>Selling, General &amp; Administrative Expenses - Other - Total</t>
  </si>
  <si>
    <t>Property &amp; Other Taxes</t>
  </si>
  <si>
    <t>Provision for Doubtful Accounts &amp; Write-off</t>
  </si>
  <si>
    <t>Other Operating Expense/(Income) - Net</t>
  </si>
  <si>
    <t>Other Operating Expense</t>
  </si>
  <si>
    <t>Operating Provisions - Increase/(Decrease)</t>
  </si>
  <si>
    <t>Operating Expenses - Total</t>
  </si>
  <si>
    <t>Operating Profit</t>
  </si>
  <si>
    <t>Operating Profit before Non-Recurring Income/Expense</t>
  </si>
  <si>
    <t>Non-Operating Expenses</t>
  </si>
  <si>
    <t>Financing Income/(Expense) - Net - Total</t>
  </si>
  <si>
    <t>Interest Expense - Net of (Interest Income)</t>
  </si>
  <si>
    <t>Non-Interest Financial Income/(Expense) - Total</t>
  </si>
  <si>
    <t>Equity Earnings/(Loss) - before Taxes including Non-Recurring</t>
  </si>
  <si>
    <t>Normalized Pre-tax Profit</t>
  </si>
  <si>
    <t>Non-Recurring Income/Expense</t>
  </si>
  <si>
    <t>Non-Recurring Income/(Expense) - Total</t>
  </si>
  <si>
    <t>Impairment - Tangible &amp; Intangible Fixed Assets</t>
  </si>
  <si>
    <t>Impairment - Fixed Assets</t>
  </si>
  <si>
    <t>Derivatives - Hedging - Ineffective Gain/(Loss)</t>
  </si>
  <si>
    <t>Fair Value Adjustments - Financial Investments</t>
  </si>
  <si>
    <t>Sale &amp; Acquisition of Group Companies - Gain/(Loss)</t>
  </si>
  <si>
    <t>Non-Recurring Income/(Expense) - Other - Total</t>
  </si>
  <si>
    <t>Pre-Tax Income</t>
  </si>
  <si>
    <t>Income before Taxes</t>
  </si>
  <si>
    <t>Taxes</t>
  </si>
  <si>
    <t>Income Taxes</t>
  </si>
  <si>
    <t>Income Taxes for the Year - Current</t>
  </si>
  <si>
    <t>Income Taxes - Deferred</t>
  </si>
  <si>
    <t>Income Taxes - Other (by Type)</t>
  </si>
  <si>
    <t>Net Income After Tax</t>
  </si>
  <si>
    <t>Net Income after Tax</t>
  </si>
  <si>
    <t>After Tax Income/Expense</t>
  </si>
  <si>
    <t>Income before Discontinued Operations &amp; Extraordinary Items</t>
  </si>
  <si>
    <t>Net Income before Minority Interest</t>
  </si>
  <si>
    <t>Minority Interest</t>
  </si>
  <si>
    <t>Net Income after Minority Interest</t>
  </si>
  <si>
    <t>Net Income</t>
  </si>
  <si>
    <t>Income Available to Common Shares</t>
  </si>
  <si>
    <t>Other Comprehensive Income</t>
  </si>
  <si>
    <t>Other Comprehensive Income - Starting Line</t>
  </si>
  <si>
    <t>Other Comprehensive Income - Foreign Currency</t>
  </si>
  <si>
    <t>Other Comprehensive Income - Hedging Gain/(Loss)</t>
  </si>
  <si>
    <t>Other Comprehensive Income - Other</t>
  </si>
  <si>
    <t>Other Comprehensive Income - Pension Related</t>
  </si>
  <si>
    <t>Other Comprehensive Income - Net of Tax - Total</t>
  </si>
  <si>
    <t>Comprehensive Income before Minority Interest - Total</t>
  </si>
  <si>
    <t>Comprehensive Income - Attributable to Minority Interest - Total</t>
  </si>
  <si>
    <t>Comprehensive Income - Attributable to Parent Company Equity Holders - Total</t>
  </si>
  <si>
    <t>Share/Per Share - Basic</t>
  </si>
  <si>
    <t>Net Income - Basic - including Extraordinary Items Applicable to Common - Total</t>
  </si>
  <si>
    <t>Income available to Common excluding Extraordinary Items</t>
  </si>
  <si>
    <t>Shares used to calculate Basic EPS - Total</t>
  </si>
  <si>
    <t>EPS - Basic - including Extraordinary Items Applicable to Common - Total</t>
  </si>
  <si>
    <t>EPS - Basic - excluding Extraordinary Items Applicable to Common - Total</t>
  </si>
  <si>
    <t>EPS - Basic - excluding Extraordinary Items - Normalized - Total</t>
  </si>
  <si>
    <t>Allocated Net Income including Extraordinary Items Applicable to Common - Issue Specific</t>
  </si>
  <si>
    <t>Earnings Allocation Factor - Basic - Issue Specific</t>
  </si>
  <si>
    <t>Shares used to calculate Basic EPS - Issue Specific</t>
  </si>
  <si>
    <t>EPS - Basic - including Extraordinary Items Applicable to Common - Issue Specific</t>
  </si>
  <si>
    <t>EPS - Basic - excluding Extraordinary Items Applicable to Common - Issue Specific</t>
  </si>
  <si>
    <t>EPS - Basic - excluding Extraordinary Items - Normalized - Issue Specific</t>
  </si>
  <si>
    <t>EPS - Basic from Discontinued Operations &amp; Extraordinary Items</t>
  </si>
  <si>
    <t>Comprehensive Earnings Per Share - Basic - Issue Specific</t>
  </si>
  <si>
    <t>Share/Per Share - Diluted</t>
  </si>
  <si>
    <t>Net Income - Diluted - including Extraordinary Items Applicable to Common - Total</t>
  </si>
  <si>
    <t>Diluted Income available to Common excluding Extraordinary Items</t>
  </si>
  <si>
    <t>Shares used to calculate Diluted EPS - Total</t>
  </si>
  <si>
    <t>EPS - Diluted - including Extraordinary Items Applicable to Common - Total</t>
  </si>
  <si>
    <t>EPS - Diluted - excluding Extraordinary Items Applicable to Common - Total</t>
  </si>
  <si>
    <t>EPS - Diluted - excluding Extraordinary Items - Normalized - Total</t>
  </si>
  <si>
    <t>Allocated Diluted Net Income including Extraordinary Items Applicable to Common - Issue Specific</t>
  </si>
  <si>
    <t>Earnings Allocation Factor - Diluted - Issue Specific</t>
  </si>
  <si>
    <t>Shares used to calculate Diluted EPS - Issue Specific</t>
  </si>
  <si>
    <t>EPS - Diluted - including Extraordinary Items Applicable to Common - Issue Specific</t>
  </si>
  <si>
    <t>EPS - Diluted - excluding Extraordinary Items Applicable to Common - Issue Specific</t>
  </si>
  <si>
    <t>EPS - Diluted - excluding Extraordinary Items - Normalized - Issue Specific</t>
  </si>
  <si>
    <t>EPS - Diluted from Discontinued Operations &amp; Extraordinary Items</t>
  </si>
  <si>
    <t>Comprehensive Earnings Per Share - Diluted - Issue Specific</t>
  </si>
  <si>
    <t>Share/Per Share - Dividends</t>
  </si>
  <si>
    <t>DPS - Common - Gross - Issue - By Announcement Date</t>
  </si>
  <si>
    <t>DPS - Common - Net - Issue - By Announcement Date</t>
  </si>
  <si>
    <t>DPS - Special - Gross - Issue - By Announcement Date</t>
  </si>
  <si>
    <t>DPS - Special - Net - Issue - By Announcement Date</t>
  </si>
  <si>
    <t>EBIT/EBITDA &amp; related</t>
  </si>
  <si>
    <t>Earnings before Interest &amp; Taxes (EBIT)</t>
  </si>
  <si>
    <t>Earnings before Interest, Taxes, Depreciation &amp; Amortization (EBITDA)</t>
  </si>
  <si>
    <t>Depreciation/Amortization - Income Statement</t>
  </si>
  <si>
    <t>Depreciation &amp; Amortization - Supplemental</t>
  </si>
  <si>
    <t>Depreciation Expense - Total - Supplemental</t>
  </si>
  <si>
    <t>Depreciation - Fin Lease Right-of-Use Assets - Total - Suppl</t>
  </si>
  <si>
    <t>Amortization - Total - Supplemental</t>
  </si>
  <si>
    <t>Intangible Amortization - Other - Supplemental</t>
  </si>
  <si>
    <t>Amortization of Licenses, Copyrights, Property Rights &amp; Designs - Supplemental</t>
  </si>
  <si>
    <t>Amortization of Brands, Patents, Trademarks, Marketing &amp; Artistic Intangibles - Supplemental</t>
  </si>
  <si>
    <t>Amortization of Capitalized Research &amp; Development Expenses - Supplemental</t>
  </si>
  <si>
    <t>Amortization of Deferred Costs - Supplemental</t>
  </si>
  <si>
    <t>Depreciation/Amortization - Total</t>
  </si>
  <si>
    <t>Depreciation, Depletion &amp; Amortization - Total</t>
  </si>
  <si>
    <t>Depreciation - Total</t>
  </si>
  <si>
    <t>Amortization of Intangible Assets excluding Goodwill - Total</t>
  </si>
  <si>
    <t>Amortization of Deferred Charges - Total</t>
  </si>
  <si>
    <t>Research &amp; Development Expense - Expensed &amp; Capitalized - Total - Supplemental</t>
  </si>
  <si>
    <t>Research &amp; Development Expense - Supplemental</t>
  </si>
  <si>
    <t>Labor &amp; Related Expenses</t>
  </si>
  <si>
    <t>Labor &amp; Related Expenses - Total</t>
  </si>
  <si>
    <t>Labor &amp; Related Expenses - Supplemental</t>
  </si>
  <si>
    <t>Stock-Based Compensation Expense - Net of Tax - Supplemental</t>
  </si>
  <si>
    <t>Stock-Based Compensation Expense - Pre-tax - Supplemental</t>
  </si>
  <si>
    <t>Stock-Based Compensation - Tax Benefit - Supplemental</t>
  </si>
  <si>
    <t>Auditor Fees</t>
  </si>
  <si>
    <t>Audit-Related Fees</t>
  </si>
  <si>
    <t>Fees - Other</t>
  </si>
  <si>
    <t>Normalized</t>
  </si>
  <si>
    <t>Normalized after Tax Profit</t>
  </si>
  <si>
    <t>Normalized Net Income from Continuing Operations</t>
  </si>
  <si>
    <t>Normalized Net Income - Bottom Line</t>
  </si>
  <si>
    <t>Earnings before Interest &amp; Taxes (EBIT) - Normalized</t>
  </si>
  <si>
    <t>Earnings before Interest, Taxes, Depreciation &amp; Amortization (EBITDA) - Normalized</t>
  </si>
  <si>
    <t>Derivatives</t>
  </si>
  <si>
    <t>Derivatives - Hedging - Gain/(Loss) - Total - Supplemental</t>
  </si>
  <si>
    <t>Derivatives - Hedging - Realized Gain/(Loss) - Total - Supplemental</t>
  </si>
  <si>
    <t>Derivatives - Hedging - Ineffective Gain/(Loss) - Supplemental</t>
  </si>
  <si>
    <t>Lease Expenses</t>
  </si>
  <si>
    <t>Lease Expense -Total - Supplemental</t>
  </si>
  <si>
    <t>Depreciation of Financial Lease ROU Assets - Supplemental</t>
  </si>
  <si>
    <t>Interest Expense on Financial Lease Liabilities - Supple</t>
  </si>
  <si>
    <t>Other</t>
  </si>
  <si>
    <t>Cost of Revenue including Operation &amp; Maintenance (Utility) - Total</t>
  </si>
  <si>
    <t>Cost of Revenues excluding Depreciation</t>
  </si>
  <si>
    <t>Interest Expense</t>
  </si>
  <si>
    <t>Selling, General &amp; Administrative Expenses excluding Research &amp; Development Expenses</t>
  </si>
  <si>
    <t>Employees</t>
  </si>
  <si>
    <t>Employees - Average</t>
  </si>
  <si>
    <t>BALANCE SHEET</t>
  </si>
  <si>
    <t>Current Assets</t>
  </si>
  <si>
    <t>Cash &amp; Short-Term Investments</t>
  </si>
  <si>
    <t>Cash &amp; Cash Equivalents</t>
  </si>
  <si>
    <t>Short-Term Investments - Total</t>
  </si>
  <si>
    <t>Financial Assets - Short-Term</t>
  </si>
  <si>
    <t>Derivative Financial Instruments - Hedging - Short-Term</t>
  </si>
  <si>
    <t>Loans &amp; Receivables - Net - Short-Term</t>
  </si>
  <si>
    <t>Trade Accounts &amp; Trade Notes Receivable - Net</t>
  </si>
  <si>
    <t>Trade Accounts &amp; Trade Notes Receivable - Gross</t>
  </si>
  <si>
    <t>Provision - Trade Accounts &amp; Trade Notes Receivable</t>
  </si>
  <si>
    <t>Income Tax - Receivables - Short-Term</t>
  </si>
  <si>
    <t>Inventories - Total</t>
  </si>
  <si>
    <t>Inventories - Raw Materials</t>
  </si>
  <si>
    <t>Inventories - Work in Progress</t>
  </si>
  <si>
    <t>Inventories - Finished Goods</t>
  </si>
  <si>
    <t>Inventories - Other - Total</t>
  </si>
  <si>
    <t>Prepaid Expenses - Short-Term</t>
  </si>
  <si>
    <t>Other Current Assets - Total</t>
  </si>
  <si>
    <t>Other Current Assets</t>
  </si>
  <si>
    <t>Total Current Assets</t>
  </si>
  <si>
    <t>Non-Current Assets</t>
  </si>
  <si>
    <t>Investments - Long-Term</t>
  </si>
  <si>
    <t>Financial Assets - Long-Term</t>
  </si>
  <si>
    <t>Investments in Associates, Joint Ventures and Unconsolidated Subsidiaries</t>
  </si>
  <si>
    <t>Derivative Financial Instruments - Hedging - Long-Term</t>
  </si>
  <si>
    <t>Property, Plant &amp; Equipment - Net - Total</t>
  </si>
  <si>
    <t>Property, Plant &amp; Equipment - excluding Assets Leased Out - Net - Total</t>
  </si>
  <si>
    <t>Land &amp; Buildings - Net</t>
  </si>
  <si>
    <t>Land/Improvements - Net</t>
  </si>
  <si>
    <t>Buildings - Net</t>
  </si>
  <si>
    <t>Plant, Machinery &amp; Equipment - Net</t>
  </si>
  <si>
    <t>Construction in Progress - Net</t>
  </si>
  <si>
    <t>Right of Use Tangible Assets - Total - Net</t>
  </si>
  <si>
    <t>Right of Use Tangible Assets - Capital/Finance Lease - Net</t>
  </si>
  <si>
    <t>Property, Plant &amp; Equipment - Other - Net</t>
  </si>
  <si>
    <t>Property, Plant &amp; Equipment - Gross - Total</t>
  </si>
  <si>
    <t>Property, Plant &amp; Equipment - excluding Assets Leased Out - Gross</t>
  </si>
  <si>
    <t>Land &amp; Buildings - Gross</t>
  </si>
  <si>
    <t>Land/Improvements - Gross</t>
  </si>
  <si>
    <t>Buildings - Gross</t>
  </si>
  <si>
    <t>Plant, Machinery &amp; Equipment - Gross</t>
  </si>
  <si>
    <t>Construction in Progress - Gross</t>
  </si>
  <si>
    <t>Right of Use Tangible Assets - Total - Gross</t>
  </si>
  <si>
    <t>Right of Use Tangible Assets - Capital/Finance Lease - Gross</t>
  </si>
  <si>
    <t>Property, Plant &amp; Equipment - Other - Gross</t>
  </si>
  <si>
    <t>Property, Plant &amp; Equipment - Accumulated Depreciation &amp; Impairment - Total</t>
  </si>
  <si>
    <t>Property, Plant &amp; Equipment - excluding Assets Leased Out - Accumulated Depreciation &amp; Impairment - Total</t>
  </si>
  <si>
    <t>Land &amp; Buildings - Accumulated Depreciation &amp; Impairment</t>
  </si>
  <si>
    <t>Land/Improvements - Accumulated Depreciation &amp; Impairment</t>
  </si>
  <si>
    <t>Buildings - Accumulated Depreciation &amp; Impairment</t>
  </si>
  <si>
    <t>Plant, Machinery &amp; Equipment - Accumulated Depreciation &amp; Impairment</t>
  </si>
  <si>
    <t>Construction in Progress - Accumulated Depreciation &amp; Impairment</t>
  </si>
  <si>
    <t>Right of Use Tangible Assets - Total/Unspecified - Accumulated Depreciation</t>
  </si>
  <si>
    <t>Right of Use Tangible Assets - Capital/Finance Lease - Accumulated Depreciation</t>
  </si>
  <si>
    <t>Property, Plant &amp; Equipment - Other - Accumulated Depreciation &amp; Impairment</t>
  </si>
  <si>
    <t>Assets Held for Sale/Discontinued Operations - Long-Term</t>
  </si>
  <si>
    <t>Other Non-Current Assets - Total</t>
  </si>
  <si>
    <t>Deferred Tax - Asset - Long-Term</t>
  </si>
  <si>
    <t>Other Non-Current Assets</t>
  </si>
  <si>
    <t>Intangible Assets - Total - Net</t>
  </si>
  <si>
    <t>Goodwill/Cost in Excess of Assets Purchased - Net</t>
  </si>
  <si>
    <t>Intangible Assets - excluding Goodwill - Net - Total</t>
  </si>
  <si>
    <t>Research &amp; Development Costs - Net</t>
  </si>
  <si>
    <t>Brands, Patents, Trademarks, Marketing &amp; Artistic Intangibles - Net</t>
  </si>
  <si>
    <t>Licenses, Franchises, Copyrights, Property Rights, Prototypes, Contract Based, Models &amp; Designs - Net</t>
  </si>
  <si>
    <t>Intangible Assets - Other - Net</t>
  </si>
  <si>
    <t>Intangible Assets - Gross - Total</t>
  </si>
  <si>
    <t>Goodwill/Cost in Excess of Assets Purchased - Gross</t>
  </si>
  <si>
    <t>Intangible Assets - excluding Goodwill - Gross</t>
  </si>
  <si>
    <t>Research &amp; Development Costs - Gross</t>
  </si>
  <si>
    <t>Brands, Patents, Trademarks, Marketing &amp; Artistic Intangibles - Gross</t>
  </si>
  <si>
    <t>Licenses, Franchises, Copyrights, Property Rights, Prototypes, Contract Based, Models &amp; Designs - Gross</t>
  </si>
  <si>
    <t>Intangible Assets - Other - Gross - Total</t>
  </si>
  <si>
    <t>Intangible Assets - Accumulated Amortization &amp; Impairment - Total</t>
  </si>
  <si>
    <t>Goodwill - Accumulated Amortization &amp; Impairment</t>
  </si>
  <si>
    <t>Intangible Assets - excluding Goodwill - Accumulated Amortization &amp; Impairment - Total</t>
  </si>
  <si>
    <t>Research &amp; Development Costs - Accumulated Amortization &amp; Impairment</t>
  </si>
  <si>
    <t>Brands, Patents, Trademarks, Marketing &amp; Artistic Intangibles - Accumulated Amortization &amp; Impairment</t>
  </si>
  <si>
    <t>Licenses, Franchises, Copy/Property Rights, Prototypes, Contract Based, Models &amp; Designs - Accumulated Amortization &amp; Impairment</t>
  </si>
  <si>
    <t>Intangible Assets - Other - Accumulated Amortization &amp; Impairment</t>
  </si>
  <si>
    <t>Total Non-Current Assets</t>
  </si>
  <si>
    <t>Total Assets</t>
  </si>
  <si>
    <t>Current Liabilities</t>
  </si>
  <si>
    <t>Trade Accounts Payable &amp; Accruals - Short-Term</t>
  </si>
  <si>
    <t>Trade Accounts &amp; Trade Notes Payable - Short-Term</t>
  </si>
  <si>
    <t>Accrued Expenses - Short-Term</t>
  </si>
  <si>
    <t>Short-Term Debt &amp; Current Portion of Long-Term Debt</t>
  </si>
  <si>
    <t>Short-Term Debt &amp; Notes Payable</t>
  </si>
  <si>
    <t>Current Portion of Long-Term Debt including Capitalized Leases</t>
  </si>
  <si>
    <t>Current Portion of Long-Term Debt excluding Capitalized Leases</t>
  </si>
  <si>
    <t>Capitalized Leases - Current Portion</t>
  </si>
  <si>
    <t>Derivative Liabilities - Hedging - Short-Term</t>
  </si>
  <si>
    <t>Income Taxes - Payable - Short-Term</t>
  </si>
  <si>
    <t>Other Current Liabilities - Total</t>
  </si>
  <si>
    <t>Deferred Income - Short-Term</t>
  </si>
  <si>
    <t>Other Current Liabilities</t>
  </si>
  <si>
    <t>Total Current Liabilities</t>
  </si>
  <si>
    <t>Non-Current Liabilities</t>
  </si>
  <si>
    <t>Debt - Long-Term - Total</t>
  </si>
  <si>
    <t>Long-Term Debt excluding Capitalized Leases</t>
  </si>
  <si>
    <t>Debt - Non-Convertible - Long-Term</t>
  </si>
  <si>
    <t>Convertible Debt - Long-Term</t>
  </si>
  <si>
    <t>Capitalized Lease Obligations - Long-Term</t>
  </si>
  <si>
    <t>Derivative Liabilities - Hedging - Long-Term</t>
  </si>
  <si>
    <t>Liabilities Held for Sale/Discontinued Operations - Long-Term</t>
  </si>
  <si>
    <t>Deferred Tax &amp; Investment Tax Credits - Long-Term</t>
  </si>
  <si>
    <t>Deferred Tax - Liability - Long-Term</t>
  </si>
  <si>
    <t>Other Non-Current Liabilities - Total</t>
  </si>
  <si>
    <t>Provisions - Long-Term</t>
  </si>
  <si>
    <t>Post Employment Benefits - Pension &amp; Other - Long-Term</t>
  </si>
  <si>
    <t>Provisions - Other - Long-Term</t>
  </si>
  <si>
    <t>Other Non-Current Liabilities</t>
  </si>
  <si>
    <t>Total Non-Current Liabilities</t>
  </si>
  <si>
    <t>Total Liabilities</t>
  </si>
  <si>
    <t>Shareholders' Equity</t>
  </si>
  <si>
    <t>Shareholders' Equity - Attributable to Parent Shareholders - Total</t>
  </si>
  <si>
    <t>Common Equity Attributable to Parent Shareholders</t>
  </si>
  <si>
    <t>Common Stock - Treasury/Repurchased</t>
  </si>
  <si>
    <t>Common Equity - Contributed</t>
  </si>
  <si>
    <t>Common Stock - Issued &amp; Paid</t>
  </si>
  <si>
    <t>Common Stock - Additional Paid in Capital including Option Reserve</t>
  </si>
  <si>
    <t>Equity - Non-Contributed - Reserves &amp; Retained Earnings</t>
  </si>
  <si>
    <t>Retained Earnings - Total</t>
  </si>
  <si>
    <t>Comprehensive Income - Accumulated - Total</t>
  </si>
  <si>
    <t>Foreign Currency Translation Adjustment - Accumulated</t>
  </si>
  <si>
    <t>Other Reserves/Equity - Total</t>
  </si>
  <si>
    <t>Common Equity - Total</t>
  </si>
  <si>
    <t>Minority Interest - Equity</t>
  </si>
  <si>
    <t>Total Shareholders' Equity</t>
  </si>
  <si>
    <t>Total Shareholders' Equity - including Minority Interest &amp; Hybrid Debt</t>
  </si>
  <si>
    <t>Total Liabilities &amp; Shareholders' Equity</t>
  </si>
  <si>
    <t>Total Liabilities &amp; Equity</t>
  </si>
  <si>
    <t>Share/Per Share - Common</t>
  </si>
  <si>
    <t>Common Shares - Issued - Total</t>
  </si>
  <si>
    <t>Common Shares - Outstanding - Total</t>
  </si>
  <si>
    <t>Common Shares - Treasury - Total</t>
  </si>
  <si>
    <t>Common Shares - Issued - Issue Specific</t>
  </si>
  <si>
    <t>Common Shares - Outstanding - Issue Specific</t>
  </si>
  <si>
    <t>Common Shares - Treasury - Issue Specific</t>
  </si>
  <si>
    <t>Share/Per Share - Other</t>
  </si>
  <si>
    <t>Asset Allocation Factor - Issue Specific</t>
  </si>
  <si>
    <t>Right of Use Tangible Assets</t>
  </si>
  <si>
    <t>Right of Use Tangible Assets - Total - Net - Supplemental</t>
  </si>
  <si>
    <t>Right of Use Tangible Assets - Capital/Finance Lease - Net - Supplemental</t>
  </si>
  <si>
    <t>Right of Use Tangible Assets - Total - Gross - Supplemental</t>
  </si>
  <si>
    <t>Right of Use Tangible Assets - Capital/Finance Lease - Gross - Supplemental</t>
  </si>
  <si>
    <t>Right of Use Tangible Assets - Total - Accumulated Depreciation - Supplemental</t>
  </si>
  <si>
    <t>Right of Use Tangible Assets - Capital/Finance Lease - Accumulated Depreciation - Supplemental</t>
  </si>
  <si>
    <t>Property, Plant &amp; Equipment - excluding Right of Use Tangible Assets &amp; Capital Leases - Net</t>
  </si>
  <si>
    <t>Property, Plant &amp; Equipment - excluding Right of Use Tangible Assets &amp; Capital Leases - Gross</t>
  </si>
  <si>
    <t>Property, Plant &amp; Equipment - excluding Right of Use Tangible Assets &amp; Capital Leases - Accumulated Depreciation</t>
  </si>
  <si>
    <t>Right of Use Liabilities</t>
  </si>
  <si>
    <t>Finance and Operating Lease Liabilities - Total</t>
  </si>
  <si>
    <t>Debt including Finance and Operating Lease Liabilities</t>
  </si>
  <si>
    <t>Long-Term &amp; Short-Term</t>
  </si>
  <si>
    <t>Derivative Financial Instruments - Hedging - Total</t>
  </si>
  <si>
    <t>Investments - Total</t>
  </si>
  <si>
    <t>Loans &amp; Receivables - Total</t>
  </si>
  <si>
    <t>Accounts &amp; Notes Receivable - Trade - Gross - Total</t>
  </si>
  <si>
    <t>Assets Held for Sale/Discontinued Operations - Long-Term &amp; Short-Term</t>
  </si>
  <si>
    <t>Other Assets - Total</t>
  </si>
  <si>
    <t>Income Taxes - Payable - Long-Term &amp; Short-Term</t>
  </si>
  <si>
    <t>Payables &amp; Accrued Expenses</t>
  </si>
  <si>
    <t>Trade Account Payables - Total</t>
  </si>
  <si>
    <t>Accrued Expenses</t>
  </si>
  <si>
    <t>Derivative Liabilities - Hedging</t>
  </si>
  <si>
    <t>Liabilities Held for Sale/Discontinued Operations - Long-term &amp; Short-Term</t>
  </si>
  <si>
    <t>Debt Related</t>
  </si>
  <si>
    <t>Net Debt</t>
  </si>
  <si>
    <t>Debt - Total</t>
  </si>
  <si>
    <t>Revolving Line of Credit - Outstanding - Supplemental</t>
  </si>
  <si>
    <t>Revolving Line of Credit - Total Principal Amount</t>
  </si>
  <si>
    <t>Debt Maturity</t>
  </si>
  <si>
    <t>Debt - Long-Term - Maturities - Total</t>
  </si>
  <si>
    <t>Debt - Long-Term - Maturities - within 1 Year</t>
  </si>
  <si>
    <t>Debt - Long-Term - Maturities - Year 5</t>
  </si>
  <si>
    <t>Debt - Long-Term - Maturities - Remaining</t>
  </si>
  <si>
    <t>Debt - Long-Term - Maturities - 4-5 Years</t>
  </si>
  <si>
    <t>Debt - Long-Term - Maturities - Year 6 &amp; Beyond</t>
  </si>
  <si>
    <t>Capital Lease Maturity</t>
  </si>
  <si>
    <t>Capital Lease Maturities - Total</t>
  </si>
  <si>
    <t>Capital Lease Maturities - Due within 1 Year</t>
  </si>
  <si>
    <t>Capital Lease Maturities - Due in Year 5</t>
  </si>
  <si>
    <t>Capital Lease Maturities - Remaining Maturities</t>
  </si>
  <si>
    <t>Capital Lease Maturities - Due in 4-5 Years</t>
  </si>
  <si>
    <t>Capital Lease Maturities - Due in Year 6 &amp; Beyond</t>
  </si>
  <si>
    <t>Contract Liabilities - Short-Term - Advance Consideration &amp; Progress Billings in Excess of Unbilled Revenue</t>
  </si>
  <si>
    <t>Minority Interest - Total</t>
  </si>
  <si>
    <t>Accruals - Short-Term</t>
  </si>
  <si>
    <t>Asset Accruals</t>
  </si>
  <si>
    <t>Cash &amp; Cash Equivalents - Total</t>
  </si>
  <si>
    <t>Cash &amp; Short Term Investments - Total</t>
  </si>
  <si>
    <t>Debt - including Preferred Equity &amp; Minority Interest - Total</t>
  </si>
  <si>
    <t>Investments - Permanent</t>
  </si>
  <si>
    <t>Net Book Capital</t>
  </si>
  <si>
    <t>Net Operating Assets</t>
  </si>
  <si>
    <t>Provisions - Total</t>
  </si>
  <si>
    <t>Shareholders Equity - Common</t>
  </si>
  <si>
    <t>Tangible Total Equity</t>
  </si>
  <si>
    <t>Tangible Book Value</t>
  </si>
  <si>
    <t>Total Book Capital</t>
  </si>
  <si>
    <t>Total Capital</t>
  </si>
  <si>
    <t>Total Long Term Capital</t>
  </si>
  <si>
    <t>Total Fixed Assets - Net</t>
  </si>
  <si>
    <t>Unearned Revenue - Total</t>
  </si>
  <si>
    <t>Working Capital</t>
  </si>
  <si>
    <t>Working Capital - Non-Cash</t>
  </si>
  <si>
    <t>Working Capital excluding Other Current Assets &amp; Liabilities</t>
  </si>
  <si>
    <t>Book Value excluding Other Equity</t>
  </si>
  <si>
    <t>Employees - Full-Time/Full-Time Equivalents - Period End</t>
  </si>
  <si>
    <t>Employees - Full-Time/Full-Time Equivalents - Current Date</t>
  </si>
  <si>
    <t/>
  </si>
  <si>
    <t>HISTORICAL (ACTUALS)</t>
  </si>
  <si>
    <t>FORECAST (MEAN)</t>
  </si>
  <si>
    <t>FY Dec-17</t>
  </si>
  <si>
    <t>FY Dec-18</t>
  </si>
  <si>
    <t>FY Dec-19</t>
  </si>
  <si>
    <t>FY Dec-20</t>
  </si>
  <si>
    <t>FY Dec-21</t>
  </si>
  <si>
    <t>FY Dec-22</t>
  </si>
  <si>
    <t>FY Dec-23</t>
  </si>
  <si>
    <t>FY Dec-24</t>
  </si>
  <si>
    <t>FY Dec-25</t>
  </si>
  <si>
    <t>FY Dec-26</t>
  </si>
  <si>
    <t>FY Dec-27</t>
  </si>
  <si>
    <t>FY Dec-28</t>
  </si>
  <si>
    <t>FY Dec-29</t>
  </si>
  <si>
    <t>REVENUE</t>
  </si>
  <si>
    <t>COST OF GOODS SOLD</t>
  </si>
  <si>
    <t>GROSS INCOME</t>
  </si>
  <si>
    <t>GROSS PROFIT MARGIN</t>
  </si>
  <si>
    <t>R&amp;D EXPENSE</t>
  </si>
  <si>
    <t>SELLING &amp; MARKETING EXPENSE</t>
  </si>
  <si>
    <t>GENERAL &amp; ADMIN EXPENSE</t>
  </si>
  <si>
    <t>SG&amp;A EXPENSE</t>
  </si>
  <si>
    <t>-</t>
  </si>
  <si>
    <t>EBITDA</t>
  </si>
  <si>
    <t>EBITDA MARGIN</t>
  </si>
  <si>
    <t>EBITDA PER SHARE</t>
  </si>
  <si>
    <t>DEPRECIATION &amp; AMORTIZATION</t>
  </si>
  <si>
    <t>DEPRECIATION</t>
  </si>
  <si>
    <t>AMORTIZATION</t>
  </si>
  <si>
    <t>EBITA</t>
  </si>
  <si>
    <t>EBIT</t>
  </si>
  <si>
    <t>EBIT MARGIN</t>
  </si>
  <si>
    <t>INTEREST EXPENSE</t>
  </si>
  <si>
    <t>OTHER INCOME/EXPENSE</t>
  </si>
  <si>
    <t>PRE-TAX PROFIT</t>
  </si>
  <si>
    <t>TAX PROVISION</t>
  </si>
  <si>
    <t>TAX RATE</t>
  </si>
  <si>
    <t>NET INCOME</t>
  </si>
  <si>
    <t>NET INCOME MARGIN</t>
  </si>
  <si>
    <t>EARNINGS PER SHARE</t>
  </si>
  <si>
    <t>CASH EPS</t>
  </si>
  <si>
    <t>EBITDA REPORTED</t>
  </si>
  <si>
    <t>PRE-TAX PROFIT REPORTED</t>
  </si>
  <si>
    <t>NET INCOME REPORTED</t>
  </si>
  <si>
    <t>EARNINGS PER SHARE REPORTED</t>
  </si>
  <si>
    <t>DIVIDEND PER SHARE</t>
  </si>
  <si>
    <t>NUMBER OF SHARES OUTSTANDING</t>
  </si>
  <si>
    <t>NET INTEREST EXPENSES (INCOME)</t>
  </si>
  <si>
    <t>CASH AND CASH EQUIVALENTS</t>
  </si>
  <si>
    <t>INVENTORY</t>
  </si>
  <si>
    <t>CURRENT ASSETS</t>
  </si>
  <si>
    <t>GOODWILL</t>
  </si>
  <si>
    <t>TOTAL ASSETS</t>
  </si>
  <si>
    <t>CURRENT LIABILITIES</t>
  </si>
  <si>
    <t>TOTAL LIABILITIES</t>
  </si>
  <si>
    <t>SHAREHOLDERS EQUITY</t>
  </si>
  <si>
    <t>TOTAL DEBT</t>
  </si>
  <si>
    <t>NET DEBT</t>
  </si>
  <si>
    <t>NET ASSET VALUE</t>
  </si>
  <si>
    <t>BOOK VALUE PER SHARE</t>
  </si>
  <si>
    <t>ENTERPRISE VALUE</t>
  </si>
  <si>
    <t>DiaSorin S.p.A. (DIA-IT)</t>
  </si>
  <si>
    <t>DEC '15</t>
  </si>
  <si>
    <t>DEC '16</t>
  </si>
  <si>
    <t>DEC '17</t>
  </si>
  <si>
    <t>DEC '18</t>
  </si>
  <si>
    <t>DEC '19</t>
  </si>
  <si>
    <t>DEC '20</t>
  </si>
  <si>
    <t>DEC '21</t>
  </si>
  <si>
    <t>DEC '22</t>
  </si>
  <si>
    <t>DEC '23</t>
  </si>
  <si>
    <t>DEC '24</t>
  </si>
  <si>
    <t>Sales</t>
  </si>
  <si>
    <t>Cost of Goods Sold (COGS) incl. D&amp;A</t>
  </si>
  <si>
    <t>COGS excluding D&amp;A</t>
  </si>
  <si>
    <t>Depreciation &amp; Amortization Expense</t>
  </si>
  <si>
    <t>Depreciation</t>
  </si>
  <si>
    <t>Amortization of Intangibles</t>
  </si>
  <si>
    <t>Gross Income</t>
  </si>
  <si>
    <t>SG&amp;A Expense</t>
  </si>
  <si>
    <t>Research &amp; Development</t>
  </si>
  <si>
    <t>Other SG&amp;A</t>
  </si>
  <si>
    <t>EBIT (Operating Income)</t>
  </si>
  <si>
    <t>Nonoperating Income - Net</t>
  </si>
  <si>
    <t>Nonoperating Interest Income</t>
  </si>
  <si>
    <t>Other Income (Expense)</t>
  </si>
  <si>
    <t>Gross Interest Expense</t>
  </si>
  <si>
    <t>Unusual Expense - Net</t>
  </si>
  <si>
    <t>Impairments</t>
  </si>
  <si>
    <t>Other Intangibles</t>
  </si>
  <si>
    <t>Property,Plant &amp; Equipment</t>
  </si>
  <si>
    <t>Restructuring Expense</t>
  </si>
  <si>
    <t>Unrealized Valuation Gain/Loss</t>
  </si>
  <si>
    <t>Hedges/Derivatives</t>
  </si>
  <si>
    <t>Excpl Chrgs - Others</t>
  </si>
  <si>
    <t>Other Unusual Expense</t>
  </si>
  <si>
    <t>Pretax Income</t>
  </si>
  <si>
    <t>Income Taxes - Current Domestic</t>
  </si>
  <si>
    <t>Income Taxes - Deferred Domestic</t>
  </si>
  <si>
    <t>Equity in Earnings of Affiliates</t>
  </si>
  <si>
    <t>Consolidated Net Income</t>
  </si>
  <si>
    <t>Net Income available to Common</t>
  </si>
  <si>
    <t>Per Share</t>
  </si>
  <si>
    <t>EPS (recurring)</t>
  </si>
  <si>
    <t>EPS (basic)</t>
  </si>
  <si>
    <t>Basic Shares Outstanding</t>
  </si>
  <si>
    <t>Total Shares Outstanding</t>
  </si>
  <si>
    <t>EPS (diluted)</t>
  </si>
  <si>
    <t>Diluted Shares Outstanding</t>
  </si>
  <si>
    <t>Earnings Persistence</t>
  </si>
  <si>
    <t>Dividends per Share</t>
  </si>
  <si>
    <t>Payout Ratio</t>
  </si>
  <si>
    <t>All figures in millions of Euro except per share items.</t>
  </si>
  <si>
    <t>Assets</t>
  </si>
  <si>
    <t>Cash Only</t>
  </si>
  <si>
    <t>Total Short Term Investments</t>
  </si>
  <si>
    <t>Short-Term Receivables</t>
  </si>
  <si>
    <t>Accounts Receivables, Net</t>
  </si>
  <si>
    <t>Accounts Receivables, Gross</t>
  </si>
  <si>
    <t>Bad Debt/Doubtful Accounts</t>
  </si>
  <si>
    <t>Other Receivables</t>
  </si>
  <si>
    <t>Inventories</t>
  </si>
  <si>
    <t>Finished Goods</t>
  </si>
  <si>
    <t>Work in Progress</t>
  </si>
  <si>
    <t>Raw Materials</t>
  </si>
  <si>
    <t>Prepaid Expenses</t>
  </si>
  <si>
    <t>Miscellaneous Current Assets</t>
  </si>
  <si>
    <t>Net Property, Plant &amp; Equipment</t>
  </si>
  <si>
    <t>Property, Plant &amp; Equipment - Gross</t>
  </si>
  <si>
    <t>Buildings</t>
  </si>
  <si>
    <t>Land &amp; Improvements</t>
  </si>
  <si>
    <t>Machinery &amp; Equipment</t>
  </si>
  <si>
    <t>Construction in Progress</t>
  </si>
  <si>
    <t>Leases</t>
  </si>
  <si>
    <t>Other Property, Plant &amp; Equipment</t>
  </si>
  <si>
    <t>Operating Lease Right-of-Use Assets</t>
  </si>
  <si>
    <t>Accumulated Depreciation</t>
  </si>
  <si>
    <t xml:space="preserve">Total Long-Term Investments </t>
  </si>
  <si>
    <t>LT Investment - Affiliate Companies</t>
  </si>
  <si>
    <t>Other Long-Term Investments</t>
  </si>
  <si>
    <t>Intangible Assets</t>
  </si>
  <si>
    <t>Goodwill</t>
  </si>
  <si>
    <t>Other Intangible Assets</t>
  </si>
  <si>
    <t>Deferred Tax Assets</t>
  </si>
  <si>
    <t>Other Assets</t>
  </si>
  <si>
    <t>Tangible Other Assets</t>
  </si>
  <si>
    <t>Liabilities &amp; Shareholders' Equity</t>
  </si>
  <si>
    <t>Current</t>
  </si>
  <si>
    <t>ST Debt &amp; Curr. Portion LT Debt</t>
  </si>
  <si>
    <t>Accounts Payable</t>
  </si>
  <si>
    <t>Income Tax Payable</t>
  </si>
  <si>
    <t>Accrued Payroll</t>
  </si>
  <si>
    <t>Miscellaneous Current Liabilities</t>
  </si>
  <si>
    <t>Long-Term</t>
  </si>
  <si>
    <t>Long-Term Debt</t>
  </si>
  <si>
    <t>Long-Term Debt excl Lease Obligations</t>
  </si>
  <si>
    <t>Capital and Operating Lease Obligations</t>
  </si>
  <si>
    <t>Provision for Risks &amp; Charges</t>
  </si>
  <si>
    <t>Deferred Tax Liabilities</t>
  </si>
  <si>
    <t>Other Liabilities</t>
  </si>
  <si>
    <t>Other Liabilities (excl. Deferred Income)</t>
  </si>
  <si>
    <t>Equity</t>
  </si>
  <si>
    <t>Common Equity</t>
  </si>
  <si>
    <t>Common Stock Par/Carry Value</t>
  </si>
  <si>
    <t>Additional Paid-In Capital/Capital Surplus</t>
  </si>
  <si>
    <t>Retained Earnings</t>
  </si>
  <si>
    <t>Cumulative Translation Adjustment/Unrealized For. Exch. Gain</t>
  </si>
  <si>
    <t>Unrealized Gain/Loss Marketable Securities</t>
  </si>
  <si>
    <t>Other Appropriated Reserves</t>
  </si>
  <si>
    <t>Unappropriated Reserves</t>
  </si>
  <si>
    <t>Treasury Stock</t>
  </si>
  <si>
    <t>Accumulated Minority Interest</t>
  </si>
  <si>
    <t>Total Equity</t>
  </si>
  <si>
    <t>Restated Financial Statements</t>
  </si>
  <si>
    <t>Historicals</t>
  </si>
  <si>
    <t>USD: mln</t>
  </si>
  <si>
    <t>Income statement</t>
  </si>
  <si>
    <t xml:space="preserve">Revenues from the sale of goods and services </t>
  </si>
  <si>
    <t>Growth</t>
  </si>
  <si>
    <t>n.a.</t>
  </si>
  <si>
    <t>COGS</t>
  </si>
  <si>
    <t>SGA</t>
  </si>
  <si>
    <t xml:space="preserve">Total operating expenses </t>
  </si>
  <si>
    <t xml:space="preserve">EBITDA </t>
  </si>
  <si>
    <t>Margin</t>
  </si>
  <si>
    <t>Net write-downs of fixed assets</t>
  </si>
  <si>
    <t>Interest income</t>
  </si>
  <si>
    <t>Interest expenses</t>
  </si>
  <si>
    <t>Net Interest expenses</t>
  </si>
  <si>
    <t>Gross Operating Income from Continuing Operations</t>
  </si>
  <si>
    <t>Non-Recurring</t>
  </si>
  <si>
    <t>EBT</t>
  </si>
  <si>
    <t>Income taxes</t>
  </si>
  <si>
    <t>Minorities</t>
  </si>
  <si>
    <t>Group result of the year</t>
  </si>
  <si>
    <t>Check</t>
  </si>
  <si>
    <t>Dividend distribution</t>
  </si>
  <si>
    <t>Retained portion</t>
  </si>
  <si>
    <t>n/a</t>
  </si>
  <si>
    <t>(Cost of goods sold)</t>
  </si>
  <si>
    <t>(Selling, general &amp; adminsitrative expenses)</t>
  </si>
  <si>
    <t>(Depreciation)</t>
  </si>
  <si>
    <t>(Amortization)</t>
  </si>
  <si>
    <t>Other Interest Income</t>
  </si>
  <si>
    <t>Income from Associates</t>
  </si>
  <si>
    <t>Unusual Interest Expense</t>
  </si>
  <si>
    <t>(Interest expenses)</t>
  </si>
  <si>
    <t>Income from associates</t>
  </si>
  <si>
    <t>(Income taxes)</t>
  </si>
  <si>
    <t>(Minority Interest)</t>
  </si>
  <si>
    <t>Net income</t>
  </si>
  <si>
    <t>Balance sheet</t>
  </si>
  <si>
    <t>Trade receivables</t>
  </si>
  <si>
    <t>(Trade payables)</t>
  </si>
  <si>
    <t>Inventory</t>
  </si>
  <si>
    <t>Other current assets and liabilities</t>
  </si>
  <si>
    <t>(Tax Payables)</t>
  </si>
  <si>
    <t>(long term provisions)</t>
  </si>
  <si>
    <t>Noncash working capital</t>
  </si>
  <si>
    <t>Tangible</t>
  </si>
  <si>
    <t xml:space="preserve">Other Intagible Assets </t>
  </si>
  <si>
    <t>Fixed assets</t>
  </si>
  <si>
    <t>Core capital employed</t>
  </si>
  <si>
    <t>Long-Term Investments</t>
  </si>
  <si>
    <t>(Other LT Liabilities)</t>
  </si>
  <si>
    <t>Tangible Other assets</t>
  </si>
  <si>
    <t>Surplus and other liabilities</t>
  </si>
  <si>
    <t>Net capital employed</t>
  </si>
  <si>
    <t>ST financial debt</t>
  </si>
  <si>
    <t>LT financial debt</t>
  </si>
  <si>
    <t>Gross financial debt</t>
  </si>
  <si>
    <t>Excess cash &amp; equivalents (Cash &amp; Short-Term Investments)</t>
  </si>
  <si>
    <t>Net financial position</t>
  </si>
  <si>
    <t>Share Capital</t>
  </si>
  <si>
    <t>Total Shareholders Equity</t>
  </si>
  <si>
    <t>Minority interests</t>
  </si>
  <si>
    <t>Total equity</t>
  </si>
  <si>
    <t>Total funds invested</t>
  </si>
  <si>
    <t>Free Cash flows</t>
  </si>
  <si>
    <t>(Operational taxes)</t>
  </si>
  <si>
    <t>NOPAT</t>
  </si>
  <si>
    <t>Amortization</t>
  </si>
  <si>
    <t>Gross cash flows</t>
  </si>
  <si>
    <t>(Increase) and decrease in noncash WC</t>
  </si>
  <si>
    <t>- Tangible CAPEX</t>
  </si>
  <si>
    <t>- Intangible CAPEX</t>
  </si>
  <si>
    <t>FCFO</t>
  </si>
  <si>
    <t>Tax shields</t>
  </si>
  <si>
    <t>Change in gross debt</t>
  </si>
  <si>
    <t>(Increase) and decrease in surplus assets and other liabilities</t>
  </si>
  <si>
    <t>FCFE</t>
  </si>
  <si>
    <t>Dividends</t>
  </si>
  <si>
    <t>(Dividends to Minority Interest)</t>
  </si>
  <si>
    <t>Other movements in group equity</t>
  </si>
  <si>
    <t>Change in minorities</t>
  </si>
  <si>
    <t>Change in cash</t>
  </si>
  <si>
    <t xml:space="preserve">Assumptions </t>
  </si>
  <si>
    <t>Explicit forecast</t>
  </si>
  <si>
    <t>(EUR m)</t>
  </si>
  <si>
    <t>Notes</t>
  </si>
  <si>
    <t>Sales forecast assumptions</t>
  </si>
  <si>
    <t>Sales growth rates</t>
  </si>
  <si>
    <t>PAST</t>
  </si>
  <si>
    <t>BASE CASE</t>
  </si>
  <si>
    <t>Operating expenses forecast assumptions</t>
  </si>
  <si>
    <t>COGS as a % of sales</t>
  </si>
  <si>
    <t>SG&amp;A as a % of sales</t>
  </si>
  <si>
    <t>EV</t>
  </si>
  <si>
    <t>EV/EBITDA LTM</t>
  </si>
  <si>
    <t>Investment forecast assumptions</t>
  </si>
  <si>
    <t>P/E LTM</t>
  </si>
  <si>
    <t>Tangible CAPEX as a % of sales</t>
  </si>
  <si>
    <t>Depreciation rate</t>
  </si>
  <si>
    <t>Intangible CAPEX as a % of sales</t>
  </si>
  <si>
    <t>Intangibles amortization as a % of BOP Intangibles</t>
  </si>
  <si>
    <t>Days receivables (Sales)</t>
  </si>
  <si>
    <t>Days payables (COGS)</t>
  </si>
  <si>
    <t>Days inventory (Sales)</t>
  </si>
  <si>
    <t>Other current assets / liabilities as a % of sales</t>
  </si>
  <si>
    <t>Financing forecast assumptions</t>
  </si>
  <si>
    <t>Payout ratio</t>
  </si>
  <si>
    <t>Rights issues (issue of common stock)</t>
  </si>
  <si>
    <t>ST debt as a % of sales</t>
  </si>
  <si>
    <t>Effective interest rate for debt</t>
  </si>
  <si>
    <t>Bonds issuance schedule</t>
  </si>
  <si>
    <t>Bonds maturity schedule</t>
  </si>
  <si>
    <t>Effective interest rate for cash / overdraft</t>
  </si>
  <si>
    <t>Tax forecast assumptions</t>
  </si>
  <si>
    <t>Value added tax (sales tax)</t>
  </si>
  <si>
    <t>Income tax 1 on EBT (IRES)</t>
  </si>
  <si>
    <t>Income tax 2 on EBIT (IRAP)</t>
  </si>
  <si>
    <t>Steady state assumptions</t>
  </si>
  <si>
    <t>Terminal growth rate (2022 onwards)</t>
  </si>
  <si>
    <t>Calculations</t>
  </si>
  <si>
    <t>Sales and Operating Expenses Forecasts</t>
  </si>
  <si>
    <t>Sales forecast</t>
  </si>
  <si>
    <t>Base Case</t>
  </si>
  <si>
    <t>Best Case</t>
  </si>
  <si>
    <t>Operational forecasts</t>
  </si>
  <si>
    <t>SGAs</t>
  </si>
  <si>
    <t>Investments Forecasts</t>
  </si>
  <si>
    <t>Working capital forecast</t>
  </si>
  <si>
    <t>Trade payables</t>
  </si>
  <si>
    <t>Other current assets &amp; liabilities</t>
  </si>
  <si>
    <t>Deferred taxes</t>
  </si>
  <si>
    <t>Long term provisions</t>
  </si>
  <si>
    <t>Investment forecasts</t>
  </si>
  <si>
    <t>Evolution of tangible assets</t>
  </si>
  <si>
    <t>BOP tangible assets</t>
  </si>
  <si>
    <t>+ Tangible CAPEX</t>
  </si>
  <si>
    <t>- Depreciation</t>
  </si>
  <si>
    <t>= EOP tangible assets</t>
  </si>
  <si>
    <t>Existing assets</t>
  </si>
  <si>
    <t>Total depreciation</t>
  </si>
  <si>
    <t>BOP Goodwill &amp; trademarks</t>
  </si>
  <si>
    <t>Intangible CAPEX</t>
  </si>
  <si>
    <t>EOP Goodwill &amp; trademarks</t>
  </si>
  <si>
    <t>Financing Forecasts</t>
  </si>
  <si>
    <t>Equity forecast</t>
  </si>
  <si>
    <t>Output Recall</t>
  </si>
  <si>
    <t>Total net income</t>
  </si>
  <si>
    <t>IS Output</t>
  </si>
  <si>
    <t>Evolution of retained earnings</t>
  </si>
  <si>
    <t>BOP retained earnings</t>
  </si>
  <si>
    <t>Linking Cell</t>
  </si>
  <si>
    <t>+ Total net income</t>
  </si>
  <si>
    <t>- Dividends</t>
  </si>
  <si>
    <t>BS Output</t>
  </si>
  <si>
    <t>EOP retained earnings</t>
  </si>
  <si>
    <t>Share capital</t>
  </si>
  <si>
    <t>Debt forecast</t>
  </si>
  <si>
    <t>Bonds and securities</t>
  </si>
  <si>
    <t>Cash balance forecast</t>
  </si>
  <si>
    <t>Cash / bank overdraft evolution</t>
  </si>
  <si>
    <t>BOP cash</t>
  </si>
  <si>
    <t>+ change in cash</t>
  </si>
  <si>
    <t>= EOP cash / overdraft</t>
  </si>
  <si>
    <t>Interest inc. (exp.) on cash (overdraft)</t>
  </si>
  <si>
    <t>Taxes and Other Items Forecasts</t>
  </si>
  <si>
    <t>Other balance sheet items forecast</t>
  </si>
  <si>
    <t>Associates</t>
  </si>
  <si>
    <t>Other non-operational assets</t>
  </si>
  <si>
    <t xml:space="preserve">Except. items </t>
  </si>
  <si>
    <t>Income taxes forecast</t>
  </si>
  <si>
    <t>Income before taxes</t>
  </si>
  <si>
    <t>- Income tax 1 on EBT (IRES)</t>
  </si>
  <si>
    <t>- Income tax 2 on EBIT (IRAP)</t>
  </si>
  <si>
    <t>- Income taxes</t>
  </si>
  <si>
    <t>Output</t>
  </si>
  <si>
    <t>Output Financial Statements</t>
  </si>
  <si>
    <t>(Deferred taxes)</t>
  </si>
  <si>
    <t>(Long term provisions)</t>
  </si>
  <si>
    <t>Tangible assets</t>
  </si>
  <si>
    <t>Goodwill and trademarks</t>
  </si>
  <si>
    <t>(Employee severance)</t>
  </si>
  <si>
    <t>Surplus assets and other liabilities</t>
  </si>
  <si>
    <t>Bank loans</t>
  </si>
  <si>
    <t>(Excess cash &amp; equivalents)</t>
  </si>
  <si>
    <t>Net debt</t>
  </si>
  <si>
    <t>Retained earnings</t>
  </si>
  <si>
    <t>Group equity</t>
  </si>
  <si>
    <t>Cash flows</t>
  </si>
  <si>
    <t>Increase and (decrease) in gross debt</t>
  </si>
  <si>
    <t>(Dividends)</t>
  </si>
  <si>
    <t>Financial Analysis</t>
  </si>
  <si>
    <t>Value creation and profitability analysis</t>
  </si>
  <si>
    <t>Sales growth</t>
  </si>
  <si>
    <t>EBITDA margin</t>
  </si>
  <si>
    <t>EBIT margin</t>
  </si>
  <si>
    <t>Net income margin</t>
  </si>
  <si>
    <t>Investment analysis - CAPEX</t>
  </si>
  <si>
    <t>Total CAPEX</t>
  </si>
  <si>
    <t>D&amp;A</t>
  </si>
  <si>
    <t>Expanding or downsizing?</t>
  </si>
  <si>
    <t>Is the company divesting?</t>
  </si>
  <si>
    <t>D&amp;A as a % of CAPEX</t>
  </si>
  <si>
    <t>D&amp;A as a % average fixed asset</t>
  </si>
  <si>
    <t>Investment analysis - WC</t>
  </si>
  <si>
    <t>DSO</t>
  </si>
  <si>
    <t>DPO</t>
  </si>
  <si>
    <t>Days inventory</t>
  </si>
  <si>
    <t>Clients are paying</t>
  </si>
  <si>
    <t>Products stay on stock</t>
  </si>
  <si>
    <t>Financing analysis</t>
  </si>
  <si>
    <t>Leverage D/E</t>
  </si>
  <si>
    <t>Leverage D/(D+E)</t>
  </si>
  <si>
    <t>Debt coverage</t>
  </si>
  <si>
    <t>Interest coverage</t>
  </si>
  <si>
    <t>DSCR</t>
  </si>
  <si>
    <t>Liquidity analysis</t>
  </si>
  <si>
    <t>Current ratio</t>
  </si>
  <si>
    <t>Acid test</t>
  </si>
  <si>
    <t>Profitability analysis</t>
  </si>
  <si>
    <t>ROCE</t>
  </si>
  <si>
    <t>ROCE decomposition</t>
  </si>
  <si>
    <t>Effective operating tax rate</t>
  </si>
  <si>
    <t>Asset turnover</t>
  </si>
  <si>
    <t>ROE</t>
  </si>
  <si>
    <t>Effective interest rate (with average ND)</t>
  </si>
  <si>
    <t>Non-cash equity metrics (supporting FCFE valuation)</t>
  </si>
  <si>
    <t>Interest income, after tax</t>
  </si>
  <si>
    <t>FCFE excluding interest income (after tax)</t>
  </si>
  <si>
    <t>Net income excluding interest income (after tax)</t>
  </si>
  <si>
    <t>Equity, excluding cash</t>
  </si>
  <si>
    <t>Noncash ROE</t>
  </si>
  <si>
    <t>Terminal Cash Flows</t>
  </si>
  <si>
    <t>Fundamental 
growth</t>
  </si>
  <si>
    <t>Bankers' normalized best practice</t>
  </si>
  <si>
    <t>Simple FCFO</t>
  </si>
  <si>
    <t>Terminal FCFO</t>
  </si>
  <si>
    <t>TV 2022</t>
  </si>
  <si>
    <t>Change in noncash WC</t>
  </si>
  <si>
    <t>CAPEX</t>
  </si>
  <si>
    <t>Assumptions</t>
  </si>
  <si>
    <t>Terminal growth rate</t>
  </si>
  <si>
    <t>CAPEX / Sales</t>
  </si>
  <si>
    <t>Implied terminal capital reinvestment rate</t>
  </si>
  <si>
    <t>Simple FCFE</t>
  </si>
  <si>
    <t>Terminal FCFE</t>
  </si>
  <si>
    <t>Noncash net income</t>
  </si>
  <si>
    <t>+ D&amp;A</t>
  </si>
  <si>
    <t>Change in WC</t>
  </si>
  <si>
    <t>Change in surplus assets</t>
  </si>
  <si>
    <t>2021 noncash ROE = Terminal noncash ROE</t>
  </si>
  <si>
    <t>Implied terminal equity reinvestment rate</t>
  </si>
  <si>
    <t>Terminal tax shield</t>
  </si>
  <si>
    <t>Tax shield on interest expense</t>
  </si>
  <si>
    <t>Tax effect of interest income</t>
  </si>
  <si>
    <t>Gross debt</t>
  </si>
  <si>
    <t>Cash (overdraft)</t>
  </si>
  <si>
    <t>Cost of debt</t>
  </si>
  <si>
    <t>Interest income rate</t>
  </si>
  <si>
    <t>Income tax rate (with interest deductibility)</t>
  </si>
  <si>
    <t>DCF / APV Valuation</t>
  </si>
  <si>
    <t>TV</t>
  </si>
  <si>
    <t>Perpetual growth</t>
  </si>
  <si>
    <t>WACC</t>
  </si>
  <si>
    <t>kEU</t>
  </si>
  <si>
    <t>kEL</t>
  </si>
  <si>
    <t>kD</t>
  </si>
  <si>
    <t>Tax shields - Theoretical tax rate</t>
  </si>
  <si>
    <t>Valuation date (= last fiscal year closing date)</t>
  </si>
  <si>
    <t>Year</t>
  </si>
  <si>
    <t>DCF asset side (FCFO)</t>
  </si>
  <si>
    <t>Discount factor (WACC)</t>
  </si>
  <si>
    <t>Present value of FCFO</t>
  </si>
  <si>
    <t>Terminal value</t>
  </si>
  <si>
    <t>PV of FCFO</t>
  </si>
  <si>
    <t>PV of TV</t>
  </si>
  <si>
    <t>Enterprise value</t>
  </si>
  <si>
    <t>(Net debt)</t>
  </si>
  <si>
    <t>Surplus assets, associates and (pensions)</t>
  </si>
  <si>
    <t>(Minorities)</t>
  </si>
  <si>
    <t>Equity value</t>
  </si>
  <si>
    <t>Number of shares (NOSH) (m)</t>
  </si>
  <si>
    <t>Equity value per share (€)</t>
  </si>
  <si>
    <t>Implied EV / EBITDA 2016A multiple</t>
  </si>
  <si>
    <t>Adjusted present value</t>
  </si>
  <si>
    <r>
      <t>Discount factor (k</t>
    </r>
    <r>
      <rPr>
        <vertAlign val="subscript"/>
        <sz val="8.8000000000000007"/>
        <color theme="1"/>
        <rFont val="Arial"/>
        <family val="2"/>
      </rPr>
      <t>EU</t>
    </r>
    <r>
      <rPr>
        <sz val="11"/>
        <color rgb="FF000000"/>
        <rFont val="Calibri"/>
        <family val="2"/>
      </rPr>
      <t>)</t>
    </r>
  </si>
  <si>
    <t>Unlevered value</t>
  </si>
  <si>
    <t>Accounting yealry tax shields</t>
  </si>
  <si>
    <r>
      <t>Discount factor (k</t>
    </r>
    <r>
      <rPr>
        <vertAlign val="subscript"/>
        <sz val="8.8000000000000007"/>
        <color theme="1"/>
        <rFont val="Arial"/>
        <family val="2"/>
      </rPr>
      <t>D</t>
    </r>
    <r>
      <rPr>
        <sz val="11"/>
        <color rgb="FF000000"/>
        <rFont val="Calibri"/>
        <family val="2"/>
      </rPr>
      <t>)</t>
    </r>
  </si>
  <si>
    <t>Present value of TS</t>
  </si>
  <si>
    <t>PV of TS</t>
  </si>
  <si>
    <t>Value of tax shields</t>
  </si>
  <si>
    <t>DCF equity side (FCFE)</t>
  </si>
  <si>
    <t>Noncash FCFE</t>
  </si>
  <si>
    <t>Discount factor (kEL)</t>
  </si>
  <si>
    <t>Present value of FCFE</t>
  </si>
  <si>
    <t>PV of FCFE</t>
  </si>
  <si>
    <t>Equity value from continuing operations</t>
  </si>
  <si>
    <t>Cash</t>
  </si>
  <si>
    <t>Surplus assets</t>
  </si>
  <si>
    <t>Sensitivity analysis</t>
  </si>
  <si>
    <t>Lower bound</t>
  </si>
  <si>
    <t>Upper bound</t>
  </si>
  <si>
    <t>Average</t>
  </si>
  <si>
    <t>In order for the following sensitivity tables to function properly, the grey-colored cells need to be hardcoded (raw numbers) and equal to the</t>
  </si>
  <si>
    <t>corresponding input to subject to sensitivity</t>
  </si>
  <si>
    <t>DCF asset side: equity value sensitivity: WACC and perpetual growth</t>
  </si>
  <si>
    <t>Checks</t>
  </si>
  <si>
    <t>DCF asset side: implied multiple sensitivity: WACC and perpetual growth</t>
  </si>
  <si>
    <t>DCF equity side: equity value sensitivity: kEL and perpetual growth</t>
  </si>
  <si>
    <t>APV: equity value sensitivity: kEU and kD</t>
  </si>
  <si>
    <t>Extra method: Economic value added (EVA)</t>
  </si>
  <si>
    <t>ROCE (on core CE)</t>
  </si>
  <si>
    <t>EVA</t>
  </si>
  <si>
    <t>Present value of EVA</t>
  </si>
  <si>
    <t>TV EVA</t>
  </si>
  <si>
    <t>PV of EVA</t>
  </si>
  <si>
    <t>PV of EVA TV</t>
  </si>
  <si>
    <t>Market value added (MVA)</t>
  </si>
  <si>
    <t>Beginning core CE</t>
  </si>
  <si>
    <t>Diasorin</t>
  </si>
  <si>
    <t>Diasorin is paying suppliers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</si>
</sst>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164" formatCode="dd\-mm\-yyyy"/>
    <numFmt numFmtId="165" formatCode="#,##0.0"/>
    <numFmt numFmtId="166" formatCode="#,###_);\(#,###\)_);@_)_)"/>
    <numFmt numFmtId="167" formatCode="#,##0.0_)_);\(#,##0.0\)_);\-_)_);@_)_)"/>
    <numFmt numFmtId="168" formatCode="#,###.00_);\(#,###.00\)_);@_)_)"/>
    <numFmt numFmtId="169" formatCode="yyyy"/>
    <numFmt numFmtId="170" formatCode="#,##0.0%_)_);\(#,##0.0%\)_);\-_)_);@_)_)"/>
    <numFmt numFmtId="171" formatCode="#,##0.00;\-#,##0.00;&quot;-&quot;"/>
    <numFmt numFmtId="172" formatCode="0.0%"/>
    <numFmt numFmtId="173" formatCode="#,##0.0_)_);\(#,##0.0\)_);@_)_)"/>
    <numFmt numFmtId="174" formatCode="0.0%_)_);\(0.0%\)_);@_)_)"/>
    <numFmt numFmtId="175" formatCode="0.000"/>
    <numFmt numFmtId="176" formatCode="0.0%_)_);\(0.0%\)_);\-_)_);@_)_)"/>
    <numFmt numFmtId="177" formatCode="0.000%"/>
    <numFmt numFmtId="178" formatCode="#,##0_)_);\(#,##0\)_);\-_)_);@_)_)"/>
    <numFmt numFmtId="179" formatCode="#,##0.00_)_);\(#,##0.00\)_);\-_)_);@_)_)"/>
    <numFmt numFmtId="180" formatCode="yyyy_)_)"/>
    <numFmt numFmtId="181" formatCode="###0_)_);\(###0\)_);\-_)_);@_)_)"/>
    <numFmt numFmtId="182" formatCode="#,##0.0&quot;x&quot;_)_);\(#,##0.0&quot;x&quot;\)_);\-_)_);@_)_)"/>
    <numFmt numFmtId="183" formatCode="0.0&quot;x&quot;_)_);\(0.0&quot;x&quot;\)_);\-_)_);@_)_)"/>
    <numFmt numFmtId="184" formatCode="#,##0.000_)_);\(#,##0.000\)_);@_)_)"/>
    <numFmt numFmtId="185" formatCode="#,##0_)_);\(#,##0\)_);@_)_)"/>
    <numFmt numFmtId="186" formatCode="dd/mm/yyyy_)_)"/>
    <numFmt numFmtId="187" formatCode="#,##0.00_)_);\(#,##0.00\)_);@_)_)"/>
    <numFmt numFmtId="188" formatCode="#,##0.000000000000"/>
  </numFmts>
  <fonts count="72" x14ac:knownFonts="1">
    <font>
      <sz val="11"/>
      <color rgb="FF000000"/>
      <name val="Calibri"/>
      <family val="2"/>
    </font>
    <font>
      <sz val="12"/>
      <color theme="1"/>
      <name val="Calibri"/>
      <family val="2"/>
      <scheme val="minor"/>
    </font>
    <font>
      <b/>
      <sz val="10"/>
      <color rgb="FFFFFFFF"/>
      <name val="Calibri"/>
      <family val="2"/>
    </font>
    <font>
      <sz val="10"/>
      <color rgb="FFFFFFFF"/>
      <name val="Calibri"/>
      <family val="2"/>
    </font>
    <font>
      <sz val="10"/>
      <color rgb="FF000000"/>
      <name val="Calibri"/>
      <family val="2"/>
    </font>
    <font>
      <b/>
      <sz val="10"/>
      <color rgb="FF334BFF"/>
      <name val="Calibri"/>
      <family val="2"/>
    </font>
    <font>
      <b/>
      <sz val="10"/>
      <color rgb="FF000000"/>
      <name val="Calibri"/>
      <family val="2"/>
    </font>
    <font>
      <sz val="10"/>
      <color rgb="FFF5475B"/>
      <name val="Calibri"/>
      <family val="2"/>
    </font>
    <font>
      <sz val="11"/>
      <color rgb="FF000000"/>
      <name val="Calibri"/>
      <family val="2"/>
    </font>
    <font>
      <sz val="8"/>
      <color theme="1"/>
      <name val="Arial"/>
      <family val="2"/>
    </font>
    <font>
      <b/>
      <i/>
      <u/>
      <sz val="8"/>
      <color theme="1"/>
      <name val="Arial"/>
      <family val="2"/>
    </font>
    <font>
      <b/>
      <sz val="22"/>
      <color rgb="FFD20928"/>
      <name val="Arial"/>
      <family val="2"/>
    </font>
    <font>
      <b/>
      <sz val="22"/>
      <color rgb="FF171A1D"/>
      <name val="Arial"/>
      <family val="2"/>
    </font>
    <font>
      <i/>
      <sz val="8"/>
      <color theme="1"/>
      <name val="Arial"/>
      <family val="2"/>
    </font>
    <font>
      <i/>
      <sz val="8"/>
      <color theme="0" tint="-0.499984740745262"/>
      <name val="Arial"/>
      <family val="2"/>
    </font>
    <font>
      <sz val="7"/>
      <color theme="0" tint="-0.499984740745262"/>
      <name val="Arial"/>
      <family val="2"/>
    </font>
    <font>
      <b/>
      <sz val="18"/>
      <color rgb="FF009FD9"/>
      <name val="Arial"/>
      <family val="2"/>
    </font>
    <font>
      <sz val="18"/>
      <color rgb="FF009FD9"/>
      <name val="Arial"/>
      <family val="2"/>
    </font>
    <font>
      <sz val="8"/>
      <color rgb="FF009FD9"/>
      <name val="Arial"/>
      <family val="2"/>
    </font>
    <font>
      <b/>
      <sz val="22"/>
      <name val="Arial"/>
      <family val="2"/>
    </font>
    <font>
      <b/>
      <i/>
      <sz val="22"/>
      <color theme="1"/>
      <name val="Aptos"/>
      <family val="2"/>
    </font>
    <font>
      <sz val="12"/>
      <color theme="1"/>
      <name val="Aptos"/>
      <family val="2"/>
    </font>
    <font>
      <b/>
      <sz val="12"/>
      <color theme="1"/>
      <name val="Aptos"/>
      <family val="2"/>
    </font>
    <font>
      <b/>
      <sz val="12"/>
      <color theme="0"/>
      <name val="Aptos"/>
      <family val="2"/>
    </font>
    <font>
      <b/>
      <sz val="12"/>
      <color rgb="FF000000"/>
      <name val="Aptos"/>
      <family val="2"/>
    </font>
    <font>
      <sz val="12"/>
      <color rgb="FF000000"/>
      <name val="Aptos"/>
      <family val="2"/>
    </font>
    <font>
      <sz val="12"/>
      <color rgb="FF000000"/>
      <name val="Calibri"/>
      <family val="2"/>
    </font>
    <font>
      <i/>
      <sz val="12"/>
      <color theme="1"/>
      <name val="Aptos"/>
      <family val="2"/>
    </font>
    <font>
      <sz val="11"/>
      <color theme="1"/>
      <name val="Aptos"/>
      <family val="2"/>
    </font>
    <font>
      <b/>
      <sz val="11"/>
      <color theme="1"/>
      <name val="Aptos"/>
      <family val="2"/>
    </font>
    <font>
      <u/>
      <sz val="12"/>
      <color theme="10"/>
      <name val="Calibri"/>
      <family val="2"/>
      <scheme val="minor"/>
    </font>
    <font>
      <sz val="12"/>
      <color theme="1"/>
      <name val="Aptos"/>
    </font>
    <font>
      <b/>
      <sz val="12"/>
      <color theme="1"/>
      <name val="Aptos"/>
    </font>
    <font>
      <sz val="9"/>
      <name val="Calibri"/>
      <family val="2"/>
    </font>
    <font>
      <sz val="11"/>
      <color theme="1"/>
      <name val="Calibri"/>
      <family val="2"/>
      <scheme val="minor"/>
    </font>
    <font>
      <b/>
      <sz val="10"/>
      <color theme="1"/>
      <name val="Calibri"/>
      <family val="2"/>
      <charset val="204"/>
      <scheme val="minor"/>
    </font>
    <font>
      <sz val="10"/>
      <color theme="1"/>
      <name val="Calibri"/>
      <family val="2"/>
      <charset val="204"/>
      <scheme val="minor"/>
    </font>
    <font>
      <sz val="10"/>
      <color theme="1"/>
      <name val="Arial"/>
      <family val="2"/>
    </font>
    <font>
      <sz val="10"/>
      <color rgb="FF646464"/>
      <name val="Arial"/>
      <family val="2"/>
    </font>
    <font>
      <sz val="10"/>
      <color rgb="FFFF0000"/>
      <name val="Arial"/>
      <family val="2"/>
    </font>
    <font>
      <b/>
      <sz val="10"/>
      <color rgb="FF003366"/>
      <name val="Arial"/>
      <family val="2"/>
    </font>
    <font>
      <b/>
      <sz val="10"/>
      <color theme="1"/>
      <name val="Arial"/>
      <family val="2"/>
    </font>
    <font>
      <sz val="12"/>
      <color rgb="FF000000"/>
      <name val="Aptos"/>
    </font>
    <font>
      <b/>
      <sz val="8"/>
      <color theme="0"/>
      <name val="Arial"/>
      <family val="2"/>
    </font>
    <font>
      <b/>
      <sz val="8"/>
      <color theme="1"/>
      <name val="Arial"/>
      <family val="2"/>
    </font>
    <font>
      <b/>
      <sz val="12"/>
      <color theme="0"/>
      <name val="Arial"/>
      <family val="2"/>
    </font>
    <font>
      <b/>
      <sz val="12"/>
      <color theme="1"/>
      <name val="Arial"/>
      <family val="2"/>
    </font>
    <font>
      <i/>
      <sz val="12"/>
      <color theme="1"/>
      <name val="Arial"/>
      <family val="2"/>
    </font>
    <font>
      <i/>
      <sz val="12"/>
      <color theme="1"/>
      <name val="Aptos"/>
    </font>
    <font>
      <b/>
      <sz val="12"/>
      <color rgb="FFF5475B"/>
      <name val="Aptos"/>
      <family val="2"/>
    </font>
    <font>
      <sz val="8"/>
      <color rgb="FF3333CC"/>
      <name val="Arial"/>
      <family val="2"/>
    </font>
    <font>
      <sz val="8"/>
      <name val="Arial"/>
      <family val="2"/>
    </font>
    <font>
      <b/>
      <sz val="14"/>
      <color theme="5"/>
      <name val="Arial"/>
      <family val="2"/>
    </font>
    <font>
      <sz val="8"/>
      <color theme="0"/>
      <name val="Arial"/>
      <family val="2"/>
    </font>
    <font>
      <sz val="8"/>
      <color rgb="FF0000FF"/>
      <name val="Arial"/>
      <family val="2"/>
    </font>
    <font>
      <sz val="7"/>
      <color rgb="FF000000"/>
      <name val="Tahoma"/>
      <family val="2"/>
    </font>
    <font>
      <b/>
      <sz val="8"/>
      <name val="Arial"/>
      <family val="2"/>
    </font>
    <font>
      <b/>
      <sz val="8"/>
      <color rgb="FF3333CC"/>
      <name val="Arial"/>
      <family val="2"/>
    </font>
    <font>
      <i/>
      <sz val="8"/>
      <name val="Arial"/>
      <family val="2"/>
    </font>
    <font>
      <b/>
      <sz val="8"/>
      <color rgb="FFFF0000"/>
      <name val="Arial"/>
      <family val="2"/>
    </font>
    <font>
      <b/>
      <sz val="8"/>
      <color theme="7"/>
      <name val="Arial"/>
      <family val="2"/>
    </font>
    <font>
      <sz val="18"/>
      <color theme="1"/>
      <name val="Arial"/>
      <family val="2"/>
    </font>
    <font>
      <b/>
      <sz val="18"/>
      <color rgb="FF3333CC"/>
      <name val="Arial"/>
      <family val="2"/>
    </font>
    <font>
      <b/>
      <u/>
      <sz val="8"/>
      <color theme="1"/>
      <name val="Arial"/>
      <family val="2"/>
    </font>
    <font>
      <b/>
      <sz val="8"/>
      <color rgb="FF002776"/>
      <name val="Arial"/>
      <family val="2"/>
    </font>
    <font>
      <b/>
      <sz val="10"/>
      <color theme="5"/>
      <name val="Arial"/>
      <family val="2"/>
    </font>
    <font>
      <b/>
      <i/>
      <sz val="8"/>
      <color theme="1"/>
      <name val="Arial"/>
      <family val="2"/>
    </font>
    <font>
      <sz val="8"/>
      <color rgb="FFFF0000"/>
      <name val="Arial"/>
      <family val="2"/>
    </font>
    <font>
      <vertAlign val="subscript"/>
      <sz val="8.8000000000000007"/>
      <color theme="1"/>
      <name val="Arial"/>
      <family val="2"/>
    </font>
    <font>
      <b/>
      <sz val="8"/>
      <color theme="0" tint="-0.499984740745262"/>
      <name val="Arial"/>
      <family val="2"/>
    </font>
    <font>
      <b/>
      <sz val="8"/>
      <color rgb="FF212529"/>
      <name val="Arial"/>
      <family val="2"/>
    </font>
    <font>
      <sz val="9"/>
      <color rgb="FF000000"/>
      <name val="Arial"/>
      <family val="2"/>
    </font>
  </fonts>
  <fills count="31">
    <fill>
      <patternFill patternType="none"/>
    </fill>
    <fill>
      <patternFill patternType="gray125"/>
    </fill>
    <fill>
      <patternFill patternType="solid">
        <fgColor rgb="FF334BFF"/>
        <bgColor rgb="FF334BFF"/>
      </patternFill>
    </fill>
    <fill>
      <patternFill patternType="solid">
        <fgColor rgb="FFD5D8DB"/>
        <bgColor rgb="FFD5D8DB"/>
      </patternFill>
    </fill>
    <fill>
      <patternFill patternType="solid">
        <fgColor rgb="FFD20928"/>
        <bgColor indexed="64"/>
      </patternFill>
    </fill>
    <fill>
      <patternFill patternType="solid">
        <fgColor rgb="FF3333CC"/>
        <bgColor indexed="64"/>
      </patternFill>
    </fill>
    <fill>
      <patternFill patternType="solid">
        <fgColor theme="0"/>
        <bgColor indexed="64"/>
      </patternFill>
    </fill>
    <fill>
      <patternFill patternType="solid">
        <fgColor rgb="FF171A1D"/>
        <bgColor indexed="64"/>
      </patternFill>
    </fill>
    <fill>
      <patternFill patternType="solid">
        <fgColor rgb="FFC00000"/>
        <bgColor indexed="64"/>
      </patternFill>
    </fill>
    <fill>
      <patternFill patternType="solid">
        <fgColor theme="0" tint="-4.9989318521683403E-2"/>
        <bgColor indexed="64"/>
      </patternFill>
    </fill>
    <fill>
      <patternFill patternType="solid">
        <fgColor rgb="FF7F0506"/>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bgColor indexed="64"/>
      </patternFill>
    </fill>
    <fill>
      <patternFill patternType="solid">
        <fgColor rgb="FFD0D4DB"/>
      </patternFill>
    </fill>
    <fill>
      <patternFill patternType="solid">
        <fgColor rgb="FFF2F3F7"/>
      </patternFill>
    </fill>
    <fill>
      <patternFill patternType="solid">
        <fgColor rgb="FFC9EDFF"/>
      </patternFill>
    </fill>
    <fill>
      <patternFill patternType="solid">
        <fgColor rgb="FFFFFFFF"/>
      </patternFill>
    </fill>
    <fill>
      <patternFill patternType="solid">
        <fgColor rgb="FFE4E8ED"/>
      </patternFill>
    </fill>
    <fill>
      <patternFill patternType="solid">
        <fgColor rgb="FFADFFFF"/>
      </patternFill>
    </fill>
    <fill>
      <patternFill patternType="solid">
        <fgColor rgb="FF92D050"/>
        <bgColor indexed="64"/>
      </patternFill>
    </fill>
    <fill>
      <patternFill patternType="solid">
        <fgColor rgb="FFF0F0F0"/>
        <bgColor indexed="64"/>
      </patternFill>
    </fill>
    <fill>
      <patternFill patternType="solid">
        <fgColor rgb="FFC8C8C8"/>
        <bgColor indexed="64"/>
      </patternFill>
    </fill>
    <fill>
      <patternFill patternType="solid">
        <fgColor rgb="FF002776"/>
        <bgColor indexed="64"/>
      </patternFill>
    </fill>
    <fill>
      <patternFill patternType="solid">
        <fgColor rgb="FFFEF4CE"/>
        <bgColor indexed="64"/>
      </patternFill>
    </fill>
    <fill>
      <patternFill patternType="solid">
        <fgColor rgb="FFFFC000"/>
        <bgColor indexed="64"/>
      </patternFill>
    </fill>
    <fill>
      <patternFill patternType="solid">
        <fgColor theme="0" tint="-0.499984740745262"/>
        <bgColor indexed="64"/>
      </patternFill>
    </fill>
    <fill>
      <patternFill patternType="solid">
        <fgColor theme="3" tint="0.79998168889431442"/>
        <bgColor indexed="64"/>
      </patternFill>
    </fill>
    <fill>
      <patternFill patternType="solid">
        <fgColor theme="4"/>
        <bgColor indexed="64"/>
      </patternFill>
    </fill>
    <fill>
      <patternFill patternType="solid">
        <fgColor theme="8" tint="0.39997558519241921"/>
        <bgColor indexed="64"/>
      </patternFill>
    </fill>
    <fill>
      <patternFill patternType="solid">
        <fgColor rgb="FFD3D3D3"/>
        <bgColor indexed="64"/>
      </patternFill>
    </fill>
  </fills>
  <borders count="41">
    <border>
      <left/>
      <right/>
      <top/>
      <bottom/>
      <diagonal/>
    </border>
    <border>
      <left/>
      <right/>
      <top/>
      <bottom style="thick">
        <color rgb="FF334BFF"/>
      </bottom>
      <diagonal/>
    </border>
    <border>
      <left style="thin">
        <color rgb="FF334BFF"/>
      </left>
      <right style="thin">
        <color rgb="FF334BFF"/>
      </right>
      <top style="thin">
        <color rgb="FF334BFF"/>
      </top>
      <bottom style="thin">
        <color rgb="FF334BFF"/>
      </bottom>
      <diagonal/>
    </border>
    <border>
      <left style="thin">
        <color rgb="FFD5D8DB"/>
      </left>
      <right style="thin">
        <color rgb="FFD5D8DB"/>
      </right>
      <top style="thin">
        <color rgb="FFD5D8DB"/>
      </top>
      <bottom style="thin">
        <color rgb="FFD5D8DB"/>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theme="0"/>
      </left>
      <right/>
      <top/>
      <bottom/>
      <diagonal/>
    </border>
    <border>
      <left style="thick">
        <color theme="0"/>
      </left>
      <right/>
      <top style="thick">
        <color theme="0"/>
      </top>
      <bottom style="thick">
        <color theme="0"/>
      </bottom>
      <diagonal/>
    </border>
    <border>
      <left style="thick">
        <color theme="0"/>
      </left>
      <right/>
      <top/>
      <bottom style="thin">
        <color indexed="64"/>
      </bottom>
      <diagonal/>
    </border>
    <border>
      <left/>
      <right style="thick">
        <color theme="0"/>
      </right>
      <top/>
      <bottom/>
      <diagonal/>
    </border>
    <border>
      <left style="thick">
        <color theme="0"/>
      </left>
      <right style="thick">
        <color theme="0"/>
      </right>
      <top style="thick">
        <color theme="0"/>
      </top>
      <bottom style="thick">
        <color theme="0"/>
      </bottom>
      <diagonal/>
    </border>
    <border>
      <left/>
      <right style="thick">
        <color theme="2"/>
      </right>
      <top/>
      <bottom/>
      <diagonal/>
    </border>
    <border>
      <left style="thick">
        <color theme="0"/>
      </left>
      <right style="thick">
        <color theme="0"/>
      </right>
      <top/>
      <bottom style="thick">
        <color theme="0"/>
      </bottom>
      <diagonal/>
    </border>
    <border>
      <left/>
      <right style="thick">
        <color theme="0"/>
      </right>
      <top/>
      <bottom style="thick">
        <color theme="0"/>
      </bottom>
      <diagonal/>
    </border>
    <border>
      <left style="thick">
        <color theme="0"/>
      </left>
      <right style="thick">
        <color theme="0"/>
      </right>
      <top style="thin">
        <color indexed="64"/>
      </top>
      <bottom style="thick">
        <color theme="0"/>
      </bottom>
      <diagonal/>
    </border>
    <border>
      <left style="thick">
        <color theme="0"/>
      </left>
      <right style="thick">
        <color theme="0"/>
      </right>
      <top style="thick">
        <color theme="0"/>
      </top>
      <bottom/>
      <diagonal/>
    </border>
    <border>
      <left style="thick">
        <color theme="0"/>
      </left>
      <right/>
      <top style="thin">
        <color indexed="64"/>
      </top>
      <bottom/>
      <diagonal/>
    </border>
    <border>
      <left/>
      <right style="thin">
        <color theme="1"/>
      </right>
      <top/>
      <bottom style="thin">
        <color theme="1"/>
      </bottom>
      <diagonal/>
    </border>
    <border>
      <left/>
      <right/>
      <top/>
      <bottom style="thin">
        <color theme="1"/>
      </bottom>
      <diagonal/>
    </border>
    <border>
      <left style="thick">
        <color theme="0"/>
      </left>
      <right/>
      <top/>
      <bottom style="thin">
        <color theme="1"/>
      </bottom>
      <diagonal/>
    </border>
    <border>
      <left style="thick">
        <color theme="0"/>
      </left>
      <right style="thick">
        <color theme="0"/>
      </right>
      <top/>
      <bottom/>
      <diagonal/>
    </border>
    <border>
      <left/>
      <right style="thin">
        <color theme="1"/>
      </right>
      <top/>
      <bottom/>
      <diagonal/>
    </border>
    <border>
      <left/>
      <right style="thin">
        <color theme="1"/>
      </right>
      <top style="thick">
        <color theme="0"/>
      </top>
      <bottom/>
      <diagonal/>
    </border>
    <border>
      <left/>
      <right/>
      <top style="thick">
        <color theme="0"/>
      </top>
      <bottom/>
      <diagonal/>
    </border>
    <border>
      <left style="thick">
        <color theme="0"/>
      </left>
      <right/>
      <top style="thick">
        <color theme="0"/>
      </top>
      <bottom/>
      <diagonal/>
    </border>
    <border>
      <left/>
      <right style="thick">
        <color theme="0"/>
      </right>
      <top style="thick">
        <color theme="0"/>
      </top>
      <bottom style="thick">
        <color theme="0"/>
      </bottom>
      <diagonal/>
    </border>
    <border>
      <left/>
      <right/>
      <top style="thick">
        <color theme="0"/>
      </top>
      <bottom style="thick">
        <color theme="0"/>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s>
  <cellStyleXfs count="9">
    <xf numFmtId="0" fontId="0" fillId="0" borderId="0" applyNumberFormat="0" applyBorder="0" applyAlignment="0"/>
    <xf numFmtId="9" fontId="8" fillId="0" borderId="0" applyFont="0" applyFill="0" applyBorder="0" applyAlignment="0" applyProtection="0"/>
    <xf numFmtId="0" fontId="9" fillId="0" borderId="0"/>
    <xf numFmtId="0" fontId="1" fillId="0" borderId="0"/>
    <xf numFmtId="9" fontId="1" fillId="0" borderId="0" applyFont="0" applyFill="0" applyBorder="0" applyAlignment="0" applyProtection="0"/>
    <xf numFmtId="0" fontId="30" fillId="0" borderId="0" applyNumberFormat="0" applyFill="0" applyBorder="0" applyAlignment="0" applyProtection="0"/>
    <xf numFmtId="0" fontId="33" fillId="0" borderId="0"/>
    <xf numFmtId="0" fontId="34" fillId="0" borderId="0"/>
    <xf numFmtId="0" fontId="37" fillId="0" borderId="0"/>
  </cellStyleXfs>
  <cellXfs count="417">
    <xf numFmtId="0" fontId="0" fillId="0" borderId="0" xfId="0"/>
    <xf numFmtId="0" fontId="2" fillId="2" borderId="1" xfId="0" applyFont="1" applyFill="1" applyBorder="1"/>
    <xf numFmtId="0" fontId="3" fillId="2" borderId="1" xfId="0" applyFont="1" applyFill="1" applyBorder="1"/>
    <xf numFmtId="0" fontId="4" fillId="0" borderId="0" xfId="0" applyFont="1"/>
    <xf numFmtId="0" fontId="5" fillId="0" borderId="0" xfId="0" applyFont="1"/>
    <xf numFmtId="164" fontId="4" fillId="0" borderId="0" xfId="0" applyNumberFormat="1" applyFont="1" applyAlignment="1">
      <alignment horizontal="left"/>
    </xf>
    <xf numFmtId="0" fontId="3" fillId="2" borderId="2" xfId="0" applyFont="1" applyFill="1" applyBorder="1"/>
    <xf numFmtId="0" fontId="4" fillId="0" borderId="3" xfId="0" applyFont="1" applyBorder="1" applyAlignment="1">
      <alignment horizontal="left" vertical="center"/>
    </xf>
    <xf numFmtId="0" fontId="3" fillId="2" borderId="2" xfId="0" applyFont="1" applyFill="1" applyBorder="1" applyAlignment="1">
      <alignment wrapText="1"/>
    </xf>
    <xf numFmtId="0" fontId="3" fillId="2"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0" fontId="0" fillId="3" borderId="3" xfId="0" applyFill="1" applyBorder="1" applyAlignment="1">
      <alignment wrapText="1"/>
    </xf>
    <xf numFmtId="0" fontId="4" fillId="0" borderId="3" xfId="0" applyFont="1" applyBorder="1" applyAlignment="1">
      <alignment vertical="center" wrapText="1"/>
    </xf>
    <xf numFmtId="0" fontId="4" fillId="0" borderId="3" xfId="0" applyFont="1" applyBorder="1" applyAlignment="1">
      <alignment horizontal="left" vertical="center" wrapText="1" indent="2"/>
    </xf>
    <xf numFmtId="0" fontId="6" fillId="0" borderId="3" xfId="0" applyFont="1" applyBorder="1" applyAlignment="1">
      <alignment vertical="center" wrapText="1"/>
    </xf>
    <xf numFmtId="0" fontId="4" fillId="0" borderId="3" xfId="0" applyFont="1" applyBorder="1" applyAlignment="1">
      <alignment horizontal="left" vertical="center" wrapText="1" indent="4"/>
    </xf>
    <xf numFmtId="4" fontId="7" fillId="0" borderId="3" xfId="0" applyNumberFormat="1" applyFont="1" applyBorder="1" applyAlignment="1">
      <alignment horizontal="right" vertical="center" wrapText="1"/>
    </xf>
    <xf numFmtId="0" fontId="4" fillId="0" borderId="3" xfId="0" applyFont="1" applyBorder="1" applyAlignment="1">
      <alignment horizontal="left" vertical="center" wrapText="1" indent="6"/>
    </xf>
    <xf numFmtId="3" fontId="7" fillId="0" borderId="3" xfId="0" applyNumberFormat="1" applyFont="1" applyBorder="1" applyAlignment="1">
      <alignment horizontal="right" vertical="center" wrapText="1"/>
    </xf>
    <xf numFmtId="0" fontId="4" fillId="0" borderId="3" xfId="0" applyFont="1" applyBorder="1" applyAlignment="1">
      <alignment horizontal="left" vertical="center" wrapText="1" indent="8"/>
    </xf>
    <xf numFmtId="165" fontId="7" fillId="0" borderId="3" xfId="0" applyNumberFormat="1" applyFont="1" applyBorder="1" applyAlignment="1">
      <alignment horizontal="right" vertical="center" wrapText="1"/>
    </xf>
    <xf numFmtId="0" fontId="9" fillId="4" borderId="0" xfId="2" applyFill="1"/>
    <xf numFmtId="0" fontId="9" fillId="5" borderId="0" xfId="2" applyFill="1"/>
    <xf numFmtId="0" fontId="9" fillId="0" borderId="0" xfId="2"/>
    <xf numFmtId="0" fontId="10" fillId="0" borderId="0" xfId="2" applyFont="1"/>
    <xf numFmtId="0" fontId="11" fillId="0" borderId="0" xfId="2" quotePrefix="1" applyFont="1"/>
    <xf numFmtId="0" fontId="12" fillId="0" borderId="0" xfId="2" quotePrefix="1" applyFont="1"/>
    <xf numFmtId="0" fontId="13" fillId="0" borderId="0" xfId="2" applyFont="1"/>
    <xf numFmtId="0" fontId="14" fillId="0" borderId="0" xfId="2" applyFont="1"/>
    <xf numFmtId="0" fontId="15" fillId="0" borderId="0" xfId="2" applyFont="1"/>
    <xf numFmtId="0" fontId="16" fillId="0" borderId="0" xfId="2" quotePrefix="1" applyFont="1"/>
    <xf numFmtId="0" fontId="17" fillId="0" borderId="0" xfId="2" applyFont="1"/>
    <xf numFmtId="0" fontId="18" fillId="0" borderId="0" xfId="2" applyFont="1"/>
    <xf numFmtId="0" fontId="19" fillId="0" borderId="0" xfId="2" quotePrefix="1" applyFont="1"/>
    <xf numFmtId="0" fontId="21" fillId="0" borderId="0" xfId="3" applyFont="1"/>
    <xf numFmtId="0" fontId="23" fillId="7" borderId="0" xfId="3" applyFont="1" applyFill="1" applyAlignment="1">
      <alignment horizontal="left" vertical="center"/>
    </xf>
    <xf numFmtId="0" fontId="23" fillId="4" borderId="0" xfId="3" applyFont="1" applyFill="1" applyAlignment="1">
      <alignment horizontal="left" vertical="center"/>
    </xf>
    <xf numFmtId="166" fontId="21" fillId="0" borderId="0" xfId="3" applyNumberFormat="1" applyFont="1"/>
    <xf numFmtId="4" fontId="21" fillId="0" borderId="0" xfId="3" applyNumberFormat="1" applyFont="1"/>
    <xf numFmtId="0" fontId="27" fillId="0" borderId="0" xfId="3" applyFont="1"/>
    <xf numFmtId="0" fontId="22" fillId="0" borderId="0" xfId="3" applyFont="1"/>
    <xf numFmtId="168" fontId="21" fillId="0" borderId="0" xfId="3" applyNumberFormat="1" applyFont="1"/>
    <xf numFmtId="169" fontId="23" fillId="0" borderId="0" xfId="3" applyNumberFormat="1" applyFont="1" applyAlignment="1">
      <alignment horizontal="center" vertical="center"/>
    </xf>
    <xf numFmtId="168" fontId="22" fillId="0" borderId="0" xfId="3" applyNumberFormat="1" applyFont="1"/>
    <xf numFmtId="0" fontId="21" fillId="6" borderId="0" xfId="3" applyFont="1" applyFill="1"/>
    <xf numFmtId="168" fontId="22" fillId="0" borderId="5" xfId="3" applyNumberFormat="1" applyFont="1" applyBorder="1"/>
    <xf numFmtId="168" fontId="21" fillId="6" borderId="0" xfId="3" applyNumberFormat="1" applyFont="1" applyFill="1"/>
    <xf numFmtId="168" fontId="25" fillId="0" borderId="0" xfId="3" applyNumberFormat="1" applyFont="1" applyAlignment="1">
      <alignment horizontal="left" vertical="center" wrapText="1"/>
    </xf>
    <xf numFmtId="168" fontId="22" fillId="9" borderId="0" xfId="3" applyNumberFormat="1" applyFont="1" applyFill="1"/>
    <xf numFmtId="168" fontId="27" fillId="0" borderId="0" xfId="3" applyNumberFormat="1" applyFont="1" applyAlignment="1">
      <alignment horizontal="left" vertical="center"/>
    </xf>
    <xf numFmtId="4" fontId="22" fillId="0" borderId="0" xfId="3" applyNumberFormat="1" applyFont="1"/>
    <xf numFmtId="0" fontId="22" fillId="0" borderId="5" xfId="3" applyFont="1" applyBorder="1"/>
    <xf numFmtId="0" fontId="24" fillId="0" borderId="0" xfId="3" applyFont="1" applyAlignment="1">
      <alignment horizontal="left" vertical="center" wrapText="1"/>
    </xf>
    <xf numFmtId="0" fontId="25" fillId="0" borderId="0" xfId="3" applyFont="1" applyAlignment="1">
      <alignment horizontal="left" vertical="center" indent="1"/>
    </xf>
    <xf numFmtId="172" fontId="29" fillId="0" borderId="0" xfId="4" applyNumberFormat="1" applyFont="1"/>
    <xf numFmtId="0" fontId="29" fillId="0" borderId="0" xfId="3" applyFont="1"/>
    <xf numFmtId="0" fontId="22" fillId="9" borderId="0" xfId="3" applyFont="1" applyFill="1"/>
    <xf numFmtId="167" fontId="27" fillId="0" borderId="0" xfId="3" applyNumberFormat="1" applyFont="1" applyAlignment="1">
      <alignment horizontal="left" vertical="center"/>
    </xf>
    <xf numFmtId="4" fontId="28" fillId="0" borderId="0" xfId="3" applyNumberFormat="1" applyFont="1"/>
    <xf numFmtId="1" fontId="23" fillId="10" borderId="0" xfId="3" applyNumberFormat="1" applyFont="1" applyFill="1" applyAlignment="1">
      <alignment horizontal="center" vertical="center"/>
    </xf>
    <xf numFmtId="4" fontId="6" fillId="3" borderId="3" xfId="0" applyNumberFormat="1" applyFont="1" applyFill="1" applyBorder="1" applyAlignment="1">
      <alignment horizontal="left" vertical="center" wrapText="1"/>
    </xf>
    <xf numFmtId="0" fontId="4" fillId="11" borderId="3" xfId="0" applyFont="1" applyFill="1" applyBorder="1" applyAlignment="1">
      <alignment horizontal="left" vertical="center" wrapText="1" indent="2"/>
    </xf>
    <xf numFmtId="0" fontId="4" fillId="11" borderId="3" xfId="0" applyFont="1" applyFill="1" applyBorder="1" applyAlignment="1">
      <alignment horizontal="left" vertical="center" wrapText="1" indent="4"/>
    </xf>
    <xf numFmtId="0" fontId="4" fillId="11" borderId="3" xfId="0" applyFont="1" applyFill="1" applyBorder="1" applyAlignment="1">
      <alignment horizontal="left" vertical="center" wrapText="1" indent="6"/>
    </xf>
    <xf numFmtId="0" fontId="4" fillId="11" borderId="3" xfId="0" applyFont="1" applyFill="1" applyBorder="1" applyAlignment="1">
      <alignment vertical="center" wrapText="1"/>
    </xf>
    <xf numFmtId="0" fontId="4" fillId="11" borderId="3" xfId="0" applyFont="1" applyFill="1" applyBorder="1" applyAlignment="1">
      <alignment horizontal="left" vertical="center" wrapText="1" indent="8"/>
    </xf>
    <xf numFmtId="0" fontId="6" fillId="11" borderId="3" xfId="0" applyFont="1" applyFill="1" applyBorder="1" applyAlignment="1">
      <alignment vertical="center" wrapText="1"/>
    </xf>
    <xf numFmtId="0" fontId="4" fillId="12" borderId="3" xfId="0" applyFont="1" applyFill="1" applyBorder="1" applyAlignment="1">
      <alignment vertical="center" wrapText="1"/>
    </xf>
    <xf numFmtId="0" fontId="4" fillId="12" borderId="3" xfId="0" applyFont="1" applyFill="1" applyBorder="1" applyAlignment="1">
      <alignment horizontal="left" vertical="center" wrapText="1" indent="2"/>
    </xf>
    <xf numFmtId="0" fontId="4" fillId="13" borderId="3" xfId="0" applyFont="1" applyFill="1" applyBorder="1" applyAlignment="1">
      <alignment vertical="center" wrapText="1"/>
    </xf>
    <xf numFmtId="0" fontId="34" fillId="0" borderId="0" xfId="7"/>
    <xf numFmtId="175" fontId="35" fillId="15" borderId="17" xfId="7" applyNumberFormat="1" applyFont="1" applyFill="1" applyBorder="1" applyAlignment="1">
      <alignment horizontal="right"/>
    </xf>
    <xf numFmtId="175" fontId="35" fillId="16" borderId="17" xfId="7" applyNumberFormat="1" applyFont="1" applyFill="1" applyBorder="1" applyAlignment="1">
      <alignment horizontal="right"/>
    </xf>
    <xf numFmtId="175" fontId="36" fillId="17" borderId="17" xfId="7" applyNumberFormat="1" applyFont="1" applyFill="1" applyBorder="1" applyAlignment="1">
      <alignment wrapText="1"/>
    </xf>
    <xf numFmtId="175" fontId="35" fillId="15" borderId="17" xfId="7" applyNumberFormat="1" applyFont="1" applyFill="1" applyBorder="1" applyAlignment="1">
      <alignment horizontal="left"/>
    </xf>
    <xf numFmtId="177" fontId="35" fillId="15" borderId="17" xfId="7" applyNumberFormat="1" applyFont="1" applyFill="1" applyBorder="1" applyAlignment="1">
      <alignment horizontal="right"/>
    </xf>
    <xf numFmtId="177" fontId="35" fillId="16" borderId="17" xfId="7" applyNumberFormat="1" applyFont="1" applyFill="1" applyBorder="1" applyAlignment="1">
      <alignment horizontal="right"/>
    </xf>
    <xf numFmtId="175" fontId="35" fillId="18" borderId="17" xfId="7" applyNumberFormat="1" applyFont="1" applyFill="1" applyBorder="1" applyAlignment="1">
      <alignment wrapText="1"/>
    </xf>
    <xf numFmtId="175" fontId="35" fillId="16" borderId="17" xfId="7" applyNumberFormat="1" applyFont="1" applyFill="1" applyBorder="1" applyAlignment="1">
      <alignment wrapText="1"/>
    </xf>
    <xf numFmtId="175" fontId="35" fillId="19" borderId="17" xfId="7" applyNumberFormat="1" applyFont="1" applyFill="1" applyBorder="1" applyAlignment="1">
      <alignment wrapText="1"/>
    </xf>
    <xf numFmtId="175" fontId="35" fillId="18" borderId="14" xfId="7" applyNumberFormat="1" applyFont="1" applyFill="1" applyBorder="1" applyAlignment="1">
      <alignment wrapText="1"/>
    </xf>
    <xf numFmtId="175" fontId="35" fillId="18" borderId="16" xfId="7" applyNumberFormat="1" applyFont="1" applyFill="1" applyBorder="1" applyAlignment="1">
      <alignment wrapText="1"/>
    </xf>
    <xf numFmtId="175" fontId="35" fillId="18" borderId="7" xfId="7" applyNumberFormat="1" applyFont="1" applyFill="1" applyBorder="1" applyAlignment="1">
      <alignment wrapText="1"/>
    </xf>
    <xf numFmtId="175" fontId="35" fillId="18" borderId="6" xfId="7" applyNumberFormat="1" applyFont="1" applyFill="1" applyBorder="1" applyAlignment="1">
      <alignment wrapText="1"/>
    </xf>
    <xf numFmtId="175" fontId="35" fillId="18" borderId="10" xfId="7" applyNumberFormat="1" applyFont="1" applyFill="1" applyBorder="1" applyAlignment="1">
      <alignment wrapText="1"/>
    </xf>
    <xf numFmtId="175" fontId="35" fillId="18" borderId="14" xfId="0" applyNumberFormat="1" applyFont="1" applyFill="1" applyBorder="1" applyAlignment="1">
      <alignment wrapText="1"/>
    </xf>
    <xf numFmtId="175" fontId="35" fillId="19" borderId="17" xfId="0" applyNumberFormat="1" applyFont="1" applyFill="1" applyBorder="1" applyAlignment="1">
      <alignment wrapText="1"/>
    </xf>
    <xf numFmtId="175" fontId="36" fillId="17" borderId="17" xfId="0" applyNumberFormat="1" applyFont="1" applyFill="1" applyBorder="1" applyAlignment="1">
      <alignment wrapText="1"/>
    </xf>
    <xf numFmtId="175" fontId="35" fillId="16" borderId="17" xfId="0" applyNumberFormat="1" applyFont="1" applyFill="1" applyBorder="1" applyAlignment="1">
      <alignment wrapText="1"/>
    </xf>
    <xf numFmtId="175" fontId="35" fillId="18" borderId="17" xfId="0" applyNumberFormat="1" applyFont="1" applyFill="1" applyBorder="1" applyAlignment="1">
      <alignment wrapText="1"/>
    </xf>
    <xf numFmtId="175" fontId="35" fillId="15" borderId="17" xfId="0" applyNumberFormat="1" applyFont="1" applyFill="1" applyBorder="1" applyAlignment="1">
      <alignment horizontal="left"/>
    </xf>
    <xf numFmtId="175" fontId="35" fillId="15" borderId="17" xfId="0" applyNumberFormat="1" applyFont="1" applyFill="1" applyBorder="1" applyAlignment="1">
      <alignment horizontal="right"/>
    </xf>
    <xf numFmtId="175" fontId="35" fillId="16" borderId="17" xfId="0" applyNumberFormat="1" applyFont="1" applyFill="1" applyBorder="1" applyAlignment="1">
      <alignment horizontal="right"/>
    </xf>
    <xf numFmtId="0" fontId="21" fillId="20" borderId="0" xfId="3" applyFont="1" applyFill="1"/>
    <xf numFmtId="0" fontId="37" fillId="0" borderId="0" xfId="8"/>
    <xf numFmtId="0" fontId="38" fillId="0" borderId="0" xfId="8" applyFont="1" applyAlignment="1">
      <alignment horizontal="left"/>
    </xf>
    <xf numFmtId="4" fontId="37" fillId="21" borderId="0" xfId="8" applyNumberFormat="1" applyFill="1" applyAlignment="1">
      <alignment horizontal="right"/>
    </xf>
    <xf numFmtId="0" fontId="37" fillId="21" borderId="0" xfId="8" applyFill="1" applyAlignment="1">
      <alignment horizontal="left" indent="1"/>
    </xf>
    <xf numFmtId="4" fontId="37" fillId="0" borderId="0" xfId="8" applyNumberFormat="1" applyAlignment="1">
      <alignment horizontal="right"/>
    </xf>
    <xf numFmtId="0" fontId="37" fillId="0" borderId="0" xfId="8" applyAlignment="1">
      <alignment horizontal="left" indent="1"/>
    </xf>
    <xf numFmtId="0" fontId="40" fillId="21" borderId="0" xfId="8" applyFont="1" applyFill="1" applyAlignment="1">
      <alignment horizontal="left"/>
    </xf>
    <xf numFmtId="165" fontId="37" fillId="0" borderId="0" xfId="8" applyNumberFormat="1" applyAlignment="1">
      <alignment horizontal="right"/>
    </xf>
    <xf numFmtId="165" fontId="37" fillId="21" borderId="0" xfId="8" applyNumberFormat="1" applyFill="1" applyAlignment="1">
      <alignment horizontal="right"/>
    </xf>
    <xf numFmtId="0" fontId="37" fillId="21" borderId="0" xfId="8" applyFill="1" applyAlignment="1">
      <alignment horizontal="left" indent="4"/>
    </xf>
    <xf numFmtId="165" fontId="39" fillId="0" borderId="0" xfId="8" applyNumberFormat="1" applyFont="1" applyAlignment="1">
      <alignment horizontal="right"/>
    </xf>
    <xf numFmtId="0" fontId="37" fillId="0" borderId="0" xfId="8" applyAlignment="1">
      <alignment horizontal="left" indent="4"/>
    </xf>
    <xf numFmtId="0" fontId="37" fillId="0" borderId="0" xfId="8" applyAlignment="1">
      <alignment horizontal="left" indent="7"/>
    </xf>
    <xf numFmtId="165" fontId="39" fillId="21" borderId="0" xfId="8" applyNumberFormat="1" applyFont="1" applyFill="1" applyAlignment="1">
      <alignment horizontal="right"/>
    </xf>
    <xf numFmtId="0" fontId="37" fillId="21" borderId="0" xfId="8" applyFill="1" applyAlignment="1">
      <alignment horizontal="left"/>
    </xf>
    <xf numFmtId="0" fontId="37" fillId="21" borderId="0" xfId="8" applyFill="1" applyAlignment="1">
      <alignment horizontal="left" indent="7"/>
    </xf>
    <xf numFmtId="165" fontId="40" fillId="0" borderId="0" xfId="8" applyNumberFormat="1" applyFont="1" applyAlignment="1">
      <alignment horizontal="right"/>
    </xf>
    <xf numFmtId="0" fontId="40" fillId="21" borderId="0" xfId="8" applyFont="1" applyFill="1" applyAlignment="1">
      <alignment horizontal="left" indent="3"/>
    </xf>
    <xf numFmtId="165" fontId="40" fillId="21" borderId="0" xfId="8" applyNumberFormat="1" applyFont="1" applyFill="1" applyAlignment="1">
      <alignment horizontal="right"/>
    </xf>
    <xf numFmtId="0" fontId="40" fillId="0" borderId="0" xfId="8" applyFont="1" applyAlignment="1">
      <alignment horizontal="left"/>
    </xf>
    <xf numFmtId="0" fontId="40" fillId="0" borderId="0" xfId="8" applyFont="1" applyAlignment="1">
      <alignment horizontal="left" indent="3"/>
    </xf>
    <xf numFmtId="4" fontId="40" fillId="0" borderId="0" xfId="8" applyNumberFormat="1" applyFont="1" applyAlignment="1">
      <alignment horizontal="right"/>
    </xf>
    <xf numFmtId="0" fontId="37" fillId="0" borderId="0" xfId="8" applyAlignment="1">
      <alignment horizontal="left"/>
    </xf>
    <xf numFmtId="0" fontId="41" fillId="22" borderId="0" xfId="8" applyFont="1" applyFill="1" applyAlignment="1">
      <alignment horizontal="left"/>
    </xf>
    <xf numFmtId="4" fontId="40" fillId="21" borderId="0" xfId="8" applyNumberFormat="1" applyFont="1" applyFill="1" applyAlignment="1">
      <alignment horizontal="right"/>
    </xf>
    <xf numFmtId="0" fontId="41" fillId="0" borderId="0" xfId="8" applyFont="1"/>
    <xf numFmtId="0" fontId="40" fillId="20" borderId="0" xfId="8" applyFont="1" applyFill="1" applyAlignment="1">
      <alignment horizontal="left" indent="6"/>
    </xf>
    <xf numFmtId="0" fontId="37" fillId="20" borderId="0" xfId="8" applyFill="1" applyAlignment="1">
      <alignment horizontal="left" indent="7"/>
    </xf>
    <xf numFmtId="0" fontId="37" fillId="20" borderId="0" xfId="8" applyFill="1" applyAlignment="1">
      <alignment horizontal="left" indent="4"/>
    </xf>
    <xf numFmtId="0" fontId="40" fillId="20" borderId="0" xfId="8" applyFont="1" applyFill="1" applyAlignment="1">
      <alignment horizontal="left" indent="3"/>
    </xf>
    <xf numFmtId="0" fontId="37" fillId="20" borderId="0" xfId="8" applyFill="1" applyAlignment="1">
      <alignment horizontal="left" indent="1"/>
    </xf>
    <xf numFmtId="0" fontId="40" fillId="20" borderId="0" xfId="8" applyFont="1" applyFill="1" applyAlignment="1">
      <alignment horizontal="left"/>
    </xf>
    <xf numFmtId="165" fontId="37" fillId="20" borderId="0" xfId="8" applyNumberFormat="1" applyFill="1" applyAlignment="1">
      <alignment horizontal="right"/>
    </xf>
    <xf numFmtId="165" fontId="37" fillId="0" borderId="0" xfId="8" applyNumberFormat="1"/>
    <xf numFmtId="0" fontId="40" fillId="0" borderId="0" xfId="8" applyFont="1" applyAlignment="1">
      <alignment horizontal="left" indent="6"/>
    </xf>
    <xf numFmtId="4" fontId="40" fillId="0" borderId="0" xfId="8" applyNumberFormat="1" applyFont="1" applyAlignment="1">
      <alignment horizontal="left"/>
    </xf>
    <xf numFmtId="165" fontId="40" fillId="20" borderId="0" xfId="8" applyNumberFormat="1" applyFont="1" applyFill="1" applyAlignment="1">
      <alignment horizontal="right"/>
    </xf>
    <xf numFmtId="0" fontId="37" fillId="13" borderId="0" xfId="8" applyFill="1" applyAlignment="1">
      <alignment horizontal="left" indent="4"/>
    </xf>
    <xf numFmtId="0" fontId="37" fillId="13" borderId="0" xfId="8" applyFill="1" applyAlignment="1">
      <alignment horizontal="left" indent="7"/>
    </xf>
    <xf numFmtId="173" fontId="0" fillId="0" borderId="0" xfId="0" applyNumberFormat="1" applyAlignment="1">
      <alignment vertical="center"/>
    </xf>
    <xf numFmtId="173" fontId="0" fillId="0" borderId="18" xfId="0" applyNumberFormat="1" applyBorder="1" applyAlignment="1">
      <alignment vertical="center"/>
    </xf>
    <xf numFmtId="167" fontId="22" fillId="0" borderId="0" xfId="3" applyNumberFormat="1" applyFont="1"/>
    <xf numFmtId="168" fontId="27" fillId="0" borderId="0" xfId="3" applyNumberFormat="1" applyFont="1"/>
    <xf numFmtId="168" fontId="27" fillId="0" borderId="0" xfId="4" applyNumberFormat="1" applyFont="1" applyAlignment="1">
      <alignment horizontal="right"/>
    </xf>
    <xf numFmtId="167" fontId="21" fillId="0" borderId="0" xfId="3" applyNumberFormat="1" applyFont="1"/>
    <xf numFmtId="167" fontId="21" fillId="0" borderId="4" xfId="3" applyNumberFormat="1" applyFont="1" applyBorder="1"/>
    <xf numFmtId="167" fontId="22" fillId="0" borderId="5" xfId="3" applyNumberFormat="1" applyFont="1" applyBorder="1"/>
    <xf numFmtId="170" fontId="27" fillId="0" borderId="0" xfId="4" applyNumberFormat="1" applyFont="1"/>
    <xf numFmtId="167" fontId="22" fillId="9" borderId="0" xfId="3" applyNumberFormat="1" applyFont="1" applyFill="1"/>
    <xf numFmtId="171" fontId="27" fillId="0" borderId="0" xfId="4" applyNumberFormat="1" applyFont="1"/>
    <xf numFmtId="0" fontId="45" fillId="23" borderId="0" xfId="0" applyFont="1" applyFill="1" applyAlignment="1">
      <alignment horizontal="left" vertical="center" indent="1"/>
    </xf>
    <xf numFmtId="0" fontId="45" fillId="23" borderId="0" xfId="0" applyFont="1" applyFill="1" applyAlignment="1">
      <alignment horizontal="left" vertical="center"/>
    </xf>
    <xf numFmtId="0" fontId="26" fillId="0" borderId="0" xfId="0" applyFont="1" applyAlignment="1">
      <alignment horizontal="left" vertical="center" indent="1"/>
    </xf>
    <xf numFmtId="0" fontId="26" fillId="0" borderId="0" xfId="0" applyFont="1" applyAlignment="1">
      <alignment vertical="center"/>
    </xf>
    <xf numFmtId="173" fontId="46" fillId="0" borderId="0" xfId="0" applyNumberFormat="1" applyFont="1" applyAlignment="1">
      <alignment vertical="center"/>
    </xf>
    <xf numFmtId="174" fontId="47" fillId="0" borderId="0" xfId="0" applyNumberFormat="1" applyFont="1" applyAlignment="1">
      <alignment vertical="center"/>
    </xf>
    <xf numFmtId="173" fontId="26" fillId="0" borderId="0" xfId="0" applyNumberFormat="1" applyFont="1" applyAlignment="1">
      <alignment vertical="center"/>
    </xf>
    <xf numFmtId="173" fontId="46" fillId="0" borderId="10" xfId="0" applyNumberFormat="1" applyFont="1" applyBorder="1" applyAlignment="1">
      <alignment vertical="center"/>
    </xf>
    <xf numFmtId="173" fontId="46" fillId="12" borderId="0" xfId="0" applyNumberFormat="1" applyFont="1" applyFill="1" applyAlignment="1">
      <alignment vertical="center"/>
    </xf>
    <xf numFmtId="10" fontId="26" fillId="0" borderId="18" xfId="1" applyNumberFormat="1" applyFont="1" applyBorder="1" applyAlignment="1">
      <alignment vertical="center"/>
    </xf>
    <xf numFmtId="167" fontId="23" fillId="4" borderId="0" xfId="3" applyNumberFormat="1" applyFont="1" applyFill="1" applyAlignment="1">
      <alignment horizontal="left" vertical="center"/>
    </xf>
    <xf numFmtId="166" fontId="22" fillId="9" borderId="0" xfId="3" applyNumberFormat="1" applyFont="1" applyFill="1"/>
    <xf numFmtId="167" fontId="21" fillId="0" borderId="0" xfId="4" applyNumberFormat="1" applyFont="1"/>
    <xf numFmtId="167" fontId="22" fillId="6" borderId="0" xfId="3" applyNumberFormat="1" applyFont="1" applyFill="1"/>
    <xf numFmtId="167" fontId="22" fillId="6" borderId="5" xfId="3" applyNumberFormat="1" applyFont="1" applyFill="1" applyBorder="1"/>
    <xf numFmtId="170" fontId="48" fillId="0" borderId="0" xfId="4" applyNumberFormat="1" applyFont="1"/>
    <xf numFmtId="179" fontId="27" fillId="0" borderId="0" xfId="3" applyNumberFormat="1" applyFont="1" applyAlignment="1">
      <alignment horizontal="right" vertical="center"/>
    </xf>
    <xf numFmtId="167" fontId="27" fillId="0" borderId="0" xfId="3" applyNumberFormat="1" applyFont="1" applyAlignment="1">
      <alignment horizontal="right" vertical="center"/>
    </xf>
    <xf numFmtId="167" fontId="27" fillId="0" borderId="0" xfId="3" applyNumberFormat="1" applyFont="1"/>
    <xf numFmtId="1" fontId="23" fillId="10" borderId="12" xfId="3" applyNumberFormat="1" applyFont="1" applyFill="1" applyBorder="1" applyAlignment="1">
      <alignment horizontal="center" vertical="center"/>
    </xf>
    <xf numFmtId="0" fontId="23" fillId="4" borderId="0" xfId="3" applyFont="1" applyFill="1" applyAlignment="1">
      <alignment horizontal="right" vertical="center"/>
    </xf>
    <xf numFmtId="0" fontId="22" fillId="20" borderId="5" xfId="3" applyFont="1" applyFill="1" applyBorder="1"/>
    <xf numFmtId="0" fontId="25" fillId="20" borderId="0" xfId="3" applyFont="1" applyFill="1" applyAlignment="1">
      <alignment horizontal="left" vertical="center" wrapText="1"/>
    </xf>
    <xf numFmtId="167" fontId="22" fillId="20" borderId="0" xfId="3" applyNumberFormat="1" applyFont="1" applyFill="1"/>
    <xf numFmtId="168" fontId="27" fillId="20" borderId="0" xfId="4" applyNumberFormat="1" applyFont="1" applyFill="1" applyAlignment="1">
      <alignment horizontal="right"/>
    </xf>
    <xf numFmtId="167" fontId="21" fillId="20" borderId="0" xfId="3" applyNumberFormat="1" applyFont="1" applyFill="1"/>
    <xf numFmtId="167" fontId="21" fillId="20" borderId="4" xfId="3" applyNumberFormat="1" applyFont="1" applyFill="1" applyBorder="1"/>
    <xf numFmtId="167" fontId="22" fillId="20" borderId="5" xfId="3" applyNumberFormat="1" applyFont="1" applyFill="1" applyBorder="1"/>
    <xf numFmtId="170" fontId="27" fillId="20" borderId="0" xfId="4" applyNumberFormat="1" applyFont="1" applyFill="1"/>
    <xf numFmtId="168" fontId="48" fillId="0" borderId="0" xfId="3" applyNumberFormat="1" applyFont="1"/>
    <xf numFmtId="168" fontId="32" fillId="0" borderId="0" xfId="3" applyNumberFormat="1" applyFont="1"/>
    <xf numFmtId="174" fontId="47" fillId="0" borderId="0" xfId="0" applyNumberFormat="1" applyFont="1" applyAlignment="1">
      <alignment horizontal="right" vertical="center"/>
    </xf>
    <xf numFmtId="165" fontId="40" fillId="0" borderId="0" xfId="8" applyNumberFormat="1" applyFont="1" applyAlignment="1">
      <alignment horizontal="left"/>
    </xf>
    <xf numFmtId="165" fontId="21" fillId="0" borderId="0" xfId="3" applyNumberFormat="1" applyFont="1"/>
    <xf numFmtId="0" fontId="21" fillId="25" borderId="0" xfId="3" applyFont="1" applyFill="1"/>
    <xf numFmtId="167" fontId="21" fillId="25" borderId="0" xfId="3" applyNumberFormat="1" applyFont="1" applyFill="1"/>
    <xf numFmtId="0" fontId="22" fillId="25" borderId="5" xfId="3" applyFont="1" applyFill="1" applyBorder="1"/>
    <xf numFmtId="167" fontId="22" fillId="25" borderId="5" xfId="3" applyNumberFormat="1" applyFont="1" applyFill="1" applyBorder="1"/>
    <xf numFmtId="0" fontId="22" fillId="25" borderId="0" xfId="3" applyFont="1" applyFill="1"/>
    <xf numFmtId="167" fontId="22" fillId="25" borderId="0" xfId="3" applyNumberFormat="1" applyFont="1" applyFill="1"/>
    <xf numFmtId="167" fontId="24" fillId="25" borderId="0" xfId="3" applyNumberFormat="1" applyFont="1" applyFill="1" applyAlignment="1">
      <alignment horizontal="right" vertical="center" wrapText="1"/>
    </xf>
    <xf numFmtId="167" fontId="49" fillId="25" borderId="0" xfId="3" applyNumberFormat="1" applyFont="1" applyFill="1" applyAlignment="1">
      <alignment horizontal="right" vertical="center" wrapText="1"/>
    </xf>
    <xf numFmtId="167" fontId="27" fillId="25" borderId="0" xfId="3" applyNumberFormat="1" applyFont="1" applyFill="1" applyAlignment="1">
      <alignment horizontal="left" vertical="center"/>
    </xf>
    <xf numFmtId="167" fontId="27" fillId="25" borderId="0" xfId="3" applyNumberFormat="1" applyFont="1" applyFill="1" applyAlignment="1">
      <alignment horizontal="right" vertical="center"/>
    </xf>
    <xf numFmtId="179" fontId="27" fillId="25" borderId="0" xfId="3" applyNumberFormat="1" applyFont="1" applyFill="1" applyAlignment="1">
      <alignment horizontal="right" vertical="center"/>
    </xf>
    <xf numFmtId="173" fontId="46" fillId="25" borderId="0" xfId="0" applyNumberFormat="1" applyFont="1" applyFill="1" applyAlignment="1">
      <alignment vertical="center"/>
    </xf>
    <xf numFmtId="173" fontId="26" fillId="25" borderId="0" xfId="0" applyNumberFormat="1" applyFont="1" applyFill="1" applyAlignment="1">
      <alignment vertical="center"/>
    </xf>
    <xf numFmtId="0" fontId="31" fillId="25" borderId="0" xfId="3" applyFont="1" applyFill="1"/>
    <xf numFmtId="168" fontId="21" fillId="25" borderId="0" xfId="3" applyNumberFormat="1" applyFont="1" applyFill="1"/>
    <xf numFmtId="0" fontId="26" fillId="25" borderId="0" xfId="0" applyFont="1" applyFill="1" applyAlignment="1">
      <alignment vertical="center"/>
    </xf>
    <xf numFmtId="166" fontId="22" fillId="25" borderId="0" xfId="3" applyNumberFormat="1" applyFont="1" applyFill="1"/>
    <xf numFmtId="0" fontId="24" fillId="25" borderId="0" xfId="3" applyFont="1" applyFill="1" applyAlignment="1">
      <alignment horizontal="left" vertical="center" wrapText="1"/>
    </xf>
    <xf numFmtId="165" fontId="21" fillId="25" borderId="0" xfId="3" applyNumberFormat="1" applyFont="1" applyFill="1"/>
    <xf numFmtId="0" fontId="42" fillId="25" borderId="0" xfId="3" applyFont="1" applyFill="1" applyAlignment="1">
      <alignment horizontal="left" vertical="center" wrapText="1"/>
    </xf>
    <xf numFmtId="0" fontId="52" fillId="0" borderId="0" xfId="2" applyFont="1" applyAlignment="1">
      <alignment horizontal="left" vertical="center" indent="1"/>
    </xf>
    <xf numFmtId="0" fontId="9" fillId="0" borderId="0" xfId="2" applyAlignment="1">
      <alignment vertical="center"/>
    </xf>
    <xf numFmtId="0" fontId="9" fillId="0" borderId="18" xfId="2" applyBorder="1" applyAlignment="1">
      <alignment vertical="center"/>
    </xf>
    <xf numFmtId="0" fontId="9" fillId="0" borderId="0" xfId="2" applyAlignment="1">
      <alignment horizontal="left" vertical="center" indent="1"/>
    </xf>
    <xf numFmtId="0" fontId="44" fillId="0" borderId="20" xfId="2" applyFont="1" applyBorder="1" applyAlignment="1">
      <alignment horizontal="centerContinuous" vertical="center"/>
    </xf>
    <xf numFmtId="0" fontId="9" fillId="0" borderId="14" xfId="2" applyBorder="1" applyAlignment="1">
      <alignment horizontal="centerContinuous" vertical="center"/>
    </xf>
    <xf numFmtId="0" fontId="44" fillId="0" borderId="14" xfId="2" applyFont="1" applyBorder="1" applyAlignment="1">
      <alignment horizontal="centerContinuous" vertical="center"/>
    </xf>
    <xf numFmtId="0" fontId="53" fillId="23" borderId="0" xfId="2" applyFont="1" applyFill="1" applyAlignment="1">
      <alignment horizontal="left" vertical="center" indent="1"/>
    </xf>
    <xf numFmtId="167" fontId="53" fillId="23" borderId="0" xfId="2" applyNumberFormat="1" applyFont="1" applyFill="1" applyAlignment="1">
      <alignment horizontal="right" vertical="center"/>
    </xf>
    <xf numFmtId="167" fontId="43" fillId="23" borderId="0" xfId="2" applyNumberFormat="1" applyFont="1" applyFill="1" applyAlignment="1">
      <alignment horizontal="right" vertical="center"/>
    </xf>
    <xf numFmtId="180" fontId="43" fillId="26" borderId="18" xfId="2" applyNumberFormat="1" applyFont="1" applyFill="1" applyBorder="1" applyAlignment="1">
      <alignment horizontal="right" vertical="center"/>
    </xf>
    <xf numFmtId="180" fontId="43" fillId="26" borderId="0" xfId="2" applyNumberFormat="1" applyFont="1" applyFill="1" applyAlignment="1">
      <alignment horizontal="right" vertical="center"/>
    </xf>
    <xf numFmtId="167" fontId="43" fillId="23" borderId="0" xfId="2" applyNumberFormat="1" applyFont="1" applyFill="1" applyAlignment="1">
      <alignment horizontal="left" vertical="center" indent="1"/>
    </xf>
    <xf numFmtId="0" fontId="43" fillId="23" borderId="0" xfId="2" applyFont="1" applyFill="1" applyAlignment="1">
      <alignment horizontal="left" vertical="center" indent="1"/>
    </xf>
    <xf numFmtId="0" fontId="43" fillId="23" borderId="0" xfId="2" applyFont="1" applyFill="1" applyAlignment="1">
      <alignment horizontal="left" vertical="center"/>
    </xf>
    <xf numFmtId="0" fontId="44" fillId="0" borderId="0" xfId="2" applyFont="1" applyAlignment="1">
      <alignment horizontal="left" vertical="center" indent="1"/>
    </xf>
    <xf numFmtId="173" fontId="44" fillId="0" borderId="0" xfId="2" applyNumberFormat="1" applyFont="1" applyAlignment="1">
      <alignment vertical="center"/>
    </xf>
    <xf numFmtId="170" fontId="9" fillId="0" borderId="0" xfId="2" applyNumberFormat="1" applyAlignment="1">
      <alignment vertical="center"/>
    </xf>
    <xf numFmtId="0" fontId="13" fillId="0" borderId="0" xfId="2" applyFont="1" applyAlignment="1">
      <alignment horizontal="left" vertical="center" indent="1"/>
    </xf>
    <xf numFmtId="174" fontId="13" fillId="0" borderId="0" xfId="2" applyNumberFormat="1" applyFont="1" applyAlignment="1">
      <alignment vertical="center"/>
    </xf>
    <xf numFmtId="173" fontId="9" fillId="0" borderId="0" xfId="2" applyNumberFormat="1" applyAlignment="1">
      <alignment vertical="center"/>
    </xf>
    <xf numFmtId="0" fontId="44" fillId="0" borderId="10" xfId="2" applyFont="1" applyBorder="1" applyAlignment="1">
      <alignment horizontal="left" vertical="center" indent="1"/>
    </xf>
    <xf numFmtId="173" fontId="44" fillId="0" borderId="10" xfId="2" applyNumberFormat="1" applyFont="1" applyBorder="1" applyAlignment="1">
      <alignment vertical="center"/>
    </xf>
    <xf numFmtId="167" fontId="9" fillId="0" borderId="0" xfId="2" applyNumberFormat="1" applyAlignment="1">
      <alignment vertical="center"/>
    </xf>
    <xf numFmtId="0" fontId="44" fillId="12" borderId="0" xfId="2" applyFont="1" applyFill="1" applyAlignment="1">
      <alignment horizontal="left" vertical="center" indent="1"/>
    </xf>
    <xf numFmtId="173" fontId="44" fillId="12" borderId="0" xfId="2" applyNumberFormat="1" applyFont="1" applyFill="1" applyAlignment="1">
      <alignment vertical="center"/>
    </xf>
    <xf numFmtId="173" fontId="9" fillId="0" borderId="18" xfId="2" applyNumberFormat="1" applyBorder="1" applyAlignment="1">
      <alignment vertical="center"/>
    </xf>
    <xf numFmtId="167" fontId="9" fillId="0" borderId="0" xfId="2" applyNumberFormat="1" applyAlignment="1">
      <alignment horizontal="left" vertical="center" indent="1"/>
    </xf>
    <xf numFmtId="167" fontId="14" fillId="0" borderId="0" xfId="2" applyNumberFormat="1" applyFont="1" applyAlignment="1">
      <alignment horizontal="left" vertical="center" indent="1"/>
    </xf>
    <xf numFmtId="173" fontId="14" fillId="0" borderId="0" xfId="2" applyNumberFormat="1" applyFont="1" applyAlignment="1">
      <alignment vertical="center"/>
    </xf>
    <xf numFmtId="176" fontId="9" fillId="0" borderId="0" xfId="2" applyNumberFormat="1" applyAlignment="1">
      <alignment vertical="center"/>
    </xf>
    <xf numFmtId="0" fontId="9" fillId="0" borderId="0" xfId="2" quotePrefix="1" applyAlignment="1">
      <alignment horizontal="left" vertical="center" indent="1"/>
    </xf>
    <xf numFmtId="173" fontId="9" fillId="0" borderId="21" xfId="2" applyNumberFormat="1" applyBorder="1" applyAlignment="1">
      <alignment vertical="center"/>
    </xf>
    <xf numFmtId="175" fontId="35" fillId="27" borderId="17" xfId="0" applyNumberFormat="1" applyFont="1" applyFill="1" applyBorder="1" applyAlignment="1">
      <alignment horizontal="left"/>
    </xf>
    <xf numFmtId="175" fontId="35" fillId="27" borderId="17" xfId="0" applyNumberFormat="1" applyFont="1" applyFill="1" applyBorder="1" applyAlignment="1">
      <alignment horizontal="right"/>
    </xf>
    <xf numFmtId="175" fontId="36" fillId="27" borderId="17" xfId="0" applyNumberFormat="1" applyFont="1" applyFill="1" applyBorder="1" applyAlignment="1">
      <alignment wrapText="1"/>
    </xf>
    <xf numFmtId="170" fontId="51" fillId="24" borderId="19" xfId="2" applyNumberFormat="1" applyFont="1" applyFill="1" applyBorder="1" applyAlignment="1">
      <alignment horizontal="right" vertical="center"/>
    </xf>
    <xf numFmtId="170" fontId="50" fillId="24" borderId="19" xfId="2" applyNumberFormat="1" applyFont="1" applyFill="1" applyBorder="1" applyAlignment="1">
      <alignment horizontal="right" vertical="center"/>
    </xf>
    <xf numFmtId="174" fontId="51" fillId="24" borderId="22" xfId="2" applyNumberFormat="1" applyFont="1" applyFill="1" applyBorder="1" applyAlignment="1">
      <alignment vertical="center"/>
    </xf>
    <xf numFmtId="174" fontId="51" fillId="0" borderId="0" xfId="2" applyNumberFormat="1" applyFont="1" applyAlignment="1">
      <alignment vertical="center"/>
    </xf>
    <xf numFmtId="167" fontId="50" fillId="24" borderId="22" xfId="2" applyNumberFormat="1" applyFont="1" applyFill="1" applyBorder="1" applyAlignment="1">
      <alignment vertical="center"/>
    </xf>
    <xf numFmtId="173" fontId="50" fillId="0" borderId="23" xfId="2" applyNumberFormat="1" applyFont="1" applyBorder="1" applyAlignment="1">
      <alignment vertical="center"/>
    </xf>
    <xf numFmtId="170" fontId="51" fillId="24" borderId="24" xfId="2" applyNumberFormat="1" applyFont="1" applyFill="1" applyBorder="1" applyAlignment="1">
      <alignment vertical="center"/>
    </xf>
    <xf numFmtId="176" fontId="50" fillId="0" borderId="0" xfId="2" applyNumberFormat="1" applyFont="1" applyAlignment="1">
      <alignment vertical="center"/>
    </xf>
    <xf numFmtId="174" fontId="51" fillId="24" borderId="25" xfId="2" applyNumberFormat="1" applyFont="1" applyFill="1" applyBorder="1" applyAlignment="1">
      <alignment vertical="center"/>
    </xf>
    <xf numFmtId="170" fontId="51" fillId="0" borderId="0" xfId="2" applyNumberFormat="1" applyFont="1" applyAlignment="1">
      <alignment vertical="center"/>
    </xf>
    <xf numFmtId="173" fontId="51" fillId="0" borderId="0" xfId="2" applyNumberFormat="1" applyFont="1" applyAlignment="1">
      <alignment vertical="center"/>
    </xf>
    <xf numFmtId="167" fontId="51" fillId="24" borderId="24" xfId="2" applyNumberFormat="1" applyFont="1" applyFill="1" applyBorder="1" applyAlignment="1">
      <alignment vertical="center"/>
    </xf>
    <xf numFmtId="0" fontId="9" fillId="0" borderId="0" xfId="2" applyAlignment="1">
      <alignment horizontal="left" indent="1"/>
    </xf>
    <xf numFmtId="170" fontId="54" fillId="24" borderId="24" xfId="2" applyNumberFormat="1" applyFont="1" applyFill="1" applyBorder="1" applyAlignment="1">
      <alignment vertical="center"/>
    </xf>
    <xf numFmtId="174" fontId="9" fillId="0" borderId="0" xfId="2" applyNumberFormat="1"/>
    <xf numFmtId="174" fontId="50" fillId="0" borderId="0" xfId="2" applyNumberFormat="1" applyFont="1" applyAlignment="1">
      <alignment vertical="center"/>
    </xf>
    <xf numFmtId="0" fontId="9" fillId="0" borderId="14" xfId="2" applyBorder="1"/>
    <xf numFmtId="0" fontId="44" fillId="0" borderId="14" xfId="2" applyFont="1" applyBorder="1" applyAlignment="1">
      <alignment vertical="center"/>
    </xf>
    <xf numFmtId="0" fontId="44" fillId="0" borderId="14" xfId="2" applyFont="1" applyBorder="1" applyAlignment="1">
      <alignment horizontal="left" vertical="center" indent="1"/>
    </xf>
    <xf numFmtId="167" fontId="50" fillId="0" borderId="0" xfId="2" applyNumberFormat="1" applyFont="1" applyAlignment="1">
      <alignment vertical="center"/>
    </xf>
    <xf numFmtId="180" fontId="43" fillId="23" borderId="0" xfId="2" applyNumberFormat="1" applyFont="1" applyFill="1" applyAlignment="1">
      <alignment horizontal="right" vertical="center"/>
    </xf>
    <xf numFmtId="180" fontId="43" fillId="28" borderId="18" xfId="2" applyNumberFormat="1" applyFont="1" applyFill="1" applyBorder="1" applyAlignment="1">
      <alignment horizontal="right" vertical="center"/>
    </xf>
    <xf numFmtId="167" fontId="53" fillId="23" borderId="0" xfId="2" applyNumberFormat="1" applyFont="1" applyFill="1" applyAlignment="1">
      <alignment horizontal="left" vertical="center" indent="1"/>
    </xf>
    <xf numFmtId="179" fontId="9" fillId="0" borderId="0" xfId="2" applyNumberFormat="1"/>
    <xf numFmtId="173" fontId="56" fillId="0" borderId="0" xfId="2" applyNumberFormat="1" applyFont="1" applyAlignment="1">
      <alignment vertical="center"/>
    </xf>
    <xf numFmtId="167" fontId="56" fillId="12" borderId="22" xfId="2" applyNumberFormat="1" applyFont="1" applyFill="1" applyBorder="1" applyAlignment="1">
      <alignment vertical="center"/>
    </xf>
    <xf numFmtId="0" fontId="56" fillId="0" borderId="0" xfId="2" applyFont="1" applyAlignment="1">
      <alignment horizontal="left" vertical="center" indent="1"/>
    </xf>
    <xf numFmtId="167" fontId="57" fillId="0" borderId="0" xfId="2" applyNumberFormat="1" applyFont="1" applyAlignment="1">
      <alignment horizontal="right" vertical="center"/>
    </xf>
    <xf numFmtId="167" fontId="50" fillId="0" borderId="0" xfId="2" applyNumberFormat="1" applyFont="1" applyAlignment="1">
      <alignment horizontal="right" vertical="center"/>
    </xf>
    <xf numFmtId="173" fontId="56" fillId="0" borderId="10" xfId="2" applyNumberFormat="1" applyFont="1" applyBorder="1" applyAlignment="1">
      <alignment vertical="center"/>
    </xf>
    <xf numFmtId="167" fontId="56" fillId="12" borderId="10" xfId="2" applyNumberFormat="1" applyFont="1" applyFill="1" applyBorder="1" applyAlignment="1">
      <alignment vertical="center"/>
    </xf>
    <xf numFmtId="0" fontId="9" fillId="0" borderId="10" xfId="2" applyBorder="1" applyAlignment="1">
      <alignment vertical="center"/>
    </xf>
    <xf numFmtId="0" fontId="56" fillId="0" borderId="10" xfId="2" applyFont="1" applyBorder="1" applyAlignment="1">
      <alignment horizontal="left" vertical="center" indent="1"/>
    </xf>
    <xf numFmtId="173" fontId="51" fillId="0" borderId="0" xfId="2" applyNumberFormat="1" applyFont="1" applyAlignment="1">
      <alignment horizontal="right" vertical="center"/>
    </xf>
    <xf numFmtId="0" fontId="50" fillId="0" borderId="0" xfId="2" applyFont="1" applyAlignment="1">
      <alignment vertical="center"/>
    </xf>
    <xf numFmtId="167" fontId="9" fillId="0" borderId="0" xfId="2" applyNumberFormat="1" applyAlignment="1">
      <alignment horizontal="right" vertical="center"/>
    </xf>
    <xf numFmtId="167" fontId="56" fillId="12" borderId="28" xfId="2" applyNumberFormat="1" applyFont="1" applyFill="1" applyBorder="1" applyAlignment="1">
      <alignment vertical="center"/>
    </xf>
    <xf numFmtId="173" fontId="9" fillId="0" borderId="10" xfId="2" applyNumberFormat="1" applyBorder="1" applyAlignment="1">
      <alignment vertical="center"/>
    </xf>
    <xf numFmtId="167" fontId="44" fillId="0" borderId="0" xfId="2" applyNumberFormat="1" applyFont="1" applyAlignment="1">
      <alignment vertical="center"/>
    </xf>
    <xf numFmtId="173" fontId="9" fillId="0" borderId="14" xfId="2" applyNumberFormat="1" applyBorder="1" applyAlignment="1">
      <alignment vertical="center"/>
    </xf>
    <xf numFmtId="173" fontId="57" fillId="0" borderId="14" xfId="2" applyNumberFormat="1" applyFont="1" applyBorder="1" applyAlignment="1">
      <alignment vertical="center"/>
    </xf>
    <xf numFmtId="9" fontId="9" fillId="0" borderId="0" xfId="2" applyNumberFormat="1" applyAlignment="1">
      <alignment vertical="center"/>
    </xf>
    <xf numFmtId="167" fontId="51" fillId="0" borderId="0" xfId="2" applyNumberFormat="1" applyFont="1" applyAlignment="1">
      <alignment vertical="center"/>
    </xf>
    <xf numFmtId="167" fontId="56" fillId="0" borderId="10" xfId="2" applyNumberFormat="1" applyFont="1" applyBorder="1" applyAlignment="1">
      <alignment vertical="center"/>
    </xf>
    <xf numFmtId="167" fontId="51" fillId="0" borderId="10" xfId="2" applyNumberFormat="1" applyFont="1" applyBorder="1" applyAlignment="1">
      <alignment vertical="center"/>
    </xf>
    <xf numFmtId="180" fontId="9" fillId="0" borderId="0" xfId="2" applyNumberFormat="1" applyAlignment="1">
      <alignment vertical="center"/>
    </xf>
    <xf numFmtId="167" fontId="56" fillId="12" borderId="26" xfId="2" applyNumberFormat="1" applyFont="1" applyFill="1" applyBorder="1" applyAlignment="1">
      <alignment vertical="center"/>
    </xf>
    <xf numFmtId="173" fontId="56" fillId="24" borderId="22" xfId="2" applyNumberFormat="1" applyFont="1" applyFill="1" applyBorder="1" applyAlignment="1">
      <alignment vertical="center"/>
    </xf>
    <xf numFmtId="173" fontId="57" fillId="0" borderId="0" xfId="2" applyNumberFormat="1" applyFont="1" applyAlignment="1">
      <alignment vertical="center"/>
    </xf>
    <xf numFmtId="0" fontId="44" fillId="0" borderId="18" xfId="2" applyFont="1" applyBorder="1" applyAlignment="1">
      <alignment vertical="center"/>
    </xf>
    <xf numFmtId="0" fontId="44" fillId="0" borderId="0" xfId="2" applyFont="1" applyAlignment="1">
      <alignment vertical="center"/>
    </xf>
    <xf numFmtId="0" fontId="56" fillId="0" borderId="10" xfId="2" quotePrefix="1" applyFont="1" applyBorder="1" applyAlignment="1">
      <alignment horizontal="left" vertical="center" indent="1"/>
    </xf>
    <xf numFmtId="167" fontId="59" fillId="0" borderId="0" xfId="2" applyNumberFormat="1" applyFont="1" applyAlignment="1">
      <alignment horizontal="right" vertical="center"/>
    </xf>
    <xf numFmtId="167" fontId="60" fillId="0" borderId="0" xfId="2" applyNumberFormat="1" applyFont="1" applyAlignment="1">
      <alignment horizontal="right" vertical="center"/>
    </xf>
    <xf numFmtId="0" fontId="9" fillId="0" borderId="10" xfId="2" applyBorder="1" applyAlignment="1">
      <alignment horizontal="left" vertical="center" indent="1"/>
    </xf>
    <xf numFmtId="0" fontId="56" fillId="0" borderId="0" xfId="2" quotePrefix="1" applyFont="1" applyAlignment="1">
      <alignment horizontal="left" vertical="center" indent="1"/>
    </xf>
    <xf numFmtId="170" fontId="51" fillId="0" borderId="14" xfId="2" applyNumberFormat="1" applyFont="1" applyBorder="1" applyAlignment="1">
      <alignment vertical="center"/>
    </xf>
    <xf numFmtId="173" fontId="51" fillId="0" borderId="14" xfId="2" applyNumberFormat="1" applyFont="1" applyBorder="1" applyAlignment="1">
      <alignment vertical="center"/>
    </xf>
    <xf numFmtId="0" fontId="44" fillId="0" borderId="10" xfId="2" quotePrefix="1" applyFont="1" applyBorder="1" applyAlignment="1">
      <alignment horizontal="left" vertical="center" indent="1"/>
    </xf>
    <xf numFmtId="167" fontId="56" fillId="24" borderId="22" xfId="2" applyNumberFormat="1" applyFont="1" applyFill="1" applyBorder="1" applyAlignment="1">
      <alignment vertical="center"/>
    </xf>
    <xf numFmtId="179" fontId="56" fillId="24" borderId="22" xfId="2" applyNumberFormat="1" applyFont="1" applyFill="1" applyBorder="1" applyAlignment="1">
      <alignment vertical="center"/>
    </xf>
    <xf numFmtId="179" fontId="56" fillId="12" borderId="22" xfId="2" applyNumberFormat="1" applyFont="1" applyFill="1" applyBorder="1" applyAlignment="1">
      <alignment vertical="center"/>
    </xf>
    <xf numFmtId="0" fontId="61" fillId="0" borderId="0" xfId="2" applyFont="1"/>
    <xf numFmtId="0" fontId="62" fillId="0" borderId="0" xfId="2" quotePrefix="1" applyFont="1"/>
    <xf numFmtId="1" fontId="23" fillId="8" borderId="12" xfId="3" applyNumberFormat="1" applyFont="1" applyFill="1" applyBorder="1" applyAlignment="1">
      <alignment horizontal="center" vertical="center"/>
    </xf>
    <xf numFmtId="9" fontId="9" fillId="0" borderId="14" xfId="2" applyNumberFormat="1" applyBorder="1"/>
    <xf numFmtId="167" fontId="56" fillId="12" borderId="0" xfId="2" applyNumberFormat="1" applyFont="1" applyFill="1" applyAlignment="1">
      <alignment vertical="center"/>
    </xf>
    <xf numFmtId="1" fontId="43" fillId="26" borderId="18" xfId="2" applyNumberFormat="1" applyFont="1" applyFill="1" applyBorder="1" applyAlignment="1">
      <alignment horizontal="right" vertical="center"/>
    </xf>
    <xf numFmtId="1" fontId="43" fillId="26" borderId="0" xfId="2" applyNumberFormat="1" applyFont="1" applyFill="1" applyAlignment="1">
      <alignment horizontal="right" vertical="center"/>
    </xf>
    <xf numFmtId="1" fontId="43" fillId="28" borderId="18" xfId="2" applyNumberFormat="1" applyFont="1" applyFill="1" applyBorder="1" applyAlignment="1">
      <alignment horizontal="right" vertical="center"/>
    </xf>
    <xf numFmtId="0" fontId="9" fillId="0" borderId="21" xfId="2" applyBorder="1" applyAlignment="1">
      <alignment vertical="center"/>
    </xf>
    <xf numFmtId="170" fontId="44" fillId="0" borderId="10" xfId="2" applyNumberFormat="1" applyFont="1" applyBorder="1" applyAlignment="1">
      <alignment vertical="center"/>
    </xf>
    <xf numFmtId="0" fontId="44" fillId="0" borderId="10" xfId="2" applyFont="1" applyBorder="1" applyAlignment="1">
      <alignment vertical="center"/>
    </xf>
    <xf numFmtId="176" fontId="51" fillId="0" borderId="0" xfId="2" applyNumberFormat="1" applyFont="1" applyAlignment="1">
      <alignment horizontal="right" vertical="center"/>
    </xf>
    <xf numFmtId="176" fontId="56" fillId="0" borderId="0" xfId="2" applyNumberFormat="1" applyFont="1" applyAlignment="1">
      <alignment horizontal="right" vertical="center"/>
    </xf>
    <xf numFmtId="176" fontId="56" fillId="0" borderId="10" xfId="2" applyNumberFormat="1" applyFont="1" applyBorder="1" applyAlignment="1">
      <alignment horizontal="right" vertical="center"/>
    </xf>
    <xf numFmtId="176" fontId="58" fillId="0" borderId="0" xfId="2" applyNumberFormat="1" applyFont="1" applyAlignment="1">
      <alignment horizontal="right" vertical="center"/>
    </xf>
    <xf numFmtId="0" fontId="63" fillId="0" borderId="0" xfId="2" applyFont="1" applyAlignment="1">
      <alignment horizontal="left" vertical="center" indent="1"/>
    </xf>
    <xf numFmtId="182" fontId="51" fillId="0" borderId="0" xfId="2" applyNumberFormat="1" applyFont="1" applyAlignment="1">
      <alignment horizontal="right" vertical="center"/>
    </xf>
    <xf numFmtId="183" fontId="51" fillId="0" borderId="0" xfId="2" applyNumberFormat="1" applyFont="1" applyAlignment="1">
      <alignment horizontal="right" vertical="center"/>
    </xf>
    <xf numFmtId="174" fontId="51" fillId="0" borderId="0" xfId="2" applyNumberFormat="1" applyFont="1" applyAlignment="1">
      <alignment horizontal="right" vertical="center"/>
    </xf>
    <xf numFmtId="173" fontId="9" fillId="12" borderId="0" xfId="2" applyNumberFormat="1" applyFill="1" applyAlignment="1">
      <alignment horizontal="right" vertical="center"/>
    </xf>
    <xf numFmtId="0" fontId="9" fillId="12" borderId="0" xfId="2" applyFill="1" applyAlignment="1">
      <alignment horizontal="left" vertical="center" indent="1"/>
    </xf>
    <xf numFmtId="174" fontId="44" fillId="0" borderId="0" xfId="2" applyNumberFormat="1" applyFont="1" applyAlignment="1">
      <alignment vertical="center"/>
    </xf>
    <xf numFmtId="176" fontId="13" fillId="0" borderId="0" xfId="2" applyNumberFormat="1" applyFont="1" applyAlignment="1">
      <alignment vertical="center"/>
    </xf>
    <xf numFmtId="176" fontId="43" fillId="28" borderId="22" xfId="2" applyNumberFormat="1" applyFont="1" applyFill="1" applyBorder="1" applyAlignment="1">
      <alignment vertical="center"/>
    </xf>
    <xf numFmtId="176" fontId="43" fillId="26" borderId="22" xfId="2" applyNumberFormat="1" applyFont="1" applyFill="1" applyBorder="1" applyAlignment="1">
      <alignment vertical="center"/>
    </xf>
    <xf numFmtId="173" fontId="53" fillId="0" borderId="0" xfId="2" applyNumberFormat="1" applyFont="1" applyAlignment="1">
      <alignment vertical="center"/>
    </xf>
    <xf numFmtId="176" fontId="64" fillId="29" borderId="37" xfId="2" applyNumberFormat="1" applyFont="1" applyFill="1" applyBorder="1" applyAlignment="1">
      <alignment horizontal="centerContinuous" vertical="center"/>
    </xf>
    <xf numFmtId="176" fontId="64" fillId="29" borderId="38" xfId="2" applyNumberFormat="1" applyFont="1" applyFill="1" applyBorder="1" applyAlignment="1">
      <alignment horizontal="centerContinuous" vertical="center"/>
    </xf>
    <xf numFmtId="176" fontId="64" fillId="29" borderId="19" xfId="2" applyNumberFormat="1" applyFont="1" applyFill="1" applyBorder="1" applyAlignment="1">
      <alignment horizontal="centerContinuous" vertical="center"/>
    </xf>
    <xf numFmtId="167" fontId="13" fillId="0" borderId="0" xfId="2" applyNumberFormat="1" applyFont="1" applyAlignment="1">
      <alignment horizontal="right" vertical="center"/>
    </xf>
    <xf numFmtId="0" fontId="65" fillId="0" borderId="0" xfId="2" applyFont="1" applyAlignment="1">
      <alignment horizontal="left" vertical="center" indent="1"/>
    </xf>
    <xf numFmtId="173" fontId="51" fillId="0" borderId="0" xfId="2" applyNumberFormat="1" applyFont="1" applyAlignment="1">
      <alignment horizontal="right"/>
    </xf>
    <xf numFmtId="49" fontId="9" fillId="0" borderId="0" xfId="2" applyNumberFormat="1"/>
    <xf numFmtId="0" fontId="9" fillId="0" borderId="18" xfId="2" applyBorder="1"/>
    <xf numFmtId="0" fontId="52" fillId="0" borderId="0" xfId="2" applyFont="1"/>
    <xf numFmtId="167" fontId="44" fillId="0" borderId="14" xfId="2" applyNumberFormat="1" applyFont="1" applyBorder="1" applyAlignment="1">
      <alignment vertical="center"/>
    </xf>
    <xf numFmtId="167" fontId="13" fillId="0" borderId="0" xfId="2" applyNumberFormat="1" applyFont="1" applyAlignment="1">
      <alignment vertical="center"/>
    </xf>
    <xf numFmtId="0" fontId="13" fillId="0" borderId="0" xfId="2" applyFont="1" applyAlignment="1">
      <alignment horizontal="left" vertical="center" indent="2"/>
    </xf>
    <xf numFmtId="181" fontId="43" fillId="23" borderId="0" xfId="2" applyNumberFormat="1" applyFont="1" applyFill="1" applyAlignment="1">
      <alignment vertical="center"/>
    </xf>
    <xf numFmtId="167" fontId="64" fillId="0" borderId="0" xfId="2" applyNumberFormat="1" applyFont="1" applyAlignment="1">
      <alignment horizontal="right" vertical="center" wrapText="1" indent="1"/>
    </xf>
    <xf numFmtId="167" fontId="44" fillId="0" borderId="10" xfId="2" applyNumberFormat="1" applyFont="1" applyBorder="1" applyAlignment="1">
      <alignment vertical="center"/>
    </xf>
    <xf numFmtId="178" fontId="9" fillId="0" borderId="0" xfId="2" applyNumberFormat="1" applyAlignment="1">
      <alignment vertical="center"/>
    </xf>
    <xf numFmtId="178" fontId="44" fillId="12" borderId="0" xfId="2" applyNumberFormat="1" applyFont="1" applyFill="1" applyAlignment="1">
      <alignment vertical="center"/>
    </xf>
    <xf numFmtId="173" fontId="59" fillId="0" borderId="0" xfId="2" applyNumberFormat="1" applyFont="1" applyAlignment="1">
      <alignment horizontal="right" vertical="center"/>
    </xf>
    <xf numFmtId="178" fontId="44" fillId="0" borderId="0" xfId="2" applyNumberFormat="1" applyFont="1" applyAlignment="1">
      <alignment vertical="center"/>
    </xf>
    <xf numFmtId="173" fontId="13" fillId="0" borderId="0" xfId="2" applyNumberFormat="1" applyFont="1" applyAlignment="1">
      <alignment vertical="center"/>
    </xf>
    <xf numFmtId="178" fontId="13" fillId="0" borderId="0" xfId="2" applyNumberFormat="1" applyFont="1" applyAlignment="1">
      <alignment vertical="center"/>
    </xf>
    <xf numFmtId="169" fontId="53" fillId="23" borderId="0" xfId="2" applyNumberFormat="1" applyFont="1" applyFill="1" applyAlignment="1">
      <alignment horizontal="right" vertical="center"/>
    </xf>
    <xf numFmtId="167" fontId="51" fillId="0" borderId="29" xfId="2" applyNumberFormat="1" applyFont="1" applyBorder="1" applyAlignment="1">
      <alignment vertical="center"/>
    </xf>
    <xf numFmtId="167" fontId="51" fillId="0" borderId="30" xfId="2" applyNumberFormat="1" applyFont="1" applyBorder="1" applyAlignment="1">
      <alignment vertical="center"/>
    </xf>
    <xf numFmtId="167" fontId="9" fillId="0" borderId="31" xfId="2" applyNumberFormat="1" applyBorder="1" applyAlignment="1">
      <alignment vertical="center"/>
    </xf>
    <xf numFmtId="167" fontId="51" fillId="0" borderId="33" xfId="2" applyNumberFormat="1" applyFont="1" applyBorder="1" applyAlignment="1">
      <alignment vertical="center"/>
    </xf>
    <xf numFmtId="167" fontId="9" fillId="0" borderId="35" xfId="2" applyNumberFormat="1" applyBorder="1" applyAlignment="1">
      <alignment vertical="center"/>
    </xf>
    <xf numFmtId="167" fontId="56" fillId="29" borderId="22" xfId="2" applyNumberFormat="1" applyFont="1" applyFill="1" applyBorder="1" applyAlignment="1">
      <alignment vertical="center"/>
    </xf>
    <xf numFmtId="167" fontId="9" fillId="0" borderId="34" xfId="2" applyNumberFormat="1" applyBorder="1" applyAlignment="1">
      <alignment vertical="center"/>
    </xf>
    <xf numFmtId="167" fontId="9" fillId="0" borderId="36" xfId="2" applyNumberFormat="1" applyBorder="1" applyAlignment="1">
      <alignment vertical="center"/>
    </xf>
    <xf numFmtId="167" fontId="9" fillId="0" borderId="18" xfId="2" applyNumberFormat="1" applyBorder="1" applyAlignment="1">
      <alignment vertical="center"/>
    </xf>
    <xf numFmtId="182" fontId="51" fillId="0" borderId="29" xfId="2" applyNumberFormat="1" applyFont="1" applyBorder="1" applyAlignment="1">
      <alignment vertical="center"/>
    </xf>
    <xf numFmtId="182" fontId="51" fillId="0" borderId="30" xfId="2" applyNumberFormat="1" applyFont="1" applyBorder="1" applyAlignment="1">
      <alignment vertical="center"/>
    </xf>
    <xf numFmtId="182" fontId="9" fillId="0" borderId="31" xfId="2" applyNumberFormat="1" applyBorder="1" applyAlignment="1">
      <alignment vertical="center"/>
    </xf>
    <xf numFmtId="182" fontId="51" fillId="0" borderId="33" xfId="2" applyNumberFormat="1" applyFont="1" applyBorder="1" applyAlignment="1">
      <alignment vertical="center"/>
    </xf>
    <xf numFmtId="182" fontId="56" fillId="12" borderId="22" xfId="2" applyNumberFormat="1" applyFont="1" applyFill="1" applyBorder="1" applyAlignment="1">
      <alignment vertical="center"/>
    </xf>
    <xf numFmtId="182" fontId="9" fillId="0" borderId="18" xfId="2" applyNumberFormat="1" applyBorder="1" applyAlignment="1">
      <alignment vertical="center"/>
    </xf>
    <xf numFmtId="182" fontId="56" fillId="29" borderId="22" xfId="2" applyNumberFormat="1" applyFont="1" applyFill="1" applyBorder="1" applyAlignment="1">
      <alignment vertical="center"/>
    </xf>
    <xf numFmtId="182" fontId="9" fillId="0" borderId="34" xfId="2" applyNumberFormat="1" applyBorder="1" applyAlignment="1">
      <alignment vertical="center"/>
    </xf>
    <xf numFmtId="182" fontId="9" fillId="0" borderId="35" xfId="2" applyNumberFormat="1" applyBorder="1" applyAlignment="1">
      <alignment vertical="center"/>
    </xf>
    <xf numFmtId="182" fontId="9" fillId="0" borderId="36" xfId="2" applyNumberFormat="1" applyBorder="1" applyAlignment="1">
      <alignment vertical="center"/>
    </xf>
    <xf numFmtId="178" fontId="44" fillId="0" borderId="10" xfId="2" applyNumberFormat="1" applyFont="1" applyBorder="1" applyAlignment="1">
      <alignment vertical="center"/>
    </xf>
    <xf numFmtId="169" fontId="43" fillId="23" borderId="0" xfId="2" applyNumberFormat="1" applyFont="1" applyFill="1" applyAlignment="1">
      <alignment horizontal="right" vertical="center"/>
    </xf>
    <xf numFmtId="173" fontId="59" fillId="0" borderId="0" xfId="2" applyNumberFormat="1" applyFont="1" applyAlignment="1">
      <alignment vertical="center"/>
    </xf>
    <xf numFmtId="182" fontId="9" fillId="0" borderId="0" xfId="2" applyNumberFormat="1" applyAlignment="1">
      <alignment vertical="center"/>
    </xf>
    <xf numFmtId="173" fontId="66" fillId="0" borderId="10" xfId="2" applyNumberFormat="1" applyFont="1" applyBorder="1" applyAlignment="1">
      <alignment vertical="center"/>
    </xf>
    <xf numFmtId="178" fontId="66" fillId="0" borderId="10" xfId="2" applyNumberFormat="1" applyFont="1" applyBorder="1" applyAlignment="1">
      <alignment vertical="center"/>
    </xf>
    <xf numFmtId="173" fontId="67" fillId="0" borderId="0" xfId="2" applyNumberFormat="1" applyFont="1" applyAlignment="1">
      <alignment vertical="center"/>
    </xf>
    <xf numFmtId="184" fontId="9" fillId="0" borderId="0" xfId="2" applyNumberFormat="1" applyAlignment="1">
      <alignment vertical="center"/>
    </xf>
    <xf numFmtId="185" fontId="9" fillId="0" borderId="0" xfId="2" applyNumberFormat="1" applyAlignment="1">
      <alignment vertical="center"/>
    </xf>
    <xf numFmtId="185" fontId="44" fillId="0" borderId="14" xfId="2" applyNumberFormat="1" applyFont="1" applyBorder="1" applyAlignment="1">
      <alignment vertical="center"/>
    </xf>
    <xf numFmtId="173" fontId="44" fillId="0" borderId="14" xfId="2" applyNumberFormat="1" applyFont="1" applyBorder="1" applyAlignment="1">
      <alignment vertical="center"/>
    </xf>
    <xf numFmtId="178" fontId="44" fillId="0" borderId="14" xfId="2" applyNumberFormat="1" applyFont="1" applyBorder="1" applyAlignment="1">
      <alignment vertical="center"/>
    </xf>
    <xf numFmtId="186" fontId="51" fillId="0" borderId="15" xfId="2" applyNumberFormat="1" applyFont="1" applyBorder="1" applyAlignment="1">
      <alignment vertical="center"/>
    </xf>
    <xf numFmtId="0" fontId="9" fillId="0" borderId="14" xfId="2" applyBorder="1" applyAlignment="1">
      <alignment vertical="center"/>
    </xf>
    <xf numFmtId="0" fontId="9" fillId="0" borderId="13" xfId="2" applyBorder="1" applyAlignment="1">
      <alignment horizontal="left" vertical="center" indent="1"/>
    </xf>
    <xf numFmtId="176" fontId="51" fillId="0" borderId="12" xfId="2" applyNumberFormat="1" applyFont="1" applyBorder="1" applyAlignment="1">
      <alignment vertical="center"/>
    </xf>
    <xf numFmtId="0" fontId="9" fillId="0" borderId="11" xfId="2" applyBorder="1" applyAlignment="1">
      <alignment horizontal="left" vertical="center" indent="1"/>
    </xf>
    <xf numFmtId="176" fontId="51" fillId="0" borderId="0" xfId="2" applyNumberFormat="1" applyFont="1" applyAlignment="1">
      <alignment vertical="center"/>
    </xf>
    <xf numFmtId="176" fontId="51" fillId="0" borderId="8" xfId="2" applyNumberFormat="1" applyFont="1" applyBorder="1" applyAlignment="1">
      <alignment vertical="center"/>
    </xf>
    <xf numFmtId="0" fontId="9" fillId="0" borderId="9" xfId="2" applyBorder="1" applyAlignment="1">
      <alignment horizontal="left" vertical="center" indent="1"/>
    </xf>
    <xf numFmtId="0" fontId="69" fillId="0" borderId="20" xfId="2" applyFont="1" applyBorder="1" applyAlignment="1">
      <alignment horizontal="centerContinuous" vertical="center"/>
    </xf>
    <xf numFmtId="0" fontId="52" fillId="0" borderId="0" xfId="2" applyFont="1" applyAlignment="1">
      <alignment vertical="center"/>
    </xf>
    <xf numFmtId="167" fontId="56" fillId="0" borderId="22" xfId="2" applyNumberFormat="1" applyFont="1" applyBorder="1" applyAlignment="1">
      <alignment vertical="center"/>
    </xf>
    <xf numFmtId="167" fontId="56" fillId="0" borderId="0" xfId="2" applyNumberFormat="1" applyFont="1" applyAlignment="1">
      <alignment vertical="center"/>
    </xf>
    <xf numFmtId="167" fontId="56" fillId="0" borderId="26" xfId="2" applyNumberFormat="1" applyFont="1" applyBorder="1" applyAlignment="1">
      <alignment vertical="center"/>
    </xf>
    <xf numFmtId="173" fontId="9" fillId="11" borderId="0" xfId="2" applyNumberFormat="1" applyFill="1" applyAlignment="1">
      <alignment vertical="center"/>
    </xf>
    <xf numFmtId="173" fontId="56" fillId="11" borderId="10" xfId="2" applyNumberFormat="1" applyFont="1" applyFill="1" applyBorder="1" applyAlignment="1">
      <alignment vertical="center"/>
    </xf>
    <xf numFmtId="173" fontId="56" fillId="11" borderId="0" xfId="2" applyNumberFormat="1" applyFont="1" applyFill="1" applyAlignment="1">
      <alignment vertical="center"/>
    </xf>
    <xf numFmtId="173" fontId="51" fillId="11" borderId="0" xfId="2" applyNumberFormat="1" applyFont="1" applyFill="1" applyAlignment="1">
      <alignment vertical="center"/>
    </xf>
    <xf numFmtId="3" fontId="70" fillId="0" borderId="0" xfId="0" applyNumberFormat="1" applyFont="1"/>
    <xf numFmtId="0" fontId="71" fillId="30" borderId="39" xfId="0" applyFont="1" applyFill="1" applyBorder="1" applyAlignment="1">
      <alignment horizontal="right" vertical="top" wrapText="1"/>
    </xf>
    <xf numFmtId="0" fontId="71" fillId="30" borderId="40" xfId="0" applyFont="1" applyFill="1" applyBorder="1" applyAlignment="1">
      <alignment horizontal="right" vertical="top" wrapText="1"/>
    </xf>
    <xf numFmtId="165" fontId="71" fillId="0" borderId="0" xfId="0" applyNumberFormat="1" applyFont="1" applyAlignment="1">
      <alignment horizontal="right"/>
    </xf>
    <xf numFmtId="165" fontId="0" fillId="0" borderId="0" xfId="0" applyNumberFormat="1"/>
    <xf numFmtId="165" fontId="0" fillId="20" borderId="0" xfId="0" applyNumberFormat="1" applyFill="1"/>
    <xf numFmtId="187" fontId="9" fillId="0" borderId="0" xfId="2" applyNumberFormat="1" applyAlignment="1">
      <alignment vertical="center"/>
    </xf>
    <xf numFmtId="188" fontId="9" fillId="0" borderId="0" xfId="2" applyNumberFormat="1" applyAlignment="1">
      <alignment vertical="center"/>
    </xf>
    <xf numFmtId="165" fontId="4" fillId="0" borderId="3" xfId="0" applyNumberFormat="1" applyFont="1" applyBorder="1" applyAlignment="1">
      <alignment horizontal="right" vertical="center" wrapText="1"/>
    </xf>
    <xf numFmtId="165" fontId="6" fillId="0" borderId="3" xfId="0" applyNumberFormat="1" applyFont="1" applyBorder="1" applyAlignment="1">
      <alignment horizontal="right" vertical="center" wrapText="1"/>
    </xf>
    <xf numFmtId="4" fontId="4" fillId="0" borderId="3" xfId="0" applyNumberFormat="1" applyFont="1" applyBorder="1" applyAlignment="1">
      <alignment horizontal="right" vertical="center" wrapText="1"/>
    </xf>
    <xf numFmtId="3" fontId="4" fillId="0" borderId="3" xfId="0" applyNumberFormat="1" applyFont="1" applyBorder="1" applyAlignment="1">
      <alignment horizontal="right" vertical="center" wrapText="1"/>
    </xf>
    <xf numFmtId="3" fontId="6" fillId="0" borderId="3" xfId="0" applyNumberFormat="1" applyFont="1" applyBorder="1" applyAlignment="1">
      <alignment horizontal="right" vertical="center" wrapText="1"/>
    </xf>
    <xf numFmtId="4" fontId="6" fillId="0" borderId="3" xfId="0" applyNumberFormat="1" applyFont="1" applyBorder="1" applyAlignment="1">
      <alignment horizontal="right" vertical="center" wrapText="1"/>
    </xf>
    <xf numFmtId="167" fontId="64" fillId="0" borderId="0" xfId="2" applyNumberFormat="1" applyFont="1" applyAlignment="1">
      <alignment horizontal="right" vertical="center" wrapText="1" indent="1"/>
    </xf>
    <xf numFmtId="164" fontId="4" fillId="0" borderId="3" xfId="0" applyNumberFormat="1" applyFont="1" applyBorder="1" applyAlignment="1">
      <alignment horizontal="center" vertical="center" wrapText="1"/>
    </xf>
    <xf numFmtId="0" fontId="4" fillId="0" borderId="3" xfId="0" applyFont="1" applyBorder="1" applyAlignment="1">
      <alignment horizontal="center" vertical="center" wrapText="1"/>
    </xf>
    <xf numFmtId="0" fontId="3" fillId="2" borderId="2" xfId="0" applyFont="1" applyFill="1" applyBorder="1" applyAlignment="1">
      <alignment horizontal="center" vertical="center" wrapText="1"/>
    </xf>
    <xf numFmtId="175" fontId="35" fillId="18" borderId="17" xfId="7" applyNumberFormat="1" applyFont="1" applyFill="1" applyBorder="1" applyAlignment="1">
      <alignment wrapText="1"/>
    </xf>
    <xf numFmtId="175" fontId="35" fillId="14" borderId="17" xfId="7" applyNumberFormat="1" applyFont="1" applyFill="1" applyBorder="1"/>
    <xf numFmtId="175" fontId="35" fillId="14" borderId="17" xfId="0" applyNumberFormat="1" applyFont="1" applyFill="1" applyBorder="1" applyAlignment="1"/>
    <xf numFmtId="0" fontId="20" fillId="6" borderId="0" xfId="3" applyFont="1" applyFill="1" applyAlignment="1">
      <alignment horizontal="center" vertical="center"/>
    </xf>
    <xf numFmtId="0" fontId="22" fillId="0" borderId="0" xfId="3" applyFont="1" applyAlignment="1">
      <alignment horizontal="center"/>
    </xf>
    <xf numFmtId="176" fontId="64" fillId="29" borderId="27" xfId="2" applyNumberFormat="1" applyFont="1" applyFill="1" applyBorder="1" applyAlignment="1">
      <alignment horizontal="center" vertical="center" textRotation="90"/>
    </xf>
    <xf numFmtId="176" fontId="64" fillId="29" borderId="32" xfId="2" applyNumberFormat="1" applyFont="1" applyFill="1" applyBorder="1" applyAlignment="1">
      <alignment horizontal="center" vertical="center" textRotation="90"/>
    </xf>
  </cellXfs>
  <cellStyles count="9">
    <cellStyle name="defaultsheetstyle" xfId="6" xr:uid="{8FA1452A-89A1-9142-B3F7-5294798789BF}"/>
    <cellStyle name="Hyperlink 2" xfId="5" xr:uid="{EC39731B-6D10-9545-BCA9-EA3173D93042}"/>
    <cellStyle name="Normal" xfId="0" builtinId="0"/>
    <cellStyle name="Normal 2" xfId="3" xr:uid="{B8662298-5088-BC4B-BFD7-FD974E19E155}"/>
    <cellStyle name="Normal 3" xfId="2" xr:uid="{0F88EFA7-EE48-3649-B43C-D537953FB2CA}"/>
    <cellStyle name="Normal 4" xfId="7" xr:uid="{9BA6ED52-49BD-3E41-BFF4-03EB5F5866FC}"/>
    <cellStyle name="Normal 5" xfId="8" xr:uid="{175DDA05-C9DF-6849-845E-6BB2B850CF30}"/>
    <cellStyle name="Per cent" xfId="1" builtinId="5"/>
    <cellStyle name="Per cent 2" xfId="4" xr:uid="{2DD8589D-29F5-7A41-9CF8-124B96292175}"/>
  </cellStyles>
  <dxfs count="1">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occoni-my.sharepoint.com/personal/federico_galli2_studbocconi_it/Documents/Example1.xlsx" TargetMode="External"/><Relationship Id="rId1" Type="http://schemas.openxmlformats.org/officeDocument/2006/relationships/externalLinkPath" Target="https://bocconi-my.sharepoint.com/personal/federico_galli2_studbocconi_it/Documents/Example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gt;&gt;&gt;"/>
      <sheetName val="Inputs &gt;&gt;&gt;"/>
      <sheetName val="AsReported"/>
      <sheetName val="Restatements"/>
      <sheetName val="TradingMultiples"/>
      <sheetName val="DealMultiples"/>
      <sheetName val="FootballField"/>
      <sheetName val="Advanced &gt;&gt;&gt;"/>
      <sheetName val="MergerModel"/>
      <sheetName val="LBOModel"/>
      <sheetName val="AVP"/>
      <sheetName val="Tab1_Historical"/>
      <sheetName val="Tab2_Stock"/>
      <sheetName val="Tab3_Model"/>
      <sheetName val="Tab4_MM"/>
      <sheetName val="Tab5_MM2"/>
      <sheetName val="Tab6_MM3"/>
      <sheetName val="Tab7_LBO1"/>
      <sheetName val="Uncertainty"/>
      <sheetName val="Benchmark"/>
    </sheetNames>
    <sheetDataSet>
      <sheetData sheetId="0"/>
      <sheetData sheetId="1"/>
      <sheetData sheetId="2">
        <row r="5">
          <cell r="B5" t="str">
            <v>(EUR m)</v>
          </cell>
          <cell r="F5">
            <v>41639</v>
          </cell>
          <cell r="G5">
            <v>42004</v>
          </cell>
          <cell r="H5">
            <v>42369</v>
          </cell>
          <cell r="I5">
            <v>42735</v>
          </cell>
          <cell r="J5">
            <v>43100</v>
          </cell>
          <cell r="K5">
            <v>43465</v>
          </cell>
          <cell r="L5">
            <v>43830</v>
          </cell>
          <cell r="M5">
            <v>44196</v>
          </cell>
          <cell r="N5">
            <v>44561</v>
          </cell>
        </row>
        <row r="47">
          <cell r="F47">
            <v>442.6</v>
          </cell>
          <cell r="G47">
            <v>477</v>
          </cell>
          <cell r="H47">
            <v>496.19665920999978</v>
          </cell>
          <cell r="I47">
            <v>535.5</v>
          </cell>
        </row>
        <row r="54">
          <cell r="F54">
            <v>1257.7</v>
          </cell>
          <cell r="G54">
            <v>1088.1000000000001</v>
          </cell>
          <cell r="H54">
            <v>1746.2827122100011</v>
          </cell>
          <cell r="I54">
            <v>1249.8</v>
          </cell>
        </row>
        <row r="78">
          <cell r="F78">
            <v>484.79999999999995</v>
          </cell>
          <cell r="G78">
            <v>510</v>
          </cell>
          <cell r="H78">
            <v>848.9447878000002</v>
          </cell>
          <cell r="I78">
            <v>541.1</v>
          </cell>
        </row>
        <row r="124">
          <cell r="I124">
            <v>1180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0571E59-B7D5-4B43-A945-F8F9E9C0D26D}">
  <we:reference id="wa200009404" version="1.0.0.5" store="en-US" storeType="omex"/>
  <we:alternateReferences>
    <we:reference id="wa200009404" version="1.0.0.5" store="en-US"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DB49E-85F7-6943-8D67-EA236B25D150}">
  <sheetPr>
    <tabColor rgb="FFD20928"/>
  </sheetPr>
  <dimension ref="A1:P32"/>
  <sheetViews>
    <sheetView showGridLines="0" zoomScale="120" zoomScaleNormal="120" workbookViewId="0">
      <selection activeCell="C15" sqref="C15"/>
    </sheetView>
  </sheetViews>
  <sheetFormatPr baseColWidth="10" defaultColWidth="0" defaultRowHeight="11.25" customHeight="1" zeroHeight="1" x14ac:dyDescent="0.15"/>
  <cols>
    <col min="1" max="14" width="6.1640625" style="23" customWidth="1"/>
    <col min="15" max="16" width="6.1640625" style="23" hidden="1" customWidth="1"/>
    <col min="17" max="16384" width="6.1640625" style="23" hidden="1"/>
  </cols>
  <sheetData>
    <row r="1" spans="1:16" ht="11" x14ac:dyDescent="0.15">
      <c r="A1" s="21"/>
      <c r="B1" s="21"/>
      <c r="C1" s="21"/>
      <c r="D1" s="21"/>
      <c r="E1" s="21"/>
      <c r="F1" s="21"/>
      <c r="G1" s="21"/>
      <c r="H1" s="21"/>
      <c r="I1" s="21"/>
      <c r="J1" s="21"/>
      <c r="K1" s="21"/>
      <c r="L1" s="21"/>
      <c r="M1" s="21"/>
      <c r="N1" s="21"/>
      <c r="O1" s="22"/>
      <c r="P1" s="22"/>
    </row>
    <row r="2" spans="1:16" ht="11" x14ac:dyDescent="0.15">
      <c r="A2" s="21"/>
      <c r="B2" s="21"/>
      <c r="C2" s="21"/>
      <c r="D2" s="21"/>
      <c r="E2" s="21"/>
      <c r="F2" s="21"/>
      <c r="G2" s="21"/>
      <c r="H2" s="21"/>
      <c r="I2" s="21"/>
      <c r="J2" s="21"/>
      <c r="K2" s="21"/>
      <c r="L2" s="21"/>
      <c r="M2" s="21"/>
      <c r="N2" s="21"/>
      <c r="O2" s="22"/>
      <c r="P2" s="22"/>
    </row>
    <row r="3" spans="1:16" ht="11" x14ac:dyDescent="0.15">
      <c r="A3" s="21"/>
      <c r="B3" s="21"/>
      <c r="C3" s="21"/>
      <c r="D3" s="21"/>
      <c r="E3" s="21"/>
      <c r="F3" s="21"/>
      <c r="G3" s="21"/>
      <c r="H3" s="21"/>
      <c r="I3" s="21"/>
      <c r="J3" s="21"/>
      <c r="K3" s="21"/>
      <c r="L3" s="21"/>
      <c r="M3" s="21"/>
      <c r="N3" s="21"/>
      <c r="O3" s="22"/>
      <c r="P3" s="22"/>
    </row>
    <row r="4" spans="1:16" ht="11" x14ac:dyDescent="0.15">
      <c r="A4" s="21"/>
      <c r="B4" s="21"/>
      <c r="C4" s="21"/>
      <c r="D4" s="21"/>
      <c r="E4" s="21"/>
      <c r="F4" s="21"/>
      <c r="G4" s="21"/>
      <c r="H4" s="21"/>
      <c r="I4" s="21"/>
      <c r="J4" s="21"/>
      <c r="K4" s="21"/>
      <c r="L4" s="21"/>
      <c r="M4" s="21"/>
      <c r="N4" s="21"/>
      <c r="O4" s="22"/>
      <c r="P4" s="22"/>
    </row>
    <row r="5" spans="1:16" ht="11" x14ac:dyDescent="0.15">
      <c r="A5" s="21"/>
      <c r="B5" s="21"/>
      <c r="C5" s="21"/>
      <c r="D5" s="21"/>
      <c r="E5" s="21"/>
      <c r="F5" s="21"/>
      <c r="G5" s="21"/>
      <c r="H5" s="21"/>
      <c r="I5" s="21"/>
      <c r="J5" s="21"/>
      <c r="K5" s="21"/>
      <c r="L5" s="21"/>
      <c r="M5" s="21"/>
      <c r="N5" s="21"/>
      <c r="O5" s="22"/>
      <c r="P5" s="22"/>
    </row>
    <row r="6" spans="1:16" ht="11" x14ac:dyDescent="0.15"/>
    <row r="7" spans="1:16" ht="11" x14ac:dyDescent="0.15"/>
    <row r="8" spans="1:16" ht="11" x14ac:dyDescent="0.15">
      <c r="I8" s="24"/>
    </row>
    <row r="9" spans="1:16" ht="11" x14ac:dyDescent="0.15"/>
    <row r="10" spans="1:16" ht="11" x14ac:dyDescent="0.15"/>
    <row r="11" spans="1:16" ht="11" x14ac:dyDescent="0.15"/>
    <row r="12" spans="1:16" ht="11" x14ac:dyDescent="0.15"/>
    <row r="13" spans="1:16" ht="11" x14ac:dyDescent="0.15"/>
    <row r="14" spans="1:16" ht="11" x14ac:dyDescent="0.15"/>
    <row r="15" spans="1:16" ht="28" x14ac:dyDescent="0.3">
      <c r="C15" s="25" t="s">
        <v>0</v>
      </c>
    </row>
    <row r="16" spans="1:16" ht="28" x14ac:dyDescent="0.3">
      <c r="C16" s="26" t="s">
        <v>1</v>
      </c>
    </row>
    <row r="17" spans="3:3" ht="11" x14ac:dyDescent="0.15"/>
    <row r="18" spans="3:3" ht="11" x14ac:dyDescent="0.15"/>
    <row r="19" spans="3:3" ht="11" x14ac:dyDescent="0.15"/>
    <row r="20" spans="3:3" ht="11" x14ac:dyDescent="0.15"/>
    <row r="21" spans="3:3" ht="11" x14ac:dyDescent="0.15"/>
    <row r="22" spans="3:3" ht="11" x14ac:dyDescent="0.15">
      <c r="C22" s="27"/>
    </row>
    <row r="23" spans="3:3" ht="11" x14ac:dyDescent="0.15">
      <c r="C23" s="28"/>
    </row>
    <row r="24" spans="3:3" ht="5" customHeight="1" x14ac:dyDescent="0.15"/>
    <row r="25" spans="3:3" ht="11" x14ac:dyDescent="0.15"/>
    <row r="26" spans="3:3" ht="11" x14ac:dyDescent="0.15"/>
    <row r="27" spans="3:3" ht="11" x14ac:dyDescent="0.15"/>
    <row r="28" spans="3:3" ht="11" x14ac:dyDescent="0.15"/>
    <row r="29" spans="3:3" ht="11" x14ac:dyDescent="0.15"/>
    <row r="30" spans="3:3" ht="11" x14ac:dyDescent="0.15">
      <c r="C30" s="29"/>
    </row>
    <row r="31" spans="3:3" ht="11" x14ac:dyDescent="0.15"/>
    <row r="32" spans="3:3" ht="11.25" customHeight="1" x14ac:dyDescent="0.15"/>
  </sheetData>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4478B-D9A4-964B-910E-D0FBA5E8F229}">
  <sheetPr>
    <tabColor rgb="FFD20928"/>
  </sheetPr>
  <dimension ref="A1:P34"/>
  <sheetViews>
    <sheetView showGridLines="0" tabSelected="1" zoomScaleNormal="100" workbookViewId="0">
      <selection activeCell="H18" sqref="H18"/>
    </sheetView>
  </sheetViews>
  <sheetFormatPr baseColWidth="10" defaultColWidth="0" defaultRowHeight="11.25" customHeight="1" zeroHeight="1" x14ac:dyDescent="0.15"/>
  <cols>
    <col min="1" max="14" width="6.1640625" style="23" customWidth="1"/>
    <col min="15" max="16" width="6.1640625" style="23" hidden="1" customWidth="1"/>
    <col min="17" max="16384" width="6.1640625" style="23" hidden="1"/>
  </cols>
  <sheetData>
    <row r="1" spans="1:16" ht="11" x14ac:dyDescent="0.15">
      <c r="A1" s="21"/>
      <c r="B1" s="21"/>
      <c r="C1" s="21"/>
      <c r="D1" s="21"/>
      <c r="E1" s="21"/>
      <c r="F1" s="21"/>
      <c r="G1" s="21"/>
      <c r="H1" s="21"/>
      <c r="I1" s="21"/>
      <c r="J1" s="21"/>
      <c r="K1" s="21"/>
      <c r="L1" s="21"/>
      <c r="M1" s="21"/>
      <c r="N1" s="21"/>
      <c r="O1" s="22"/>
      <c r="P1" s="22"/>
    </row>
    <row r="2" spans="1:16" ht="11" x14ac:dyDescent="0.15">
      <c r="A2" s="21"/>
      <c r="B2" s="21"/>
      <c r="C2" s="21"/>
      <c r="D2" s="21"/>
      <c r="E2" s="21"/>
      <c r="F2" s="21"/>
      <c r="G2" s="21"/>
      <c r="H2" s="21"/>
      <c r="I2" s="21"/>
      <c r="J2" s="21"/>
      <c r="K2" s="21"/>
      <c r="L2" s="21"/>
      <c r="M2" s="21"/>
      <c r="N2" s="21"/>
      <c r="O2" s="22"/>
      <c r="P2" s="22"/>
    </row>
    <row r="3" spans="1:16" ht="11" x14ac:dyDescent="0.15">
      <c r="A3" s="21"/>
      <c r="B3" s="21"/>
      <c r="C3" s="21"/>
      <c r="D3" s="21"/>
      <c r="E3" s="21"/>
      <c r="F3" s="21"/>
      <c r="G3" s="21"/>
      <c r="H3" s="21"/>
      <c r="I3" s="21"/>
      <c r="J3" s="21"/>
      <c r="K3" s="21"/>
      <c r="L3" s="21"/>
      <c r="M3" s="21"/>
      <c r="N3" s="21"/>
      <c r="O3" s="22"/>
      <c r="P3" s="22"/>
    </row>
    <row r="4" spans="1:16" ht="11" x14ac:dyDescent="0.15">
      <c r="A4" s="21"/>
      <c r="B4" s="21"/>
      <c r="C4" s="21"/>
      <c r="D4" s="21"/>
      <c r="E4" s="21"/>
      <c r="F4" s="21"/>
      <c r="G4" s="21"/>
      <c r="H4" s="21"/>
      <c r="I4" s="21"/>
      <c r="J4" s="21"/>
      <c r="K4" s="21"/>
      <c r="L4" s="21"/>
      <c r="M4" s="21"/>
      <c r="N4" s="21"/>
      <c r="O4" s="22"/>
      <c r="P4" s="22"/>
    </row>
    <row r="5" spans="1:16" ht="11" x14ac:dyDescent="0.15">
      <c r="A5" s="21"/>
      <c r="B5" s="21"/>
      <c r="C5" s="21"/>
      <c r="D5" s="21"/>
      <c r="E5" s="21"/>
      <c r="F5" s="21"/>
      <c r="G5" s="21"/>
      <c r="H5" s="21"/>
      <c r="I5" s="21"/>
      <c r="J5" s="21"/>
      <c r="K5" s="21"/>
      <c r="L5" s="21"/>
      <c r="M5" s="21"/>
      <c r="N5" s="21"/>
      <c r="O5" s="22"/>
      <c r="P5" s="22"/>
    </row>
    <row r="6" spans="1:16" ht="11" x14ac:dyDescent="0.15"/>
    <row r="7" spans="1:16" ht="11" x14ac:dyDescent="0.15"/>
    <row r="8" spans="1:16" ht="11" x14ac:dyDescent="0.15"/>
    <row r="9" spans="1:16" ht="11" x14ac:dyDescent="0.15"/>
    <row r="10" spans="1:16" ht="11" x14ac:dyDescent="0.15"/>
    <row r="11" spans="1:16" ht="11" x14ac:dyDescent="0.15"/>
    <row r="12" spans="1:16" ht="23" x14ac:dyDescent="0.25">
      <c r="C12" s="30"/>
      <c r="D12" s="31"/>
      <c r="E12" s="30"/>
      <c r="F12" s="32"/>
    </row>
    <row r="13" spans="1:16" ht="23" x14ac:dyDescent="0.25">
      <c r="D13" s="31"/>
      <c r="E13" s="31"/>
      <c r="F13" s="32"/>
    </row>
    <row r="14" spans="1:16" ht="11" x14ac:dyDescent="0.15"/>
    <row r="15" spans="1:16" ht="11" x14ac:dyDescent="0.15"/>
    <row r="16" spans="1:16" ht="28" x14ac:dyDescent="0.3">
      <c r="C16" s="25" t="s">
        <v>2</v>
      </c>
    </row>
    <row r="17" spans="3:3" ht="28" x14ac:dyDescent="0.3">
      <c r="C17" s="26" t="s">
        <v>3</v>
      </c>
    </row>
    <row r="18" spans="3:3" ht="28" x14ac:dyDescent="0.3">
      <c r="C18" s="33"/>
    </row>
    <row r="19" spans="3:3" ht="11" x14ac:dyDescent="0.15"/>
    <row r="20" spans="3:3" ht="11" x14ac:dyDescent="0.15"/>
    <row r="21" spans="3:3" ht="11" x14ac:dyDescent="0.15"/>
    <row r="22" spans="3:3" ht="11" x14ac:dyDescent="0.15"/>
    <row r="23" spans="3:3" ht="11" x14ac:dyDescent="0.15"/>
    <row r="24" spans="3:3" ht="11" x14ac:dyDescent="0.15"/>
    <row r="25" spans="3:3" ht="11" x14ac:dyDescent="0.15"/>
    <row r="26" spans="3:3" ht="11" x14ac:dyDescent="0.15"/>
    <row r="27" spans="3:3" ht="11" x14ac:dyDescent="0.15"/>
    <row r="28" spans="3:3" ht="11" x14ac:dyDescent="0.15"/>
    <row r="29" spans="3:3" ht="11" x14ac:dyDescent="0.15"/>
    <row r="30" spans="3:3" ht="11" hidden="1" x14ac:dyDescent="0.15"/>
    <row r="31" spans="3:3" ht="11" hidden="1" x14ac:dyDescent="0.15"/>
    <row r="32" spans="3:3" ht="11" hidden="1" x14ac:dyDescent="0.15"/>
    <row r="33" ht="11" hidden="1" x14ac:dyDescent="0.15"/>
    <row r="34" ht="11" hidden="1" x14ac:dyDescent="0.15"/>
  </sheetData>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93"/>
  <sheetViews>
    <sheetView topLeftCell="B229" zoomScale="91" workbookViewId="0">
      <selection activeCell="F277" sqref="F277"/>
    </sheetView>
  </sheetViews>
  <sheetFormatPr baseColWidth="10" defaultColWidth="8.6640625" defaultRowHeight="15" outlineLevelRow="1" x14ac:dyDescent="0.2"/>
  <cols>
    <col min="1" max="1" width="85.6640625" customWidth="1"/>
    <col min="2" max="11" width="15.6640625" customWidth="1"/>
  </cols>
  <sheetData>
    <row r="1" spans="1:11" ht="15" customHeight="1" thickBot="1" x14ac:dyDescent="0.25">
      <c r="A1" s="1" t="s">
        <v>4</v>
      </c>
      <c r="B1" s="2"/>
      <c r="C1" s="2"/>
      <c r="D1" s="2"/>
      <c r="E1" s="2"/>
      <c r="F1" s="2"/>
      <c r="G1" s="2"/>
      <c r="H1" s="2"/>
      <c r="I1" s="2"/>
      <c r="J1" s="2"/>
      <c r="K1" s="2"/>
    </row>
    <row r="2" spans="1:11" ht="15" customHeight="1" thickTop="1" x14ac:dyDescent="0.2">
      <c r="A2" s="3" t="s">
        <v>5</v>
      </c>
      <c r="K2" s="4" t="s">
        <v>6</v>
      </c>
    </row>
    <row r="3" spans="1:11" x14ac:dyDescent="0.2">
      <c r="A3" s="3" t="s">
        <v>7</v>
      </c>
      <c r="K3" s="3" t="s">
        <v>8</v>
      </c>
    </row>
    <row r="4" spans="1:11" x14ac:dyDescent="0.2">
      <c r="A4" s="3" t="s">
        <v>9</v>
      </c>
      <c r="K4" s="3" t="s">
        <v>8</v>
      </c>
    </row>
    <row r="5" spans="1:11" x14ac:dyDescent="0.2">
      <c r="A5" s="3" t="s">
        <v>10</v>
      </c>
      <c r="K5" s="3" t="s">
        <v>11</v>
      </c>
    </row>
    <row r="6" spans="1:11" x14ac:dyDescent="0.2">
      <c r="A6" s="3" t="s">
        <v>12</v>
      </c>
      <c r="K6" s="3" t="s">
        <v>13</v>
      </c>
    </row>
    <row r="7" spans="1:11" x14ac:dyDescent="0.2">
      <c r="A7" s="3" t="s">
        <v>14</v>
      </c>
      <c r="K7" s="3" t="s">
        <v>15</v>
      </c>
    </row>
    <row r="8" spans="1:11" x14ac:dyDescent="0.2">
      <c r="A8" s="3" t="s">
        <v>16</v>
      </c>
      <c r="K8" s="3" t="s">
        <v>17</v>
      </c>
    </row>
    <row r="9" spans="1:11" x14ac:dyDescent="0.2">
      <c r="A9" s="3" t="s">
        <v>18</v>
      </c>
      <c r="K9" s="3" t="s">
        <v>19</v>
      </c>
    </row>
    <row r="10" spans="1:11" x14ac:dyDescent="0.2">
      <c r="A10" s="3" t="s">
        <v>20</v>
      </c>
      <c r="K10" s="5">
        <v>46050.797833657401</v>
      </c>
    </row>
    <row r="11" spans="1:11" x14ac:dyDescent="0.2">
      <c r="A11" s="6" t="s">
        <v>21</v>
      </c>
      <c r="B11" s="409" t="s">
        <v>22</v>
      </c>
      <c r="C11" s="409">
        <v>2016</v>
      </c>
      <c r="D11" s="409" t="s">
        <v>23</v>
      </c>
      <c r="E11" s="409" t="s">
        <v>24</v>
      </c>
      <c r="F11" s="409" t="s">
        <v>25</v>
      </c>
      <c r="G11" s="409" t="s">
        <v>26</v>
      </c>
      <c r="H11" s="409" t="s">
        <v>27</v>
      </c>
      <c r="I11" s="409" t="s">
        <v>28</v>
      </c>
      <c r="J11" s="409" t="s">
        <v>29</v>
      </c>
      <c r="K11" s="409" t="s">
        <v>30</v>
      </c>
    </row>
    <row r="12" spans="1:11" ht="15" customHeight="1" outlineLevel="1" x14ac:dyDescent="0.2">
      <c r="A12" s="7" t="s">
        <v>31</v>
      </c>
      <c r="B12" s="407">
        <v>42369</v>
      </c>
      <c r="C12" s="407">
        <v>42735</v>
      </c>
      <c r="D12" s="407">
        <v>43100</v>
      </c>
      <c r="E12" s="407">
        <v>43465</v>
      </c>
      <c r="F12" s="407">
        <v>43830</v>
      </c>
      <c r="G12" s="407">
        <v>44196</v>
      </c>
      <c r="H12" s="407">
        <v>44561</v>
      </c>
      <c r="I12" s="407">
        <v>44926</v>
      </c>
      <c r="J12" s="407">
        <v>45291</v>
      </c>
      <c r="K12" s="407">
        <v>45657</v>
      </c>
    </row>
    <row r="13" spans="1:11" ht="15" customHeight="1" outlineLevel="1" x14ac:dyDescent="0.2">
      <c r="A13" s="7" t="s">
        <v>32</v>
      </c>
      <c r="B13" s="407">
        <v>42369</v>
      </c>
      <c r="C13" s="407">
        <v>42735</v>
      </c>
      <c r="D13" s="407">
        <v>43100</v>
      </c>
      <c r="E13" s="407">
        <v>43465</v>
      </c>
      <c r="F13" s="407">
        <v>43830</v>
      </c>
      <c r="G13" s="407">
        <v>44196</v>
      </c>
      <c r="H13" s="407">
        <v>44561</v>
      </c>
      <c r="I13" s="407">
        <v>44926</v>
      </c>
      <c r="J13" s="407">
        <v>45291</v>
      </c>
      <c r="K13" s="407">
        <v>45657</v>
      </c>
    </row>
    <row r="14" spans="1:11" ht="15" customHeight="1" outlineLevel="1" x14ac:dyDescent="0.2">
      <c r="A14" s="7" t="s">
        <v>33</v>
      </c>
      <c r="B14" s="408" t="s">
        <v>34</v>
      </c>
      <c r="C14" s="408" t="s">
        <v>34</v>
      </c>
      <c r="D14" s="408" t="s">
        <v>34</v>
      </c>
      <c r="E14" s="408" t="s">
        <v>34</v>
      </c>
      <c r="F14" s="408" t="s">
        <v>34</v>
      </c>
      <c r="G14" s="408" t="s">
        <v>34</v>
      </c>
      <c r="H14" s="408" t="s">
        <v>34</v>
      </c>
      <c r="I14" s="408" t="s">
        <v>34</v>
      </c>
      <c r="J14" s="408" t="s">
        <v>34</v>
      </c>
      <c r="K14" s="408" t="s">
        <v>34</v>
      </c>
    </row>
    <row r="15" spans="1:11" ht="15" customHeight="1" outlineLevel="1" x14ac:dyDescent="0.2">
      <c r="A15" s="7" t="s">
        <v>35</v>
      </c>
      <c r="B15" s="408" t="s">
        <v>36</v>
      </c>
      <c r="C15" s="408" t="s">
        <v>36</v>
      </c>
      <c r="D15" s="408" t="s">
        <v>36</v>
      </c>
      <c r="E15" s="408" t="s">
        <v>36</v>
      </c>
      <c r="F15" s="408" t="s">
        <v>36</v>
      </c>
      <c r="G15" s="408" t="s">
        <v>36</v>
      </c>
      <c r="H15" s="408" t="s">
        <v>36</v>
      </c>
      <c r="I15" s="408" t="s">
        <v>36</v>
      </c>
      <c r="J15" s="408" t="s">
        <v>36</v>
      </c>
      <c r="K15" s="408" t="s">
        <v>36</v>
      </c>
    </row>
    <row r="17" spans="1:11" x14ac:dyDescent="0.2">
      <c r="A17" s="8" t="s">
        <v>37</v>
      </c>
      <c r="B17" s="6"/>
      <c r="C17" s="6"/>
      <c r="D17" s="6"/>
      <c r="E17" s="6"/>
      <c r="F17" s="6"/>
      <c r="G17" s="6"/>
      <c r="H17" s="6"/>
      <c r="I17" s="6"/>
      <c r="J17" s="6"/>
      <c r="K17" s="6"/>
    </row>
    <row r="18" spans="1:11" x14ac:dyDescent="0.2">
      <c r="A18" s="8" t="s">
        <v>38</v>
      </c>
      <c r="B18" s="9" t="s">
        <v>39</v>
      </c>
      <c r="C18" s="9" t="s">
        <v>40</v>
      </c>
      <c r="D18" s="9" t="s">
        <v>41</v>
      </c>
      <c r="E18" s="9" t="s">
        <v>42</v>
      </c>
      <c r="F18" s="9" t="s">
        <v>43</v>
      </c>
      <c r="G18" s="9" t="s">
        <v>44</v>
      </c>
      <c r="H18" s="9" t="s">
        <v>45</v>
      </c>
      <c r="I18" s="9" t="s">
        <v>46</v>
      </c>
      <c r="J18" s="9" t="s">
        <v>47</v>
      </c>
      <c r="K18" s="9" t="s">
        <v>48</v>
      </c>
    </row>
    <row r="19" spans="1:11" ht="15" customHeight="1" x14ac:dyDescent="0.2">
      <c r="A19" s="10" t="s">
        <v>49</v>
      </c>
      <c r="B19" s="11"/>
      <c r="C19" s="11"/>
      <c r="D19" s="11"/>
      <c r="E19" s="11"/>
      <c r="F19" s="11"/>
      <c r="G19" s="11"/>
      <c r="H19" s="11"/>
      <c r="I19" s="11"/>
      <c r="J19" s="11"/>
      <c r="K19" s="11"/>
    </row>
    <row r="20" spans="1:11" ht="15" customHeight="1" x14ac:dyDescent="0.2">
      <c r="A20" s="12" t="s">
        <v>50</v>
      </c>
      <c r="B20" s="400">
        <v>499.18</v>
      </c>
      <c r="C20" s="400">
        <v>569.30999999999995</v>
      </c>
      <c r="D20" s="400">
        <v>637.49</v>
      </c>
      <c r="E20" s="400">
        <v>669.2</v>
      </c>
      <c r="F20" s="400">
        <v>706.32</v>
      </c>
      <c r="G20" s="400">
        <v>881.31</v>
      </c>
      <c r="H20" s="400">
        <v>1237.6500000000001</v>
      </c>
      <c r="I20" s="400">
        <v>1361.14</v>
      </c>
      <c r="J20" s="400">
        <v>1148.21</v>
      </c>
      <c r="K20" s="400">
        <v>1185.43</v>
      </c>
    </row>
    <row r="21" spans="1:11" ht="15" customHeight="1" x14ac:dyDescent="0.2">
      <c r="A21" s="13" t="s">
        <v>51</v>
      </c>
      <c r="B21" s="400">
        <v>499.18</v>
      </c>
      <c r="C21" s="400">
        <v>569.30999999999995</v>
      </c>
      <c r="D21" s="400">
        <v>637.49</v>
      </c>
      <c r="E21" s="400">
        <v>669.2</v>
      </c>
      <c r="F21" s="400">
        <v>706.32</v>
      </c>
      <c r="G21" s="400">
        <v>881.31</v>
      </c>
      <c r="H21" s="400">
        <v>1237.6500000000001</v>
      </c>
      <c r="I21" s="400">
        <v>1361.14</v>
      </c>
      <c r="J21" s="400">
        <v>1148.21</v>
      </c>
      <c r="K21" s="400">
        <v>1185.43</v>
      </c>
    </row>
    <row r="22" spans="1:11" ht="15" customHeight="1" x14ac:dyDescent="0.2">
      <c r="A22" s="14" t="s">
        <v>52</v>
      </c>
      <c r="B22" s="401">
        <v>499.18</v>
      </c>
      <c r="C22" s="401">
        <v>569.30999999999995</v>
      </c>
      <c r="D22" s="401">
        <v>637.49</v>
      </c>
      <c r="E22" s="401">
        <v>669.2</v>
      </c>
      <c r="F22" s="401">
        <v>706.32</v>
      </c>
      <c r="G22" s="401">
        <v>881.31</v>
      </c>
      <c r="H22" s="401">
        <v>1237.6500000000001</v>
      </c>
      <c r="I22" s="401">
        <v>1361.14</v>
      </c>
      <c r="J22" s="401">
        <v>1148.21</v>
      </c>
      <c r="K22" s="401">
        <v>1185.43</v>
      </c>
    </row>
    <row r="23" spans="1:11" ht="15" customHeight="1" x14ac:dyDescent="0.2">
      <c r="A23" s="10" t="s">
        <v>53</v>
      </c>
      <c r="B23" s="11"/>
      <c r="C23" s="11"/>
      <c r="D23" s="11"/>
      <c r="E23" s="11"/>
      <c r="F23" s="11"/>
      <c r="G23" s="11"/>
      <c r="H23" s="11"/>
      <c r="I23" s="11"/>
      <c r="J23" s="11"/>
      <c r="K23" s="11"/>
    </row>
    <row r="24" spans="1:11" ht="15" customHeight="1" x14ac:dyDescent="0.2">
      <c r="A24" s="12" t="s">
        <v>54</v>
      </c>
      <c r="B24" s="400">
        <v>157.28</v>
      </c>
      <c r="C24" s="400">
        <v>180.16</v>
      </c>
      <c r="D24" s="400">
        <v>205.59</v>
      </c>
      <c r="E24" s="400">
        <v>213.43</v>
      </c>
      <c r="F24" s="400">
        <v>217.63</v>
      </c>
      <c r="G24" s="400">
        <v>278.39999999999998</v>
      </c>
      <c r="H24" s="400">
        <v>412.88</v>
      </c>
      <c r="I24" s="400">
        <v>460.53</v>
      </c>
      <c r="J24" s="400">
        <v>407.02</v>
      </c>
      <c r="K24" s="400">
        <v>403.73</v>
      </c>
    </row>
    <row r="25" spans="1:11" ht="15" customHeight="1" x14ac:dyDescent="0.2">
      <c r="A25" s="13" t="s">
        <v>55</v>
      </c>
      <c r="B25" s="400">
        <v>157.28</v>
      </c>
      <c r="C25" s="400">
        <v>180.16</v>
      </c>
      <c r="D25" s="400">
        <v>205.59</v>
      </c>
      <c r="E25" s="400">
        <v>213.43</v>
      </c>
      <c r="F25" s="400">
        <v>217.63</v>
      </c>
      <c r="G25" s="400">
        <v>278.39999999999998</v>
      </c>
      <c r="H25" s="400">
        <v>412.88</v>
      </c>
      <c r="I25" s="400">
        <v>460.53</v>
      </c>
      <c r="J25" s="400">
        <v>407.02</v>
      </c>
      <c r="K25" s="400">
        <v>403.73</v>
      </c>
    </row>
    <row r="26" spans="1:11" ht="15" customHeight="1" x14ac:dyDescent="0.2">
      <c r="A26" s="15" t="s">
        <v>56</v>
      </c>
      <c r="B26" s="400">
        <v>139.63</v>
      </c>
      <c r="C26" s="400">
        <v>161.69</v>
      </c>
      <c r="D26" s="400">
        <v>187.82</v>
      </c>
      <c r="E26" s="400">
        <v>196.75</v>
      </c>
      <c r="F26" s="400">
        <v>201.18</v>
      </c>
      <c r="G26" s="400">
        <v>260.56</v>
      </c>
      <c r="H26" s="400">
        <v>393.39</v>
      </c>
      <c r="I26" s="400">
        <v>436.85</v>
      </c>
      <c r="J26" s="400">
        <v>385.54</v>
      </c>
      <c r="K26" s="400">
        <v>383.98</v>
      </c>
    </row>
    <row r="27" spans="1:11" ht="15" customHeight="1" x14ac:dyDescent="0.2">
      <c r="A27" s="15" t="s">
        <v>57</v>
      </c>
      <c r="B27" s="402">
        <v>17.649999999999999</v>
      </c>
      <c r="C27" s="402">
        <v>18.47</v>
      </c>
      <c r="D27" s="402">
        <v>17.77</v>
      </c>
      <c r="E27" s="402">
        <v>16.68</v>
      </c>
      <c r="F27" s="402">
        <v>16.45</v>
      </c>
      <c r="G27" s="402">
        <v>17.84</v>
      </c>
      <c r="H27" s="402">
        <v>19.489999999999998</v>
      </c>
      <c r="I27" s="402">
        <v>23.67</v>
      </c>
      <c r="J27" s="402">
        <v>21.49</v>
      </c>
      <c r="K27" s="402">
        <v>19.75</v>
      </c>
    </row>
    <row r="28" spans="1:11" ht="15" customHeight="1" x14ac:dyDescent="0.2">
      <c r="A28" s="14" t="s">
        <v>58</v>
      </c>
      <c r="B28" s="401">
        <v>341.9</v>
      </c>
      <c r="C28" s="401">
        <v>389.15</v>
      </c>
      <c r="D28" s="401">
        <v>431.9</v>
      </c>
      <c r="E28" s="401">
        <v>455.77</v>
      </c>
      <c r="F28" s="401">
        <v>488.69</v>
      </c>
      <c r="G28" s="401">
        <v>602.91</v>
      </c>
      <c r="H28" s="401">
        <v>824.77</v>
      </c>
      <c r="I28" s="401">
        <v>900.61</v>
      </c>
      <c r="J28" s="401">
        <v>741.19</v>
      </c>
      <c r="K28" s="401">
        <v>781.7</v>
      </c>
    </row>
    <row r="29" spans="1:11" ht="15" customHeight="1" x14ac:dyDescent="0.2">
      <c r="A29" s="12" t="s">
        <v>59</v>
      </c>
      <c r="B29" s="400">
        <v>183.55</v>
      </c>
      <c r="C29" s="400">
        <v>211.97</v>
      </c>
      <c r="D29" s="400">
        <v>233.01</v>
      </c>
      <c r="E29" s="400">
        <v>247.22</v>
      </c>
      <c r="F29" s="400">
        <v>262.37</v>
      </c>
      <c r="G29" s="400">
        <v>269.83</v>
      </c>
      <c r="H29" s="400">
        <v>380.24</v>
      </c>
      <c r="I29" s="400">
        <v>518.4</v>
      </c>
      <c r="J29" s="400">
        <v>505.4</v>
      </c>
      <c r="K29" s="400">
        <v>510.44</v>
      </c>
    </row>
    <row r="30" spans="1:11" ht="15" customHeight="1" x14ac:dyDescent="0.2">
      <c r="A30" s="13" t="s">
        <v>60</v>
      </c>
      <c r="B30" s="400">
        <v>153.54</v>
      </c>
      <c r="C30" s="400">
        <v>169.51</v>
      </c>
      <c r="D30" s="400">
        <v>187.87</v>
      </c>
      <c r="E30" s="400">
        <v>195.49</v>
      </c>
      <c r="F30" s="400">
        <v>205.33</v>
      </c>
      <c r="G30" s="400">
        <v>208.14</v>
      </c>
      <c r="H30" s="400">
        <v>296.24</v>
      </c>
      <c r="I30" s="400">
        <v>406.74</v>
      </c>
      <c r="J30" s="400">
        <v>406.25</v>
      </c>
      <c r="K30" s="400">
        <v>407.62</v>
      </c>
    </row>
    <row r="31" spans="1:11" ht="15" customHeight="1" x14ac:dyDescent="0.2">
      <c r="A31" s="13" t="s">
        <v>61</v>
      </c>
      <c r="B31" s="403"/>
      <c r="C31" s="403"/>
      <c r="D31" s="403"/>
      <c r="E31" s="402">
        <v>4.79</v>
      </c>
      <c r="F31" s="402">
        <v>7.02</v>
      </c>
      <c r="G31" s="402">
        <v>8</v>
      </c>
      <c r="H31" s="402">
        <v>8.3699999999999992</v>
      </c>
      <c r="I31" s="402">
        <v>8.01</v>
      </c>
      <c r="J31" s="402">
        <v>8.16</v>
      </c>
      <c r="K31" s="402">
        <v>8.15</v>
      </c>
    </row>
    <row r="32" spans="1:11" ht="15" customHeight="1" x14ac:dyDescent="0.2">
      <c r="A32" s="13" t="s">
        <v>62</v>
      </c>
      <c r="B32" s="402">
        <v>24.03</v>
      </c>
      <c r="C32" s="402">
        <v>32.42</v>
      </c>
      <c r="D32" s="402">
        <v>37.64</v>
      </c>
      <c r="E32" s="402">
        <v>39.630000000000003</v>
      </c>
      <c r="F32" s="402">
        <v>41.75</v>
      </c>
      <c r="G32" s="402">
        <v>43.12</v>
      </c>
      <c r="H32" s="402">
        <v>57.49</v>
      </c>
      <c r="I32" s="402">
        <v>78.7</v>
      </c>
      <c r="J32" s="402">
        <v>69.09</v>
      </c>
      <c r="K32" s="402">
        <v>72.39</v>
      </c>
    </row>
    <row r="33" spans="1:11" ht="15" customHeight="1" x14ac:dyDescent="0.2">
      <c r="A33" s="13" t="s">
        <v>63</v>
      </c>
      <c r="B33" s="402">
        <v>2.13</v>
      </c>
      <c r="C33" s="402">
        <v>5.29</v>
      </c>
      <c r="D33" s="402">
        <v>5.98</v>
      </c>
      <c r="E33" s="402">
        <v>5.45</v>
      </c>
      <c r="F33" s="402">
        <v>6.2</v>
      </c>
      <c r="G33" s="402">
        <v>7.68</v>
      </c>
      <c r="H33" s="402">
        <v>12.61</v>
      </c>
      <c r="I33" s="402">
        <v>18.2</v>
      </c>
      <c r="J33" s="402">
        <v>21.86</v>
      </c>
      <c r="K33" s="402">
        <v>19.18</v>
      </c>
    </row>
    <row r="34" spans="1:11" ht="15" customHeight="1" x14ac:dyDescent="0.2">
      <c r="A34" s="13" t="s">
        <v>64</v>
      </c>
      <c r="B34" s="402">
        <v>3.85</v>
      </c>
      <c r="C34" s="402">
        <v>4.74</v>
      </c>
      <c r="D34" s="402">
        <v>1.51</v>
      </c>
      <c r="E34" s="402">
        <v>1.86</v>
      </c>
      <c r="F34" s="402">
        <v>2.08</v>
      </c>
      <c r="G34" s="402">
        <v>2.88</v>
      </c>
      <c r="H34" s="402">
        <v>5.54</v>
      </c>
      <c r="I34" s="402">
        <v>6.75</v>
      </c>
      <c r="J34" s="402">
        <v>0.04</v>
      </c>
      <c r="K34" s="402">
        <v>3.1</v>
      </c>
    </row>
    <row r="35" spans="1:11" ht="15" customHeight="1" x14ac:dyDescent="0.2">
      <c r="A35" s="15" t="s">
        <v>65</v>
      </c>
      <c r="B35" s="403"/>
      <c r="C35" s="403"/>
      <c r="D35" s="403"/>
      <c r="E35" s="402">
        <v>0.75</v>
      </c>
      <c r="F35" s="402">
        <v>0.94</v>
      </c>
      <c r="G35" s="402">
        <v>0.8</v>
      </c>
      <c r="H35" s="402">
        <v>1.41</v>
      </c>
      <c r="I35" s="402">
        <v>1.37</v>
      </c>
      <c r="J35" s="402">
        <v>1.7</v>
      </c>
      <c r="K35" s="402">
        <v>1.81</v>
      </c>
    </row>
    <row r="36" spans="1:11" ht="15" customHeight="1" x14ac:dyDescent="0.2">
      <c r="A36" s="15" t="s">
        <v>66</v>
      </c>
      <c r="B36" s="402">
        <v>3.85</v>
      </c>
      <c r="C36" s="402">
        <v>4.74</v>
      </c>
      <c r="D36" s="402">
        <v>1.51</v>
      </c>
      <c r="E36" s="402">
        <v>1.1100000000000001</v>
      </c>
      <c r="F36" s="402">
        <v>1.1399999999999999</v>
      </c>
      <c r="G36" s="402">
        <v>2.08</v>
      </c>
      <c r="H36" s="402">
        <v>4.13</v>
      </c>
      <c r="I36" s="402">
        <v>5.38</v>
      </c>
      <c r="J36" s="16">
        <v>-1.66</v>
      </c>
      <c r="K36" s="402">
        <v>1.29</v>
      </c>
    </row>
    <row r="37" spans="1:11" ht="15" customHeight="1" x14ac:dyDescent="0.2">
      <c r="A37" s="12" t="s">
        <v>67</v>
      </c>
      <c r="B37" s="402">
        <v>2.2799999999999998</v>
      </c>
      <c r="C37" s="16">
        <v>-0.75</v>
      </c>
      <c r="D37" s="402">
        <v>1.33</v>
      </c>
      <c r="E37" s="16">
        <v>-1.3</v>
      </c>
      <c r="F37" s="402">
        <v>3.86</v>
      </c>
      <c r="G37" s="402">
        <v>2.97</v>
      </c>
      <c r="H37" s="402">
        <v>3.13</v>
      </c>
      <c r="I37" s="402">
        <v>6.89</v>
      </c>
      <c r="J37" s="16">
        <v>-2.06</v>
      </c>
      <c r="K37" s="402">
        <v>6.22</v>
      </c>
    </row>
    <row r="38" spans="1:11" ht="15" customHeight="1" x14ac:dyDescent="0.2">
      <c r="A38" s="13" t="s">
        <v>68</v>
      </c>
      <c r="B38" s="403"/>
      <c r="C38" s="403"/>
      <c r="D38" s="403"/>
      <c r="E38" s="403"/>
      <c r="F38" s="403"/>
      <c r="G38" s="403">
        <v>0</v>
      </c>
      <c r="H38" s="403"/>
      <c r="I38" s="403"/>
      <c r="J38" s="403"/>
      <c r="K38" s="403">
        <v>0</v>
      </c>
    </row>
    <row r="39" spans="1:11" ht="15" customHeight="1" x14ac:dyDescent="0.2">
      <c r="A39" s="13" t="s">
        <v>69</v>
      </c>
      <c r="B39" s="403"/>
      <c r="C39" s="403"/>
      <c r="D39" s="403"/>
      <c r="E39" s="16">
        <v>-1.3</v>
      </c>
      <c r="F39" s="402">
        <v>3.86</v>
      </c>
      <c r="G39" s="402">
        <v>2.97</v>
      </c>
      <c r="H39" s="402">
        <v>3.13</v>
      </c>
      <c r="I39" s="402">
        <v>6.89</v>
      </c>
      <c r="J39" s="16">
        <v>-2.06</v>
      </c>
      <c r="K39" s="402">
        <v>6.22</v>
      </c>
    </row>
    <row r="40" spans="1:11" ht="15" customHeight="1" x14ac:dyDescent="0.2">
      <c r="A40" s="12" t="s">
        <v>70</v>
      </c>
      <c r="B40" s="400">
        <v>343.11</v>
      </c>
      <c r="C40" s="400">
        <v>391.37</v>
      </c>
      <c r="D40" s="400">
        <v>439.93</v>
      </c>
      <c r="E40" s="400">
        <v>459.35</v>
      </c>
      <c r="F40" s="400">
        <v>483.86</v>
      </c>
      <c r="G40" s="400">
        <v>551.19000000000005</v>
      </c>
      <c r="H40" s="400">
        <v>796.25</v>
      </c>
      <c r="I40" s="400">
        <v>985.82</v>
      </c>
      <c r="J40" s="400">
        <v>910.36</v>
      </c>
      <c r="K40" s="400">
        <v>920.38</v>
      </c>
    </row>
    <row r="41" spans="1:11" ht="15" customHeight="1" x14ac:dyDescent="0.2">
      <c r="A41" s="10" t="s">
        <v>71</v>
      </c>
      <c r="B41" s="11"/>
      <c r="C41" s="11"/>
      <c r="D41" s="11"/>
      <c r="E41" s="11"/>
      <c r="F41" s="11"/>
      <c r="G41" s="11"/>
      <c r="H41" s="11"/>
      <c r="I41" s="11"/>
      <c r="J41" s="11"/>
      <c r="K41" s="11"/>
    </row>
    <row r="42" spans="1:11" ht="15" customHeight="1" x14ac:dyDescent="0.2">
      <c r="A42" s="14" t="s">
        <v>72</v>
      </c>
      <c r="B42" s="401">
        <v>156.07</v>
      </c>
      <c r="C42" s="401">
        <v>177.94</v>
      </c>
      <c r="D42" s="401">
        <v>197.56</v>
      </c>
      <c r="E42" s="401">
        <v>209.85</v>
      </c>
      <c r="F42" s="401">
        <v>222.46</v>
      </c>
      <c r="G42" s="401">
        <v>330.11</v>
      </c>
      <c r="H42" s="401">
        <v>441.4</v>
      </c>
      <c r="I42" s="401">
        <v>375.32</v>
      </c>
      <c r="J42" s="401">
        <v>237.85</v>
      </c>
      <c r="K42" s="401">
        <v>265.05</v>
      </c>
    </row>
    <row r="43" spans="1:11" ht="15" customHeight="1" x14ac:dyDescent="0.2">
      <c r="A43" s="10" t="s">
        <v>73</v>
      </c>
      <c r="B43" s="11"/>
      <c r="C43" s="11"/>
      <c r="D43" s="11"/>
      <c r="E43" s="11"/>
      <c r="F43" s="11"/>
      <c r="G43" s="11"/>
      <c r="H43" s="11"/>
      <c r="I43" s="11"/>
      <c r="J43" s="11"/>
      <c r="K43" s="11"/>
    </row>
    <row r="44" spans="1:11" ht="15" customHeight="1" x14ac:dyDescent="0.2">
      <c r="A44" s="12" t="s">
        <v>74</v>
      </c>
      <c r="B44" s="16">
        <v>-3.43</v>
      </c>
      <c r="C44" s="16">
        <v>-3.76</v>
      </c>
      <c r="D44" s="16">
        <v>-6.42</v>
      </c>
      <c r="E44" s="16">
        <v>-3.63</v>
      </c>
      <c r="F44" s="16">
        <v>-1.45</v>
      </c>
      <c r="G44" s="16">
        <v>-2.85</v>
      </c>
      <c r="H44" s="16">
        <v>-20.16</v>
      </c>
      <c r="I44" s="16">
        <v>-29.36</v>
      </c>
      <c r="J44" s="16">
        <v>-16.48</v>
      </c>
      <c r="K44" s="16">
        <v>-15.88</v>
      </c>
    </row>
    <row r="45" spans="1:11" ht="15" customHeight="1" x14ac:dyDescent="0.2">
      <c r="A45" s="13" t="s">
        <v>75</v>
      </c>
      <c r="B45" s="16">
        <v>-0.59</v>
      </c>
      <c r="C45" s="402">
        <v>1.38</v>
      </c>
      <c r="D45" s="402">
        <v>2.6</v>
      </c>
      <c r="E45" s="402">
        <v>2.4900000000000002</v>
      </c>
      <c r="F45" s="402">
        <v>0.68</v>
      </c>
      <c r="G45" s="402">
        <v>0.94</v>
      </c>
      <c r="H45" s="402">
        <v>21.06</v>
      </c>
      <c r="I45" s="402">
        <v>30.72</v>
      </c>
      <c r="J45" s="402">
        <v>19.59</v>
      </c>
      <c r="K45" s="402">
        <v>19.45</v>
      </c>
    </row>
    <row r="46" spans="1:11" ht="15" customHeight="1" x14ac:dyDescent="0.2">
      <c r="A46" s="15"/>
      <c r="B46" s="402"/>
      <c r="C46" s="402">
        <v>1.07</v>
      </c>
      <c r="D46" s="402">
        <v>1.22</v>
      </c>
      <c r="E46" s="402">
        <v>1.52</v>
      </c>
      <c r="F46" s="402">
        <v>2.83</v>
      </c>
      <c r="G46" s="402">
        <v>2.0099999999999998</v>
      </c>
      <c r="H46" s="402">
        <v>0.28000000000000003</v>
      </c>
      <c r="I46" s="402">
        <v>3.35</v>
      </c>
      <c r="J46" s="402">
        <v>8.6999999999999993</v>
      </c>
      <c r="K46" s="402">
        <v>6.95</v>
      </c>
    </row>
    <row r="47" spans="1:11" ht="15" customHeight="1" x14ac:dyDescent="0.2">
      <c r="A47" s="15"/>
      <c r="B47" s="402"/>
      <c r="C47" s="402">
        <v>2.4500000000000002</v>
      </c>
      <c r="D47" s="402">
        <v>3.82</v>
      </c>
      <c r="E47" s="402">
        <v>4</v>
      </c>
      <c r="F47" s="402">
        <v>3.52</v>
      </c>
      <c r="G47" s="402">
        <v>2.94</v>
      </c>
      <c r="H47" s="402">
        <v>21.34</v>
      </c>
      <c r="I47" s="402">
        <v>34.07</v>
      </c>
      <c r="J47" s="402">
        <v>28.29</v>
      </c>
      <c r="K47" s="402">
        <v>26.39</v>
      </c>
    </row>
    <row r="48" spans="1:11" ht="15" customHeight="1" x14ac:dyDescent="0.2">
      <c r="A48" s="13" t="s">
        <v>76</v>
      </c>
      <c r="B48" s="16">
        <v>-4.0199999999999996</v>
      </c>
      <c r="C48" s="16">
        <v>-2.38</v>
      </c>
      <c r="D48" s="16">
        <v>-3.83</v>
      </c>
      <c r="E48" s="16">
        <v>-1.1399999999999999</v>
      </c>
      <c r="F48" s="16">
        <v>-0.76</v>
      </c>
      <c r="G48" s="16">
        <v>-1.91</v>
      </c>
      <c r="H48" s="402">
        <v>0.89</v>
      </c>
      <c r="I48" s="402">
        <v>1.37</v>
      </c>
      <c r="J48" s="402">
        <v>3.11</v>
      </c>
      <c r="K48" s="402">
        <v>3.57</v>
      </c>
    </row>
    <row r="49" spans="1:11" ht="15" customHeight="1" x14ac:dyDescent="0.2">
      <c r="A49" s="15"/>
      <c r="B49" s="16"/>
      <c r="C49" s="16">
        <v>-1.1200000000000001</v>
      </c>
      <c r="D49" s="16">
        <v>-3.04</v>
      </c>
      <c r="E49" s="16">
        <v>-0.28000000000000003</v>
      </c>
      <c r="F49" s="402">
        <v>0.28000000000000003</v>
      </c>
      <c r="G49" s="16">
        <v>-0.99</v>
      </c>
      <c r="H49" s="402">
        <v>2</v>
      </c>
      <c r="I49" s="403"/>
      <c r="J49" s="403"/>
      <c r="K49" s="403"/>
    </row>
    <row r="50" spans="1:11" ht="15" customHeight="1" x14ac:dyDescent="0.2">
      <c r="A50" s="15"/>
      <c r="B50" s="16"/>
      <c r="C50" s="16">
        <v>-1.26</v>
      </c>
      <c r="D50" s="16">
        <v>-0.79</v>
      </c>
      <c r="E50" s="16">
        <v>-0.87</v>
      </c>
      <c r="F50" s="16">
        <v>-1.04</v>
      </c>
      <c r="G50" s="16">
        <v>-0.92</v>
      </c>
      <c r="H50" s="16">
        <v>-1.1100000000000001</v>
      </c>
      <c r="I50" s="402">
        <v>1.37</v>
      </c>
      <c r="J50" s="402">
        <v>3.11</v>
      </c>
      <c r="K50" s="402">
        <v>3.57</v>
      </c>
    </row>
    <row r="51" spans="1:11" ht="15" customHeight="1" x14ac:dyDescent="0.2">
      <c r="A51" s="12" t="s">
        <v>77</v>
      </c>
      <c r="B51" s="16">
        <v>-0.43</v>
      </c>
      <c r="C51" s="16">
        <v>-0.56000000000000005</v>
      </c>
      <c r="D51" s="16">
        <v>-0.4</v>
      </c>
      <c r="E51" s="16">
        <v>-0.14000000000000001</v>
      </c>
      <c r="F51" s="16">
        <v>-0.11</v>
      </c>
      <c r="G51" s="403">
        <v>0</v>
      </c>
      <c r="H51" s="403"/>
      <c r="I51" s="403"/>
      <c r="J51" s="403"/>
      <c r="K51" s="403"/>
    </row>
    <row r="52" spans="1:11" ht="15" customHeight="1" x14ac:dyDescent="0.2">
      <c r="A52" s="12" t="s">
        <v>78</v>
      </c>
      <c r="B52" s="400">
        <v>152.21</v>
      </c>
      <c r="C52" s="400">
        <v>173.62</v>
      </c>
      <c r="D52" s="400">
        <v>190.73</v>
      </c>
      <c r="E52" s="400">
        <v>206.07</v>
      </c>
      <c r="F52" s="400">
        <v>220.9</v>
      </c>
      <c r="G52" s="400">
        <v>327.26</v>
      </c>
      <c r="H52" s="400">
        <v>421.24</v>
      </c>
      <c r="I52" s="400">
        <v>345.97</v>
      </c>
      <c r="J52" s="400">
        <v>221.37</v>
      </c>
      <c r="K52" s="400">
        <v>249.17</v>
      </c>
    </row>
    <row r="53" spans="1:11" ht="15" customHeight="1" x14ac:dyDescent="0.2">
      <c r="A53" s="10" t="s">
        <v>79</v>
      </c>
      <c r="B53" s="11"/>
      <c r="C53" s="11"/>
      <c r="D53" s="11"/>
      <c r="E53" s="11"/>
      <c r="F53" s="11"/>
      <c r="G53" s="11"/>
      <c r="H53" s="11"/>
      <c r="I53" s="11"/>
      <c r="J53" s="11"/>
      <c r="K53" s="11"/>
    </row>
    <row r="54" spans="1:11" ht="15" customHeight="1" x14ac:dyDescent="0.2">
      <c r="A54" s="12" t="s">
        <v>80</v>
      </c>
      <c r="B54" s="16">
        <v>-2.11</v>
      </c>
      <c r="C54" s="16">
        <v>-5.43</v>
      </c>
      <c r="D54" s="16">
        <v>-12.02</v>
      </c>
      <c r="E54" s="16">
        <v>-1.71</v>
      </c>
      <c r="F54" s="16">
        <v>-4.6100000000000003</v>
      </c>
      <c r="G54" s="16">
        <v>-5.88</v>
      </c>
      <c r="H54" s="16">
        <v>-21.9</v>
      </c>
      <c r="I54" s="16">
        <v>-20.02</v>
      </c>
      <c r="J54" s="16">
        <v>-20.149999999999999</v>
      </c>
      <c r="K54" s="16">
        <v>-6.72</v>
      </c>
    </row>
    <row r="55" spans="1:11" ht="15" customHeight="1" x14ac:dyDescent="0.2">
      <c r="A55" s="13" t="s">
        <v>81</v>
      </c>
      <c r="B55" s="403"/>
      <c r="C55" s="403"/>
      <c r="D55" s="403"/>
      <c r="E55" s="403"/>
      <c r="F55" s="403"/>
      <c r="G55" s="402">
        <v>2.2200000000000002</v>
      </c>
      <c r="H55" s="403">
        <v>0</v>
      </c>
      <c r="I55" s="402">
        <v>9.0399999999999991</v>
      </c>
      <c r="J55" s="402">
        <v>4.4000000000000004</v>
      </c>
      <c r="K55" s="403">
        <v>0</v>
      </c>
    </row>
    <row r="56" spans="1:11" ht="15" customHeight="1" x14ac:dyDescent="0.2">
      <c r="A56" s="15" t="s">
        <v>82</v>
      </c>
      <c r="B56" s="403"/>
      <c r="C56" s="403"/>
      <c r="D56" s="403"/>
      <c r="E56" s="403"/>
      <c r="F56" s="403"/>
      <c r="G56" s="402">
        <v>2.2200000000000002</v>
      </c>
      <c r="H56" s="403">
        <v>0</v>
      </c>
      <c r="I56" s="402">
        <v>9.0399999999999991</v>
      </c>
      <c r="J56" s="402">
        <v>4.4000000000000004</v>
      </c>
      <c r="K56" s="403">
        <v>0</v>
      </c>
    </row>
    <row r="57" spans="1:11" ht="15" customHeight="1" x14ac:dyDescent="0.2">
      <c r="A57" s="13" t="s">
        <v>83</v>
      </c>
      <c r="B57" s="403"/>
      <c r="C57" s="403"/>
      <c r="D57" s="403"/>
      <c r="E57" s="403"/>
      <c r="F57" s="403"/>
      <c r="G57" s="403"/>
      <c r="H57" s="403"/>
      <c r="I57" s="402">
        <v>4.04</v>
      </c>
      <c r="J57" s="402">
        <v>1.44</v>
      </c>
      <c r="K57" s="403"/>
    </row>
    <row r="58" spans="1:11" ht="15" customHeight="1" x14ac:dyDescent="0.2">
      <c r="A58" s="13" t="s">
        <v>84</v>
      </c>
      <c r="B58" s="403"/>
      <c r="C58" s="403"/>
      <c r="D58" s="403"/>
      <c r="E58" s="402">
        <v>2.4300000000000002</v>
      </c>
      <c r="F58" s="403">
        <v>0</v>
      </c>
      <c r="G58" s="403"/>
      <c r="H58" s="403"/>
      <c r="I58" s="403"/>
      <c r="J58" s="403"/>
      <c r="K58" s="403"/>
    </row>
    <row r="59" spans="1:11" ht="15" customHeight="1" x14ac:dyDescent="0.2">
      <c r="A59" s="13" t="s">
        <v>85</v>
      </c>
      <c r="B59" s="403"/>
      <c r="C59" s="403"/>
      <c r="D59" s="403"/>
      <c r="E59" s="403"/>
      <c r="F59" s="403"/>
      <c r="G59" s="403"/>
      <c r="H59" s="403"/>
      <c r="I59" s="403"/>
      <c r="J59" s="16">
        <v>-8.34</v>
      </c>
      <c r="K59" s="403"/>
    </row>
    <row r="60" spans="1:11" ht="15" customHeight="1" x14ac:dyDescent="0.2">
      <c r="A60" s="13" t="s">
        <v>86</v>
      </c>
      <c r="B60" s="403"/>
      <c r="C60" s="403"/>
      <c r="D60" s="403"/>
      <c r="E60" s="16">
        <v>-4.1399999999999997</v>
      </c>
      <c r="F60" s="16">
        <v>-4.6100000000000003</v>
      </c>
      <c r="G60" s="16">
        <v>-3.66</v>
      </c>
      <c r="H60" s="16">
        <v>-21.9</v>
      </c>
      <c r="I60" s="16">
        <v>-15.02</v>
      </c>
      <c r="J60" s="16">
        <v>-8.85</v>
      </c>
      <c r="K60" s="16">
        <v>-6.72</v>
      </c>
    </row>
    <row r="61" spans="1:11" ht="15" customHeight="1" x14ac:dyDescent="0.2">
      <c r="A61" s="10" t="s">
        <v>87</v>
      </c>
      <c r="B61" s="11"/>
      <c r="C61" s="11"/>
      <c r="D61" s="11"/>
      <c r="E61" s="11"/>
      <c r="F61" s="11"/>
      <c r="G61" s="11"/>
      <c r="H61" s="11"/>
      <c r="I61" s="11"/>
      <c r="J61" s="11"/>
      <c r="K61" s="11"/>
    </row>
    <row r="62" spans="1:11" ht="15" customHeight="1" x14ac:dyDescent="0.2">
      <c r="A62" s="14" t="s">
        <v>88</v>
      </c>
      <c r="B62" s="401">
        <v>150.1</v>
      </c>
      <c r="C62" s="401">
        <v>168.2</v>
      </c>
      <c r="D62" s="401">
        <v>178.71</v>
      </c>
      <c r="E62" s="401">
        <v>204.37</v>
      </c>
      <c r="F62" s="401">
        <v>216.29</v>
      </c>
      <c r="G62" s="401">
        <v>321.37</v>
      </c>
      <c r="H62" s="401">
        <v>399.34</v>
      </c>
      <c r="I62" s="401">
        <v>325.94</v>
      </c>
      <c r="J62" s="401">
        <v>201.22</v>
      </c>
      <c r="K62" s="401">
        <v>242.45</v>
      </c>
    </row>
    <row r="63" spans="1:11" ht="15" customHeight="1" x14ac:dyDescent="0.2">
      <c r="A63" s="10" t="s">
        <v>89</v>
      </c>
      <c r="B63" s="11"/>
      <c r="C63" s="11"/>
      <c r="D63" s="11"/>
      <c r="E63" s="11"/>
      <c r="F63" s="11"/>
      <c r="G63" s="11"/>
      <c r="H63" s="11"/>
      <c r="I63" s="11"/>
      <c r="J63" s="11"/>
      <c r="K63" s="11"/>
    </row>
    <row r="64" spans="1:11" ht="15" customHeight="1" x14ac:dyDescent="0.2">
      <c r="A64" s="12" t="s">
        <v>90</v>
      </c>
      <c r="B64" s="402">
        <v>49.55</v>
      </c>
      <c r="C64" s="402">
        <v>55.58</v>
      </c>
      <c r="D64" s="402">
        <v>38.83</v>
      </c>
      <c r="E64" s="402">
        <v>46.24</v>
      </c>
      <c r="F64" s="402">
        <v>40.549999999999997</v>
      </c>
      <c r="G64" s="402">
        <v>73.08</v>
      </c>
      <c r="H64" s="402">
        <v>88.6</v>
      </c>
      <c r="I64" s="402">
        <v>85.83</v>
      </c>
      <c r="J64" s="402">
        <v>42.71</v>
      </c>
      <c r="K64" s="402">
        <v>55.39</v>
      </c>
    </row>
    <row r="65" spans="1:11" ht="15" customHeight="1" x14ac:dyDescent="0.2">
      <c r="A65" s="13" t="s">
        <v>91</v>
      </c>
      <c r="B65" s="402">
        <v>50.46</v>
      </c>
      <c r="C65" s="402">
        <v>57.56</v>
      </c>
      <c r="D65" s="402">
        <v>37.58</v>
      </c>
      <c r="E65" s="402">
        <v>41.77</v>
      </c>
      <c r="F65" s="402">
        <v>41.36</v>
      </c>
      <c r="G65" s="402">
        <v>71.790000000000006</v>
      </c>
      <c r="H65" s="402">
        <v>92.75</v>
      </c>
      <c r="I65" s="402">
        <v>65.89</v>
      </c>
      <c r="J65" s="402">
        <v>57.89</v>
      </c>
      <c r="K65" s="402">
        <v>64.69</v>
      </c>
    </row>
    <row r="66" spans="1:11" ht="15" customHeight="1" x14ac:dyDescent="0.2">
      <c r="A66" s="13" t="s">
        <v>92</v>
      </c>
      <c r="B66" s="16">
        <v>-0.91</v>
      </c>
      <c r="C66" s="16">
        <v>-1.98</v>
      </c>
      <c r="D66" s="402">
        <v>1.25</v>
      </c>
      <c r="E66" s="402">
        <v>3.2</v>
      </c>
      <c r="F66" s="16">
        <v>-8.3000000000000007</v>
      </c>
      <c r="G66" s="402">
        <v>1.72</v>
      </c>
      <c r="H66" s="16">
        <v>-1.6</v>
      </c>
      <c r="I66" s="402">
        <v>22.99</v>
      </c>
      <c r="J66" s="16">
        <v>-12.99</v>
      </c>
      <c r="K66" s="16">
        <v>-7.94</v>
      </c>
    </row>
    <row r="67" spans="1:11" ht="15" customHeight="1" x14ac:dyDescent="0.2">
      <c r="A67" s="13" t="s">
        <v>93</v>
      </c>
      <c r="B67" s="403"/>
      <c r="C67" s="403"/>
      <c r="D67" s="403"/>
      <c r="E67" s="402">
        <v>1.26</v>
      </c>
      <c r="F67" s="402">
        <v>7.5</v>
      </c>
      <c r="G67" s="16">
        <v>-0.44</v>
      </c>
      <c r="H67" s="16">
        <v>-2.5499999999999998</v>
      </c>
      <c r="I67" s="16">
        <v>-3.05</v>
      </c>
      <c r="J67" s="16">
        <v>-2.19</v>
      </c>
      <c r="K67" s="16">
        <v>-1.36</v>
      </c>
    </row>
    <row r="68" spans="1:11" ht="15" customHeight="1" x14ac:dyDescent="0.2">
      <c r="A68" s="10" t="s">
        <v>94</v>
      </c>
      <c r="B68" s="11"/>
      <c r="C68" s="11"/>
      <c r="D68" s="11"/>
      <c r="E68" s="11"/>
      <c r="F68" s="11"/>
      <c r="G68" s="11"/>
      <c r="H68" s="11"/>
      <c r="I68" s="11"/>
      <c r="J68" s="11"/>
      <c r="K68" s="11"/>
    </row>
    <row r="69" spans="1:11" ht="15" customHeight="1" x14ac:dyDescent="0.2">
      <c r="A69" s="12" t="s">
        <v>95</v>
      </c>
      <c r="B69" s="400">
        <v>100.55</v>
      </c>
      <c r="C69" s="400">
        <v>112.62</v>
      </c>
      <c r="D69" s="400">
        <v>139.88</v>
      </c>
      <c r="E69" s="400">
        <v>158.13</v>
      </c>
      <c r="F69" s="400">
        <v>175.74</v>
      </c>
      <c r="G69" s="400">
        <v>248.3</v>
      </c>
      <c r="H69" s="400">
        <v>310.73</v>
      </c>
      <c r="I69" s="400">
        <v>240.11</v>
      </c>
      <c r="J69" s="400">
        <v>158.51</v>
      </c>
      <c r="K69" s="400">
        <v>187.06</v>
      </c>
    </row>
    <row r="70" spans="1:11" ht="15" customHeight="1" x14ac:dyDescent="0.2">
      <c r="A70" s="10" t="s">
        <v>96</v>
      </c>
      <c r="B70" s="11"/>
      <c r="C70" s="11"/>
      <c r="D70" s="11"/>
      <c r="E70" s="11"/>
      <c r="F70" s="11"/>
      <c r="G70" s="11"/>
      <c r="H70" s="11"/>
      <c r="I70" s="11"/>
      <c r="J70" s="11"/>
      <c r="K70" s="11"/>
    </row>
    <row r="71" spans="1:11" ht="15" customHeight="1" x14ac:dyDescent="0.2">
      <c r="A71" s="14" t="s">
        <v>97</v>
      </c>
      <c r="B71" s="401">
        <v>100.55</v>
      </c>
      <c r="C71" s="401">
        <v>112.62</v>
      </c>
      <c r="D71" s="401">
        <v>139.88</v>
      </c>
      <c r="E71" s="401">
        <v>158.13</v>
      </c>
      <c r="F71" s="401">
        <v>175.74</v>
      </c>
      <c r="G71" s="401">
        <v>248.3</v>
      </c>
      <c r="H71" s="401">
        <v>310.73</v>
      </c>
      <c r="I71" s="401">
        <v>240.11</v>
      </c>
      <c r="J71" s="401">
        <v>158.51</v>
      </c>
      <c r="K71" s="401">
        <v>187.06</v>
      </c>
    </row>
    <row r="72" spans="1:11" ht="15" customHeight="1" x14ac:dyDescent="0.2">
      <c r="A72" s="12" t="s">
        <v>98</v>
      </c>
      <c r="B72" s="400">
        <v>100.55</v>
      </c>
      <c r="C72" s="400">
        <v>112.62</v>
      </c>
      <c r="D72" s="400">
        <v>139.88</v>
      </c>
      <c r="E72" s="400">
        <v>158.13</v>
      </c>
      <c r="F72" s="400">
        <v>175.74</v>
      </c>
      <c r="G72" s="400">
        <v>248.3</v>
      </c>
      <c r="H72" s="400">
        <v>310.73</v>
      </c>
      <c r="I72" s="400">
        <v>240.11</v>
      </c>
      <c r="J72" s="400">
        <v>158.51</v>
      </c>
      <c r="K72" s="400">
        <v>187.06</v>
      </c>
    </row>
    <row r="73" spans="1:11" ht="15" customHeight="1" x14ac:dyDescent="0.2">
      <c r="A73" s="12" t="s">
        <v>99</v>
      </c>
      <c r="B73" s="402">
        <v>0.13</v>
      </c>
      <c r="C73" s="402">
        <v>0.24</v>
      </c>
      <c r="D73" s="403">
        <v>0</v>
      </c>
      <c r="E73" s="403">
        <v>0</v>
      </c>
      <c r="F73" s="403">
        <v>0</v>
      </c>
      <c r="G73" s="402">
        <v>0.43</v>
      </c>
      <c r="H73" s="16">
        <v>-0.24</v>
      </c>
      <c r="I73" s="16">
        <v>-0.8</v>
      </c>
      <c r="J73" s="16">
        <v>-1.34</v>
      </c>
      <c r="K73" s="16">
        <v>-1.05</v>
      </c>
    </row>
    <row r="74" spans="1:11" ht="15" customHeight="1" x14ac:dyDescent="0.2">
      <c r="A74" s="12" t="s">
        <v>100</v>
      </c>
      <c r="B74" s="400">
        <v>100.42</v>
      </c>
      <c r="C74" s="400">
        <v>112.38</v>
      </c>
      <c r="D74" s="400">
        <v>139.88</v>
      </c>
      <c r="E74" s="400">
        <v>158.13</v>
      </c>
      <c r="F74" s="400">
        <v>175.74</v>
      </c>
      <c r="G74" s="400">
        <v>247.87</v>
      </c>
      <c r="H74" s="400">
        <v>310.97000000000003</v>
      </c>
      <c r="I74" s="400">
        <v>240.91</v>
      </c>
      <c r="J74" s="400">
        <v>159.85</v>
      </c>
      <c r="K74" s="400">
        <v>188.11</v>
      </c>
    </row>
    <row r="75" spans="1:11" ht="15" customHeight="1" x14ac:dyDescent="0.2">
      <c r="A75" s="10" t="s">
        <v>101</v>
      </c>
      <c r="B75" s="11"/>
      <c r="C75" s="11"/>
      <c r="D75" s="11"/>
      <c r="E75" s="11"/>
      <c r="F75" s="11"/>
      <c r="G75" s="11"/>
      <c r="H75" s="11"/>
      <c r="I75" s="11"/>
      <c r="J75" s="11"/>
      <c r="K75" s="11"/>
    </row>
    <row r="76" spans="1:11" ht="15" customHeight="1" x14ac:dyDescent="0.2">
      <c r="A76" s="14" t="s">
        <v>102</v>
      </c>
      <c r="B76" s="401">
        <v>100.42</v>
      </c>
      <c r="C76" s="401">
        <v>112.38</v>
      </c>
      <c r="D76" s="401">
        <v>139.88</v>
      </c>
      <c r="E76" s="401">
        <v>158.13</v>
      </c>
      <c r="F76" s="401">
        <v>175.74</v>
      </c>
      <c r="G76" s="401">
        <v>247.87</v>
      </c>
      <c r="H76" s="401">
        <v>310.97000000000003</v>
      </c>
      <c r="I76" s="401">
        <v>240.91</v>
      </c>
      <c r="J76" s="401">
        <v>159.85</v>
      </c>
      <c r="K76" s="401">
        <v>188.11</v>
      </c>
    </row>
    <row r="77" spans="1:11" ht="15" customHeight="1" x14ac:dyDescent="0.2">
      <c r="A77" s="10" t="s">
        <v>103</v>
      </c>
      <c r="B77" s="11"/>
      <c r="C77" s="11"/>
      <c r="D77" s="11"/>
      <c r="E77" s="11"/>
      <c r="F77" s="11"/>
      <c r="G77" s="11"/>
      <c r="H77" s="11"/>
      <c r="I77" s="11"/>
      <c r="J77" s="11"/>
      <c r="K77" s="11"/>
    </row>
    <row r="78" spans="1:11" ht="15" customHeight="1" x14ac:dyDescent="0.2">
      <c r="A78" s="12" t="s">
        <v>104</v>
      </c>
      <c r="B78" s="403"/>
      <c r="C78" s="403"/>
      <c r="D78" s="400">
        <v>139.88</v>
      </c>
      <c r="E78" s="400">
        <v>158.13</v>
      </c>
      <c r="F78" s="400">
        <v>175.74</v>
      </c>
      <c r="G78" s="400">
        <v>248.3</v>
      </c>
      <c r="H78" s="400">
        <v>310.73</v>
      </c>
      <c r="I78" s="400">
        <v>240.11</v>
      </c>
      <c r="J78" s="400">
        <v>158.51</v>
      </c>
      <c r="K78" s="400">
        <v>187.06</v>
      </c>
    </row>
    <row r="79" spans="1:11" ht="15" customHeight="1" x14ac:dyDescent="0.2">
      <c r="A79" s="12" t="s">
        <v>105</v>
      </c>
      <c r="B79" s="403"/>
      <c r="C79" s="403"/>
      <c r="D79" s="16">
        <v>-39.9</v>
      </c>
      <c r="E79" s="402">
        <v>12.19</v>
      </c>
      <c r="F79" s="402">
        <v>8.14</v>
      </c>
      <c r="G79" s="16">
        <v>-48.6</v>
      </c>
      <c r="H79" s="402">
        <v>73.19</v>
      </c>
      <c r="I79" s="402">
        <v>74.790000000000006</v>
      </c>
      <c r="J79" s="16">
        <v>-53.49</v>
      </c>
      <c r="K79" s="400">
        <v>100.86</v>
      </c>
    </row>
    <row r="80" spans="1:11" ht="15" customHeight="1" x14ac:dyDescent="0.2">
      <c r="A80" s="12" t="s">
        <v>106</v>
      </c>
      <c r="B80" s="403"/>
      <c r="C80" s="403"/>
      <c r="D80" s="403"/>
      <c r="E80" s="403"/>
      <c r="F80" s="403"/>
      <c r="G80" s="403"/>
      <c r="H80" s="402">
        <v>6.22</v>
      </c>
      <c r="I80" s="402">
        <v>37.35</v>
      </c>
      <c r="J80" s="16">
        <v>-17.55</v>
      </c>
      <c r="K80" s="16">
        <v>-15.28</v>
      </c>
    </row>
    <row r="81" spans="1:11" ht="15" customHeight="1" x14ac:dyDescent="0.2">
      <c r="A81" s="12" t="s">
        <v>107</v>
      </c>
      <c r="B81" s="403"/>
      <c r="C81" s="403"/>
      <c r="D81" s="403"/>
      <c r="E81" s="16">
        <v>-0.06</v>
      </c>
      <c r="F81" s="402">
        <v>0.06</v>
      </c>
      <c r="G81" s="403">
        <v>0</v>
      </c>
      <c r="H81" s="403"/>
      <c r="I81" s="403"/>
      <c r="J81" s="403">
        <v>0</v>
      </c>
      <c r="K81" s="403"/>
    </row>
    <row r="82" spans="1:11" ht="15" customHeight="1" x14ac:dyDescent="0.2">
      <c r="A82" s="12" t="s">
        <v>108</v>
      </c>
      <c r="B82" s="403"/>
      <c r="C82" s="403"/>
      <c r="D82" s="402">
        <v>0.59</v>
      </c>
      <c r="E82" s="402">
        <v>0.02</v>
      </c>
      <c r="F82" s="16">
        <v>-2.65</v>
      </c>
      <c r="G82" s="16">
        <v>-1.49</v>
      </c>
      <c r="H82" s="402">
        <v>1.55</v>
      </c>
      <c r="I82" s="402">
        <v>6.84</v>
      </c>
      <c r="J82" s="16">
        <v>-2.63</v>
      </c>
      <c r="K82" s="402">
        <v>1.1100000000000001</v>
      </c>
    </row>
    <row r="83" spans="1:11" ht="15" customHeight="1" x14ac:dyDescent="0.2">
      <c r="A83" s="12" t="s">
        <v>109</v>
      </c>
      <c r="B83" s="403"/>
      <c r="C83" s="403"/>
      <c r="D83" s="16">
        <v>-39.32</v>
      </c>
      <c r="E83" s="402">
        <v>12.15</v>
      </c>
      <c r="F83" s="402">
        <v>5.55</v>
      </c>
      <c r="G83" s="16">
        <v>-50.09</v>
      </c>
      <c r="H83" s="402">
        <v>80.97</v>
      </c>
      <c r="I83" s="400">
        <v>118.97</v>
      </c>
      <c r="J83" s="16">
        <v>-73.67</v>
      </c>
      <c r="K83" s="402">
        <v>86.68</v>
      </c>
    </row>
    <row r="84" spans="1:11" ht="15" customHeight="1" x14ac:dyDescent="0.2">
      <c r="A84" s="14" t="s">
        <v>110</v>
      </c>
      <c r="B84" s="404"/>
      <c r="C84" s="404"/>
      <c r="D84" s="401">
        <v>100.56</v>
      </c>
      <c r="E84" s="401">
        <v>170.28</v>
      </c>
      <c r="F84" s="401">
        <v>181.28</v>
      </c>
      <c r="G84" s="401">
        <v>198.21</v>
      </c>
      <c r="H84" s="401">
        <v>391.7</v>
      </c>
      <c r="I84" s="401">
        <v>359.08</v>
      </c>
      <c r="J84" s="405">
        <v>84.84</v>
      </c>
      <c r="K84" s="401">
        <v>273.74</v>
      </c>
    </row>
    <row r="85" spans="1:11" ht="15" customHeight="1" x14ac:dyDescent="0.2">
      <c r="A85" s="12" t="s">
        <v>111</v>
      </c>
      <c r="B85" s="403"/>
      <c r="C85" s="403"/>
      <c r="D85" s="16">
        <v>-0.03</v>
      </c>
      <c r="E85" s="403">
        <v>0</v>
      </c>
      <c r="F85" s="403">
        <v>0</v>
      </c>
      <c r="G85" s="402">
        <v>0.43</v>
      </c>
      <c r="H85" s="16">
        <v>-0.24</v>
      </c>
      <c r="I85" s="16">
        <v>-0.8</v>
      </c>
      <c r="J85" s="16">
        <v>-1.4</v>
      </c>
      <c r="K85" s="16">
        <v>-1.25</v>
      </c>
    </row>
    <row r="86" spans="1:11" ht="15" customHeight="1" x14ac:dyDescent="0.2">
      <c r="A86" s="12" t="s">
        <v>112</v>
      </c>
      <c r="B86" s="403"/>
      <c r="C86" s="403"/>
      <c r="D86" s="400">
        <v>100.59</v>
      </c>
      <c r="E86" s="400">
        <v>170.27</v>
      </c>
      <c r="F86" s="400">
        <v>181.28</v>
      </c>
      <c r="G86" s="400">
        <v>197.78</v>
      </c>
      <c r="H86" s="400">
        <v>391.94</v>
      </c>
      <c r="I86" s="400">
        <v>359.88</v>
      </c>
      <c r="J86" s="402">
        <v>86.25</v>
      </c>
      <c r="K86" s="400">
        <v>274.99</v>
      </c>
    </row>
    <row r="87" spans="1:11" ht="15" customHeight="1" x14ac:dyDescent="0.2">
      <c r="A87" s="10" t="s">
        <v>113</v>
      </c>
      <c r="B87" s="11"/>
      <c r="C87" s="11"/>
      <c r="D87" s="11"/>
      <c r="E87" s="11"/>
      <c r="F87" s="11"/>
      <c r="G87" s="11"/>
      <c r="H87" s="11"/>
      <c r="I87" s="11"/>
      <c r="J87" s="11"/>
      <c r="K87" s="11"/>
    </row>
    <row r="88" spans="1:11" ht="15" customHeight="1" x14ac:dyDescent="0.2">
      <c r="A88" s="12" t="s">
        <v>114</v>
      </c>
      <c r="B88" s="400">
        <v>100.42</v>
      </c>
      <c r="C88" s="400">
        <v>112.38</v>
      </c>
      <c r="D88" s="400">
        <v>139.88</v>
      </c>
      <c r="E88" s="400">
        <v>158.13</v>
      </c>
      <c r="F88" s="400">
        <v>175.74</v>
      </c>
      <c r="G88" s="400">
        <v>247.87</v>
      </c>
      <c r="H88" s="400">
        <v>310.97000000000003</v>
      </c>
      <c r="I88" s="400">
        <v>240.91</v>
      </c>
      <c r="J88" s="400">
        <v>159.85</v>
      </c>
      <c r="K88" s="400">
        <v>188.11</v>
      </c>
    </row>
    <row r="89" spans="1:11" ht="15" customHeight="1" x14ac:dyDescent="0.2">
      <c r="A89" s="13" t="s">
        <v>115</v>
      </c>
      <c r="B89" s="400">
        <v>100.42</v>
      </c>
      <c r="C89" s="400">
        <v>112.38</v>
      </c>
      <c r="D89" s="400">
        <v>139.88</v>
      </c>
      <c r="E89" s="400">
        <v>158.13</v>
      </c>
      <c r="F89" s="400">
        <v>175.74</v>
      </c>
      <c r="G89" s="400">
        <v>247.87</v>
      </c>
      <c r="H89" s="400">
        <v>310.97000000000003</v>
      </c>
      <c r="I89" s="400">
        <v>240.91</v>
      </c>
      <c r="J89" s="400">
        <v>159.85</v>
      </c>
      <c r="K89" s="400">
        <v>188.11</v>
      </c>
    </row>
    <row r="90" spans="1:11" ht="15" customHeight="1" x14ac:dyDescent="0.2">
      <c r="A90" s="13" t="s">
        <v>116</v>
      </c>
      <c r="B90" s="402">
        <v>54.88</v>
      </c>
      <c r="C90" s="402">
        <v>54.85</v>
      </c>
      <c r="D90" s="402">
        <v>55</v>
      </c>
      <c r="E90" s="402">
        <v>55.51</v>
      </c>
      <c r="F90" s="402">
        <v>54.71</v>
      </c>
      <c r="G90" s="402">
        <v>54.76</v>
      </c>
      <c r="H90" s="402">
        <v>57.12</v>
      </c>
      <c r="I90" s="402">
        <v>55.95</v>
      </c>
      <c r="J90" s="402">
        <v>55.75</v>
      </c>
      <c r="K90" s="402">
        <v>55.87</v>
      </c>
    </row>
    <row r="91" spans="1:11" ht="15" customHeight="1" x14ac:dyDescent="0.2">
      <c r="A91" s="15" t="s">
        <v>117</v>
      </c>
      <c r="B91" s="402">
        <v>1.83</v>
      </c>
      <c r="C91" s="402">
        <v>2.0499999999999998</v>
      </c>
      <c r="D91" s="402">
        <v>2.54</v>
      </c>
      <c r="E91" s="402">
        <v>2.85</v>
      </c>
      <c r="F91" s="402">
        <v>3.21</v>
      </c>
      <c r="G91" s="402">
        <v>4.53</v>
      </c>
      <c r="H91" s="402">
        <v>5.44</v>
      </c>
      <c r="I91" s="402">
        <v>4.3099999999999996</v>
      </c>
      <c r="J91" s="402">
        <v>2.87</v>
      </c>
      <c r="K91" s="402">
        <v>3.37</v>
      </c>
    </row>
    <row r="92" spans="1:11" ht="15" customHeight="1" x14ac:dyDescent="0.2">
      <c r="A92" s="15" t="s">
        <v>118</v>
      </c>
      <c r="B92" s="402">
        <v>1.83</v>
      </c>
      <c r="C92" s="402">
        <v>2.0499999999999998</v>
      </c>
      <c r="D92" s="402">
        <v>2.54</v>
      </c>
      <c r="E92" s="402">
        <v>2.85</v>
      </c>
      <c r="F92" s="402">
        <v>3.21</v>
      </c>
      <c r="G92" s="402">
        <v>4.53</v>
      </c>
      <c r="H92" s="402">
        <v>5.44</v>
      </c>
      <c r="I92" s="402">
        <v>4.3099999999999996</v>
      </c>
      <c r="J92" s="402">
        <v>2.87</v>
      </c>
      <c r="K92" s="402">
        <v>3.37</v>
      </c>
    </row>
    <row r="93" spans="1:11" ht="15" customHeight="1" x14ac:dyDescent="0.2">
      <c r="A93" s="15" t="s">
        <v>119</v>
      </c>
      <c r="B93" s="402">
        <v>1.87</v>
      </c>
      <c r="C93" s="402">
        <v>2.15</v>
      </c>
      <c r="D93" s="402">
        <v>2.76</v>
      </c>
      <c r="E93" s="402">
        <v>2.88</v>
      </c>
      <c r="F93" s="402">
        <v>3.3</v>
      </c>
      <c r="G93" s="402">
        <v>4.63</v>
      </c>
      <c r="H93" s="402">
        <v>5.83</v>
      </c>
      <c r="I93" s="402">
        <v>4.66</v>
      </c>
      <c r="J93" s="402">
        <v>3.23</v>
      </c>
      <c r="K93" s="402">
        <v>3.49</v>
      </c>
    </row>
    <row r="94" spans="1:11" ht="15" customHeight="1" x14ac:dyDescent="0.2">
      <c r="A94" s="12" t="s">
        <v>120</v>
      </c>
      <c r="B94" s="400">
        <v>100.42</v>
      </c>
      <c r="C94" s="400">
        <v>112.38</v>
      </c>
      <c r="D94" s="400">
        <v>139.88</v>
      </c>
      <c r="E94" s="400">
        <v>158.13</v>
      </c>
      <c r="F94" s="400">
        <v>175.74</v>
      </c>
      <c r="G94" s="400">
        <v>247.87</v>
      </c>
      <c r="H94" s="400">
        <v>310.97000000000003</v>
      </c>
      <c r="I94" s="400">
        <v>240.91</v>
      </c>
      <c r="J94" s="400">
        <v>159.85</v>
      </c>
      <c r="K94" s="400">
        <v>188.11</v>
      </c>
    </row>
    <row r="95" spans="1:11" ht="15" customHeight="1" x14ac:dyDescent="0.2">
      <c r="A95" s="12" t="s">
        <v>121</v>
      </c>
      <c r="B95" s="402">
        <v>1</v>
      </c>
      <c r="C95" s="402">
        <v>1</v>
      </c>
      <c r="D95" s="402">
        <v>1</v>
      </c>
      <c r="E95" s="402">
        <v>1</v>
      </c>
      <c r="F95" s="402">
        <v>1</v>
      </c>
      <c r="G95" s="402">
        <v>1</v>
      </c>
      <c r="H95" s="402">
        <v>1</v>
      </c>
      <c r="I95" s="402">
        <v>1</v>
      </c>
      <c r="J95" s="402">
        <v>1</v>
      </c>
      <c r="K95" s="402">
        <v>1</v>
      </c>
    </row>
    <row r="96" spans="1:11" ht="15" customHeight="1" x14ac:dyDescent="0.2">
      <c r="A96" s="13" t="s">
        <v>122</v>
      </c>
      <c r="B96" s="402">
        <v>54.88</v>
      </c>
      <c r="C96" s="402">
        <v>54.85</v>
      </c>
      <c r="D96" s="402">
        <v>55</v>
      </c>
      <c r="E96" s="402">
        <v>55.51</v>
      </c>
      <c r="F96" s="402">
        <v>54.71</v>
      </c>
      <c r="G96" s="402">
        <v>54.76</v>
      </c>
      <c r="H96" s="402">
        <v>57.12</v>
      </c>
      <c r="I96" s="402">
        <v>55.95</v>
      </c>
      <c r="J96" s="402">
        <v>55.75</v>
      </c>
      <c r="K96" s="402">
        <v>55.87</v>
      </c>
    </row>
    <row r="97" spans="1:11" ht="15" customHeight="1" x14ac:dyDescent="0.2">
      <c r="A97" s="15" t="s">
        <v>123</v>
      </c>
      <c r="B97" s="402">
        <v>1.83</v>
      </c>
      <c r="C97" s="402">
        <v>2.0499999999999998</v>
      </c>
      <c r="D97" s="402">
        <v>2.54</v>
      </c>
      <c r="E97" s="402">
        <v>2.85</v>
      </c>
      <c r="F97" s="402">
        <v>3.21</v>
      </c>
      <c r="G97" s="402">
        <v>4.53</v>
      </c>
      <c r="H97" s="402">
        <v>5.44</v>
      </c>
      <c r="I97" s="402">
        <v>4.3099999999999996</v>
      </c>
      <c r="J97" s="402">
        <v>2.87</v>
      </c>
      <c r="K97" s="402">
        <v>3.37</v>
      </c>
    </row>
    <row r="98" spans="1:11" ht="15" customHeight="1" x14ac:dyDescent="0.2">
      <c r="A98" s="15" t="s">
        <v>124</v>
      </c>
      <c r="B98" s="402">
        <v>1.83</v>
      </c>
      <c r="C98" s="402">
        <v>2.0499999999999998</v>
      </c>
      <c r="D98" s="402">
        <v>2.54</v>
      </c>
      <c r="E98" s="402">
        <v>2.85</v>
      </c>
      <c r="F98" s="402">
        <v>3.21</v>
      </c>
      <c r="G98" s="402">
        <v>4.53</v>
      </c>
      <c r="H98" s="402">
        <v>5.44</v>
      </c>
      <c r="I98" s="402">
        <v>4.3099999999999996</v>
      </c>
      <c r="J98" s="402">
        <v>2.87</v>
      </c>
      <c r="K98" s="402">
        <v>3.37</v>
      </c>
    </row>
    <row r="99" spans="1:11" ht="15" customHeight="1" x14ac:dyDescent="0.2">
      <c r="A99" s="15" t="s">
        <v>125</v>
      </c>
      <c r="B99" s="402">
        <v>1.87</v>
      </c>
      <c r="C99" s="402">
        <v>2.15</v>
      </c>
      <c r="D99" s="402">
        <v>2.76</v>
      </c>
      <c r="E99" s="402">
        <v>2.88</v>
      </c>
      <c r="F99" s="402">
        <v>3.3</v>
      </c>
      <c r="G99" s="402">
        <v>4.63</v>
      </c>
      <c r="H99" s="402">
        <v>5.83</v>
      </c>
      <c r="I99" s="402">
        <v>4.66</v>
      </c>
      <c r="J99" s="402">
        <v>3.23</v>
      </c>
      <c r="K99" s="402">
        <v>3.49</v>
      </c>
    </row>
    <row r="100" spans="1:11" ht="15" customHeight="1" x14ac:dyDescent="0.2">
      <c r="A100" s="12" t="s">
        <v>126</v>
      </c>
      <c r="B100" s="403">
        <v>0</v>
      </c>
      <c r="C100" s="403">
        <v>0</v>
      </c>
      <c r="D100" s="403">
        <v>0</v>
      </c>
      <c r="E100" s="403">
        <v>0</v>
      </c>
      <c r="F100" s="403">
        <v>0</v>
      </c>
      <c r="G100" s="403">
        <v>0</v>
      </c>
      <c r="H100" s="403">
        <v>0</v>
      </c>
      <c r="I100" s="403">
        <v>0</v>
      </c>
      <c r="J100" s="403">
        <v>0</v>
      </c>
      <c r="K100" s="403">
        <v>0</v>
      </c>
    </row>
    <row r="101" spans="1:11" ht="15" customHeight="1" x14ac:dyDescent="0.2">
      <c r="A101" s="12" t="s">
        <v>127</v>
      </c>
      <c r="B101" s="403"/>
      <c r="C101" s="403"/>
      <c r="D101" s="402">
        <v>1.83</v>
      </c>
      <c r="E101" s="402">
        <v>3.07</v>
      </c>
      <c r="F101" s="402">
        <v>3.31</v>
      </c>
      <c r="G101" s="402">
        <v>3.61</v>
      </c>
      <c r="H101" s="402">
        <v>6.86</v>
      </c>
      <c r="I101" s="402">
        <v>6.43</v>
      </c>
      <c r="J101" s="402">
        <v>1.55</v>
      </c>
      <c r="K101" s="402">
        <v>4.92</v>
      </c>
    </row>
    <row r="102" spans="1:11" ht="15" customHeight="1" x14ac:dyDescent="0.2">
      <c r="A102" s="10" t="s">
        <v>128</v>
      </c>
      <c r="B102" s="11"/>
      <c r="C102" s="11"/>
      <c r="D102" s="11"/>
      <c r="E102" s="11"/>
      <c r="F102" s="11"/>
      <c r="G102" s="11"/>
      <c r="H102" s="11"/>
      <c r="I102" s="11"/>
      <c r="J102" s="11"/>
      <c r="K102" s="11"/>
    </row>
    <row r="103" spans="1:11" ht="15" customHeight="1" x14ac:dyDescent="0.2">
      <c r="A103" s="12" t="s">
        <v>129</v>
      </c>
      <c r="B103" s="400">
        <v>100.42</v>
      </c>
      <c r="C103" s="400">
        <v>112.38</v>
      </c>
      <c r="D103" s="400">
        <v>139.88</v>
      </c>
      <c r="E103" s="400">
        <v>158.13</v>
      </c>
      <c r="F103" s="400">
        <v>175.74</v>
      </c>
      <c r="G103" s="400">
        <v>247.87</v>
      </c>
      <c r="H103" s="400">
        <v>310.97000000000003</v>
      </c>
      <c r="I103" s="400">
        <v>240.91</v>
      </c>
      <c r="J103" s="400">
        <v>159.85</v>
      </c>
      <c r="K103" s="400">
        <v>188.11</v>
      </c>
    </row>
    <row r="104" spans="1:11" ht="15" customHeight="1" x14ac:dyDescent="0.2">
      <c r="A104" s="13" t="s">
        <v>130</v>
      </c>
      <c r="B104" s="400">
        <v>100.42</v>
      </c>
      <c r="C104" s="400">
        <v>112.38</v>
      </c>
      <c r="D104" s="400">
        <v>139.88</v>
      </c>
      <c r="E104" s="400">
        <v>158.13</v>
      </c>
      <c r="F104" s="400">
        <v>175.74</v>
      </c>
      <c r="G104" s="400">
        <v>247.87</v>
      </c>
      <c r="H104" s="400">
        <v>310.97000000000003</v>
      </c>
      <c r="I104" s="400">
        <v>240.91</v>
      </c>
      <c r="J104" s="400">
        <v>159.85</v>
      </c>
      <c r="K104" s="400">
        <v>188.11</v>
      </c>
    </row>
    <row r="105" spans="1:11" ht="15" customHeight="1" x14ac:dyDescent="0.2">
      <c r="A105" s="13" t="s">
        <v>131</v>
      </c>
      <c r="B105" s="402">
        <v>54.88</v>
      </c>
      <c r="C105" s="402">
        <v>54.85</v>
      </c>
      <c r="D105" s="402">
        <v>55</v>
      </c>
      <c r="E105" s="402">
        <v>55.51</v>
      </c>
      <c r="F105" s="402">
        <v>54.92</v>
      </c>
      <c r="G105" s="402">
        <v>55.08</v>
      </c>
      <c r="H105" s="402">
        <v>57.59</v>
      </c>
      <c r="I105" s="402">
        <v>55.95</v>
      </c>
      <c r="J105" s="402">
        <v>55.75</v>
      </c>
      <c r="K105" s="402">
        <v>55.87</v>
      </c>
    </row>
    <row r="106" spans="1:11" ht="15" customHeight="1" x14ac:dyDescent="0.2">
      <c r="A106" s="15" t="s">
        <v>132</v>
      </c>
      <c r="B106" s="402">
        <v>1.83</v>
      </c>
      <c r="C106" s="402">
        <v>2.0499999999999998</v>
      </c>
      <c r="D106" s="402">
        <v>2.54</v>
      </c>
      <c r="E106" s="402">
        <v>2.85</v>
      </c>
      <c r="F106" s="402">
        <v>3.2</v>
      </c>
      <c r="G106" s="402">
        <v>4.5</v>
      </c>
      <c r="H106" s="402">
        <v>5.4</v>
      </c>
      <c r="I106" s="402">
        <v>4.3099999999999996</v>
      </c>
      <c r="J106" s="402">
        <v>2.87</v>
      </c>
      <c r="K106" s="402">
        <v>3.37</v>
      </c>
    </row>
    <row r="107" spans="1:11" ht="15" customHeight="1" x14ac:dyDescent="0.2">
      <c r="A107" s="15" t="s">
        <v>133</v>
      </c>
      <c r="B107" s="402">
        <v>1.83</v>
      </c>
      <c r="C107" s="402">
        <v>2.0499999999999998</v>
      </c>
      <c r="D107" s="402">
        <v>2.54</v>
      </c>
      <c r="E107" s="402">
        <v>2.85</v>
      </c>
      <c r="F107" s="402">
        <v>3.2</v>
      </c>
      <c r="G107" s="402">
        <v>4.5</v>
      </c>
      <c r="H107" s="402">
        <v>5.4</v>
      </c>
      <c r="I107" s="402">
        <v>4.3099999999999996</v>
      </c>
      <c r="J107" s="402">
        <v>2.87</v>
      </c>
      <c r="K107" s="402">
        <v>3.37</v>
      </c>
    </row>
    <row r="108" spans="1:11" ht="15" customHeight="1" x14ac:dyDescent="0.2">
      <c r="A108" s="15" t="s">
        <v>134</v>
      </c>
      <c r="B108" s="402">
        <v>1.87</v>
      </c>
      <c r="C108" s="402">
        <v>2.15</v>
      </c>
      <c r="D108" s="402">
        <v>2.76</v>
      </c>
      <c r="E108" s="402">
        <v>2.88</v>
      </c>
      <c r="F108" s="402">
        <v>3.28</v>
      </c>
      <c r="G108" s="402">
        <v>4.6100000000000003</v>
      </c>
      <c r="H108" s="402">
        <v>5.78</v>
      </c>
      <c r="I108" s="402">
        <v>4.66</v>
      </c>
      <c r="J108" s="402">
        <v>3.23</v>
      </c>
      <c r="K108" s="402">
        <v>3.49</v>
      </c>
    </row>
    <row r="109" spans="1:11" ht="15" customHeight="1" x14ac:dyDescent="0.2">
      <c r="A109" s="12" t="s">
        <v>135</v>
      </c>
      <c r="B109" s="400">
        <v>100.42</v>
      </c>
      <c r="C109" s="400">
        <v>112.38</v>
      </c>
      <c r="D109" s="400">
        <v>139.88</v>
      </c>
      <c r="E109" s="400">
        <v>158.13</v>
      </c>
      <c r="F109" s="400">
        <v>175.74</v>
      </c>
      <c r="G109" s="400">
        <v>247.87</v>
      </c>
      <c r="H109" s="400">
        <v>310.97000000000003</v>
      </c>
      <c r="I109" s="400">
        <v>240.91</v>
      </c>
      <c r="J109" s="400">
        <v>159.85</v>
      </c>
      <c r="K109" s="400">
        <v>188.11</v>
      </c>
    </row>
    <row r="110" spans="1:11" ht="15" customHeight="1" x14ac:dyDescent="0.2">
      <c r="A110" s="12" t="s">
        <v>136</v>
      </c>
      <c r="B110" s="402">
        <v>1</v>
      </c>
      <c r="C110" s="402">
        <v>1</v>
      </c>
      <c r="D110" s="402">
        <v>1</v>
      </c>
      <c r="E110" s="402">
        <v>1</v>
      </c>
      <c r="F110" s="402">
        <v>1</v>
      </c>
      <c r="G110" s="402">
        <v>1</v>
      </c>
      <c r="H110" s="402">
        <v>1</v>
      </c>
      <c r="I110" s="402">
        <v>1</v>
      </c>
      <c r="J110" s="402">
        <v>1</v>
      </c>
      <c r="K110" s="402">
        <v>1</v>
      </c>
    </row>
    <row r="111" spans="1:11" ht="15" customHeight="1" x14ac:dyDescent="0.2">
      <c r="A111" s="13" t="s">
        <v>137</v>
      </c>
      <c r="B111" s="402">
        <v>54.88</v>
      </c>
      <c r="C111" s="402">
        <v>54.85</v>
      </c>
      <c r="D111" s="402">
        <v>55</v>
      </c>
      <c r="E111" s="402">
        <v>55.51</v>
      </c>
      <c r="F111" s="402">
        <v>54.92</v>
      </c>
      <c r="G111" s="402">
        <v>55.08</v>
      </c>
      <c r="H111" s="402">
        <v>57.59</v>
      </c>
      <c r="I111" s="402">
        <v>55.95</v>
      </c>
      <c r="J111" s="402">
        <v>55.75</v>
      </c>
      <c r="K111" s="402">
        <v>55.87</v>
      </c>
    </row>
    <row r="112" spans="1:11" ht="15" customHeight="1" x14ac:dyDescent="0.2">
      <c r="A112" s="15" t="s">
        <v>138</v>
      </c>
      <c r="B112" s="402">
        <v>1.83</v>
      </c>
      <c r="C112" s="402">
        <v>2.0499999999999998</v>
      </c>
      <c r="D112" s="402">
        <v>2.54</v>
      </c>
      <c r="E112" s="402">
        <v>2.85</v>
      </c>
      <c r="F112" s="402">
        <v>3.2</v>
      </c>
      <c r="G112" s="402">
        <v>4.5</v>
      </c>
      <c r="H112" s="402">
        <v>5.4</v>
      </c>
      <c r="I112" s="402">
        <v>4.3099999999999996</v>
      </c>
      <c r="J112" s="402">
        <v>2.87</v>
      </c>
      <c r="K112" s="402">
        <v>3.37</v>
      </c>
    </row>
    <row r="113" spans="1:11" ht="15" customHeight="1" x14ac:dyDescent="0.2">
      <c r="A113" s="15" t="s">
        <v>139</v>
      </c>
      <c r="B113" s="402">
        <v>1.83</v>
      </c>
      <c r="C113" s="402">
        <v>2.0499999999999998</v>
      </c>
      <c r="D113" s="402">
        <v>2.54</v>
      </c>
      <c r="E113" s="402">
        <v>2.85</v>
      </c>
      <c r="F113" s="402">
        <v>3.2</v>
      </c>
      <c r="G113" s="402">
        <v>4.5</v>
      </c>
      <c r="H113" s="402">
        <v>5.4</v>
      </c>
      <c r="I113" s="402">
        <v>4.3099999999999996</v>
      </c>
      <c r="J113" s="402">
        <v>2.87</v>
      </c>
      <c r="K113" s="402">
        <v>3.37</v>
      </c>
    </row>
    <row r="114" spans="1:11" ht="15" customHeight="1" x14ac:dyDescent="0.2">
      <c r="A114" s="15" t="s">
        <v>140</v>
      </c>
      <c r="B114" s="402">
        <v>1.87</v>
      </c>
      <c r="C114" s="402">
        <v>2.15</v>
      </c>
      <c r="D114" s="402">
        <v>2.76</v>
      </c>
      <c r="E114" s="402">
        <v>2.88</v>
      </c>
      <c r="F114" s="402">
        <v>3.28</v>
      </c>
      <c r="G114" s="402">
        <v>4.6100000000000003</v>
      </c>
      <c r="H114" s="402">
        <v>5.78</v>
      </c>
      <c r="I114" s="402">
        <v>4.66</v>
      </c>
      <c r="J114" s="402">
        <v>3.23</v>
      </c>
      <c r="K114" s="402">
        <v>3.49</v>
      </c>
    </row>
    <row r="115" spans="1:11" ht="15" customHeight="1" x14ac:dyDescent="0.2">
      <c r="A115" s="12" t="s">
        <v>141</v>
      </c>
      <c r="B115" s="403">
        <v>0</v>
      </c>
      <c r="C115" s="403">
        <v>0</v>
      </c>
      <c r="D115" s="403">
        <v>0</v>
      </c>
      <c r="E115" s="403">
        <v>0</v>
      </c>
      <c r="F115" s="403">
        <v>0</v>
      </c>
      <c r="G115" s="403">
        <v>0</v>
      </c>
      <c r="H115" s="403">
        <v>0</v>
      </c>
      <c r="I115" s="403">
        <v>0</v>
      </c>
      <c r="J115" s="403">
        <v>0</v>
      </c>
      <c r="K115" s="403">
        <v>0</v>
      </c>
    </row>
    <row r="116" spans="1:11" ht="15" customHeight="1" x14ac:dyDescent="0.2">
      <c r="A116" s="12" t="s">
        <v>142</v>
      </c>
      <c r="B116" s="403"/>
      <c r="C116" s="403"/>
      <c r="D116" s="402">
        <v>1.83</v>
      </c>
      <c r="E116" s="402">
        <v>3.07</v>
      </c>
      <c r="F116" s="402">
        <v>3.3</v>
      </c>
      <c r="G116" s="402">
        <v>3.59</v>
      </c>
      <c r="H116" s="402">
        <v>6.81</v>
      </c>
      <c r="I116" s="402">
        <v>6.43</v>
      </c>
      <c r="J116" s="402">
        <v>1.55</v>
      </c>
      <c r="K116" s="402">
        <v>4.92</v>
      </c>
    </row>
    <row r="117" spans="1:11" ht="15" customHeight="1" x14ac:dyDescent="0.2">
      <c r="A117" s="10" t="s">
        <v>143</v>
      </c>
      <c r="B117" s="11"/>
      <c r="C117" s="11"/>
      <c r="D117" s="11"/>
      <c r="E117" s="11"/>
      <c r="F117" s="11"/>
      <c r="G117" s="11"/>
      <c r="H117" s="11"/>
      <c r="I117" s="11"/>
      <c r="J117" s="11"/>
      <c r="K117" s="11"/>
    </row>
    <row r="118" spans="1:11" ht="15" customHeight="1" x14ac:dyDescent="0.2">
      <c r="A118" s="12" t="s">
        <v>144</v>
      </c>
      <c r="B118" s="402">
        <v>0.6</v>
      </c>
      <c r="C118" s="402">
        <v>0.65</v>
      </c>
      <c r="D118" s="402">
        <v>0.8</v>
      </c>
      <c r="E118" s="402">
        <v>0.85</v>
      </c>
      <c r="F118" s="402">
        <v>0.9</v>
      </c>
      <c r="G118" s="402">
        <v>0.95</v>
      </c>
      <c r="H118" s="402">
        <v>1</v>
      </c>
      <c r="I118" s="402">
        <v>1.05</v>
      </c>
      <c r="J118" s="402">
        <v>1.1000000000000001</v>
      </c>
      <c r="K118" s="402">
        <v>1.1499999999999999</v>
      </c>
    </row>
    <row r="119" spans="1:11" ht="15" customHeight="1" x14ac:dyDescent="0.2">
      <c r="A119" s="12" t="s">
        <v>145</v>
      </c>
      <c r="B119" s="402">
        <v>0.44</v>
      </c>
      <c r="C119" s="402">
        <v>0.48</v>
      </c>
      <c r="D119" s="402">
        <v>0.59</v>
      </c>
      <c r="E119" s="402">
        <v>0.63</v>
      </c>
      <c r="F119" s="402">
        <v>0.67</v>
      </c>
      <c r="G119" s="402">
        <v>0.7</v>
      </c>
      <c r="H119" s="402">
        <v>0.74</v>
      </c>
      <c r="I119" s="402">
        <v>0.78</v>
      </c>
      <c r="J119" s="402">
        <v>0.81</v>
      </c>
      <c r="K119" s="402">
        <v>0.85</v>
      </c>
    </row>
    <row r="120" spans="1:11" ht="15" customHeight="1" x14ac:dyDescent="0.2">
      <c r="A120" s="12" t="s">
        <v>146</v>
      </c>
      <c r="B120" s="403"/>
      <c r="C120" s="403"/>
      <c r="D120" s="403"/>
      <c r="E120" s="402">
        <v>1.8</v>
      </c>
      <c r="F120" s="403"/>
      <c r="G120" s="403"/>
      <c r="H120" s="403"/>
      <c r="I120" s="403"/>
      <c r="J120" s="403"/>
      <c r="K120" s="403"/>
    </row>
    <row r="121" spans="1:11" ht="15" customHeight="1" x14ac:dyDescent="0.2">
      <c r="A121" s="12" t="s">
        <v>147</v>
      </c>
      <c r="B121" s="403"/>
      <c r="C121" s="403"/>
      <c r="D121" s="403"/>
      <c r="E121" s="402">
        <v>1.8</v>
      </c>
      <c r="F121" s="403"/>
      <c r="G121" s="403"/>
      <c r="H121" s="403"/>
      <c r="I121" s="403"/>
      <c r="J121" s="403"/>
      <c r="K121" s="403"/>
    </row>
    <row r="122" spans="1:11" ht="15" customHeight="1" x14ac:dyDescent="0.2">
      <c r="A122" s="10" t="s">
        <v>148</v>
      </c>
      <c r="B122" s="11"/>
      <c r="C122" s="11"/>
      <c r="D122" s="11"/>
      <c r="E122" s="11"/>
      <c r="F122" s="11"/>
      <c r="G122" s="11"/>
      <c r="H122" s="11"/>
      <c r="I122" s="11"/>
      <c r="J122" s="11"/>
      <c r="K122" s="11"/>
    </row>
    <row r="123" spans="1:11" ht="15" customHeight="1" x14ac:dyDescent="0.2">
      <c r="A123" s="12" t="s">
        <v>149</v>
      </c>
      <c r="B123" s="400">
        <v>156.07</v>
      </c>
      <c r="C123" s="400">
        <v>177.94</v>
      </c>
      <c r="D123" s="400">
        <v>197.56</v>
      </c>
      <c r="E123" s="400">
        <v>209.85</v>
      </c>
      <c r="F123" s="400">
        <v>222.46</v>
      </c>
      <c r="G123" s="400">
        <v>330.11</v>
      </c>
      <c r="H123" s="400">
        <v>441.4</v>
      </c>
      <c r="I123" s="400">
        <v>375.32</v>
      </c>
      <c r="J123" s="400">
        <v>237.85</v>
      </c>
      <c r="K123" s="400">
        <v>265.05</v>
      </c>
    </row>
    <row r="124" spans="1:11" ht="15" customHeight="1" x14ac:dyDescent="0.2">
      <c r="A124" s="12" t="s">
        <v>150</v>
      </c>
      <c r="B124" s="400">
        <v>206.71</v>
      </c>
      <c r="C124" s="400">
        <v>241.12</v>
      </c>
      <c r="D124" s="400">
        <v>267.17</v>
      </c>
      <c r="E124" s="400">
        <v>277.36</v>
      </c>
      <c r="F124" s="400">
        <v>297.89</v>
      </c>
      <c r="G124" s="400">
        <v>406.76</v>
      </c>
      <c r="H124" s="400">
        <v>556.91</v>
      </c>
      <c r="I124" s="400">
        <v>536.54</v>
      </c>
      <c r="J124" s="400">
        <v>396.22</v>
      </c>
      <c r="K124" s="400">
        <v>413.84</v>
      </c>
    </row>
    <row r="125" spans="1:11" ht="15" customHeight="1" x14ac:dyDescent="0.2">
      <c r="A125" s="10" t="s">
        <v>151</v>
      </c>
      <c r="B125" s="11"/>
      <c r="C125" s="11"/>
      <c r="D125" s="11"/>
      <c r="E125" s="11"/>
      <c r="F125" s="11"/>
      <c r="G125" s="11"/>
      <c r="H125" s="11"/>
      <c r="I125" s="11"/>
      <c r="J125" s="11"/>
      <c r="K125" s="11"/>
    </row>
    <row r="126" spans="1:11" ht="15" customHeight="1" x14ac:dyDescent="0.2">
      <c r="A126" s="12" t="s">
        <v>152</v>
      </c>
      <c r="B126" s="402">
        <v>32.979999999999997</v>
      </c>
      <c r="C126" s="402">
        <v>44.71</v>
      </c>
      <c r="D126" s="402">
        <v>51.83</v>
      </c>
      <c r="E126" s="402">
        <v>50.83</v>
      </c>
      <c r="F126" s="402">
        <v>58.97</v>
      </c>
      <c r="G126" s="402">
        <v>58.81</v>
      </c>
      <c r="H126" s="402">
        <v>96.01</v>
      </c>
      <c r="I126" s="400">
        <v>137.55000000000001</v>
      </c>
      <c r="J126" s="400">
        <v>136.88</v>
      </c>
      <c r="K126" s="400">
        <v>129.04</v>
      </c>
    </row>
    <row r="127" spans="1:11" ht="15" customHeight="1" x14ac:dyDescent="0.2">
      <c r="A127" s="13" t="s">
        <v>153</v>
      </c>
      <c r="B127" s="402">
        <v>24.88</v>
      </c>
      <c r="C127" s="402">
        <v>27.14</v>
      </c>
      <c r="D127" s="402">
        <v>29.67</v>
      </c>
      <c r="E127" s="402">
        <v>28.53</v>
      </c>
      <c r="F127" s="402">
        <v>35.130000000000003</v>
      </c>
      <c r="G127" s="402">
        <v>33.56</v>
      </c>
      <c r="H127" s="402">
        <v>47.13</v>
      </c>
      <c r="I127" s="402">
        <v>60.4</v>
      </c>
      <c r="J127" s="402">
        <v>61.83</v>
      </c>
      <c r="K127" s="402">
        <v>53.87</v>
      </c>
    </row>
    <row r="128" spans="1:11" ht="15" customHeight="1" x14ac:dyDescent="0.2">
      <c r="A128" s="15" t="s">
        <v>154</v>
      </c>
      <c r="B128" s="403"/>
      <c r="C128" s="403"/>
      <c r="D128" s="403"/>
      <c r="E128" s="403"/>
      <c r="F128" s="403"/>
      <c r="G128" s="402">
        <v>5.78</v>
      </c>
      <c r="H128" s="402">
        <v>8.9600000000000009</v>
      </c>
      <c r="I128" s="402">
        <v>12.2</v>
      </c>
      <c r="J128" s="402">
        <v>11.14</v>
      </c>
      <c r="K128" s="402">
        <v>11.63</v>
      </c>
    </row>
    <row r="129" spans="1:11" ht="15" customHeight="1" x14ac:dyDescent="0.2">
      <c r="A129" s="13" t="s">
        <v>155</v>
      </c>
      <c r="B129" s="402">
        <v>25.76</v>
      </c>
      <c r="C129" s="402">
        <v>36.04</v>
      </c>
      <c r="D129" s="402">
        <v>39.94</v>
      </c>
      <c r="E129" s="402">
        <v>38.979999999999997</v>
      </c>
      <c r="F129" s="402">
        <v>40.29</v>
      </c>
      <c r="G129" s="402">
        <v>43.09</v>
      </c>
      <c r="H129" s="402">
        <v>68.38</v>
      </c>
      <c r="I129" s="400">
        <v>100.82</v>
      </c>
      <c r="J129" s="402">
        <v>96.54</v>
      </c>
      <c r="K129" s="402">
        <v>94.92</v>
      </c>
    </row>
    <row r="130" spans="1:11" ht="15" customHeight="1" x14ac:dyDescent="0.2">
      <c r="A130" s="15" t="s">
        <v>156</v>
      </c>
      <c r="B130" s="402">
        <v>8.11</v>
      </c>
      <c r="C130" s="402">
        <v>17.57</v>
      </c>
      <c r="D130" s="402">
        <v>22.17</v>
      </c>
      <c r="E130" s="402">
        <v>22.3</v>
      </c>
      <c r="F130" s="402">
        <v>23.84</v>
      </c>
      <c r="G130" s="402">
        <v>25.26</v>
      </c>
      <c r="H130" s="402">
        <v>48.88</v>
      </c>
      <c r="I130" s="402">
        <v>77.14</v>
      </c>
      <c r="J130" s="402">
        <v>75.06</v>
      </c>
      <c r="K130" s="402">
        <v>75.17</v>
      </c>
    </row>
    <row r="131" spans="1:11" ht="15" customHeight="1" x14ac:dyDescent="0.2">
      <c r="A131" s="17" t="s">
        <v>157</v>
      </c>
      <c r="B131" s="402">
        <v>3.47</v>
      </c>
      <c r="C131" s="402">
        <v>5.89</v>
      </c>
      <c r="D131" s="402">
        <v>7.47</v>
      </c>
      <c r="E131" s="402">
        <v>8.06</v>
      </c>
      <c r="F131" s="402">
        <v>8.6999999999999993</v>
      </c>
      <c r="G131" s="402">
        <v>8.75</v>
      </c>
      <c r="H131" s="402">
        <v>9.7200000000000006</v>
      </c>
      <c r="I131" s="402">
        <v>14.77</v>
      </c>
      <c r="J131" s="402">
        <v>13.01</v>
      </c>
      <c r="K131" s="402">
        <v>12.04</v>
      </c>
    </row>
    <row r="132" spans="1:11" ht="15" customHeight="1" x14ac:dyDescent="0.2">
      <c r="A132" s="17" t="s">
        <v>158</v>
      </c>
      <c r="B132" s="403"/>
      <c r="C132" s="402">
        <v>2.48</v>
      </c>
      <c r="D132" s="402">
        <v>2.2000000000000002</v>
      </c>
      <c r="E132" s="402">
        <v>1.07</v>
      </c>
      <c r="F132" s="402">
        <v>0.91</v>
      </c>
      <c r="G132" s="402">
        <v>0.9</v>
      </c>
      <c r="H132" s="402">
        <v>0.9</v>
      </c>
      <c r="I132" s="402">
        <v>0.77</v>
      </c>
      <c r="J132" s="402">
        <v>0.59</v>
      </c>
      <c r="K132" s="402">
        <v>0.47</v>
      </c>
    </row>
    <row r="133" spans="1:11" ht="15" customHeight="1" x14ac:dyDescent="0.2">
      <c r="A133" s="17" t="s">
        <v>159</v>
      </c>
      <c r="B133" s="402">
        <v>2.13</v>
      </c>
      <c r="C133" s="402">
        <v>5.29</v>
      </c>
      <c r="D133" s="402">
        <v>5.98</v>
      </c>
      <c r="E133" s="402">
        <v>5.45</v>
      </c>
      <c r="F133" s="402">
        <v>6.2</v>
      </c>
      <c r="G133" s="402">
        <v>7.68</v>
      </c>
      <c r="H133" s="402">
        <v>12.61</v>
      </c>
      <c r="I133" s="402">
        <v>18.2</v>
      </c>
      <c r="J133" s="402">
        <v>21.86</v>
      </c>
      <c r="K133" s="402">
        <v>19.18</v>
      </c>
    </row>
    <row r="134" spans="1:11" ht="15" customHeight="1" x14ac:dyDescent="0.2">
      <c r="A134" s="15" t="s">
        <v>160</v>
      </c>
      <c r="B134" s="402">
        <v>17.649999999999999</v>
      </c>
      <c r="C134" s="402">
        <v>18.47</v>
      </c>
      <c r="D134" s="402">
        <v>17.77</v>
      </c>
      <c r="E134" s="402">
        <v>16.68</v>
      </c>
      <c r="F134" s="402">
        <v>16.45</v>
      </c>
      <c r="G134" s="402">
        <v>17.84</v>
      </c>
      <c r="H134" s="402">
        <v>19.489999999999998</v>
      </c>
      <c r="I134" s="402">
        <v>23.67</v>
      </c>
      <c r="J134" s="402">
        <v>21.49</v>
      </c>
      <c r="K134" s="402">
        <v>19.75</v>
      </c>
    </row>
    <row r="135" spans="1:11" ht="15" customHeight="1" x14ac:dyDescent="0.2">
      <c r="A135" s="10" t="s">
        <v>161</v>
      </c>
      <c r="B135" s="11"/>
      <c r="C135" s="11"/>
      <c r="D135" s="11"/>
      <c r="E135" s="11"/>
      <c r="F135" s="11"/>
      <c r="G135" s="11"/>
      <c r="H135" s="11"/>
      <c r="I135" s="11"/>
      <c r="J135" s="11"/>
      <c r="K135" s="11"/>
    </row>
    <row r="136" spans="1:11" ht="15" customHeight="1" x14ac:dyDescent="0.2">
      <c r="A136" s="12" t="s">
        <v>162</v>
      </c>
      <c r="B136" s="402">
        <v>50.64</v>
      </c>
      <c r="C136" s="402">
        <v>63.18</v>
      </c>
      <c r="D136" s="402">
        <v>69.61</v>
      </c>
      <c r="E136" s="402">
        <v>67.510000000000005</v>
      </c>
      <c r="F136" s="402">
        <v>75.42</v>
      </c>
      <c r="G136" s="402">
        <v>76.650000000000006</v>
      </c>
      <c r="H136" s="400">
        <v>115.51</v>
      </c>
      <c r="I136" s="400">
        <v>161.22</v>
      </c>
      <c r="J136" s="400">
        <v>158.37</v>
      </c>
      <c r="K136" s="400">
        <v>148.79</v>
      </c>
    </row>
    <row r="137" spans="1:11" ht="15" customHeight="1" x14ac:dyDescent="0.2">
      <c r="A137" s="13" t="s">
        <v>163</v>
      </c>
      <c r="B137" s="402">
        <v>24.88</v>
      </c>
      <c r="C137" s="402">
        <v>27.14</v>
      </c>
      <c r="D137" s="402">
        <v>29.67</v>
      </c>
      <c r="E137" s="402">
        <v>28.53</v>
      </c>
      <c r="F137" s="402">
        <v>35.130000000000003</v>
      </c>
      <c r="G137" s="402">
        <v>33.56</v>
      </c>
      <c r="H137" s="402">
        <v>47.13</v>
      </c>
      <c r="I137" s="402">
        <v>60.4</v>
      </c>
      <c r="J137" s="402">
        <v>61.83</v>
      </c>
      <c r="K137" s="402">
        <v>53.87</v>
      </c>
    </row>
    <row r="138" spans="1:11" ht="15" customHeight="1" x14ac:dyDescent="0.2">
      <c r="A138" s="13" t="s">
        <v>164</v>
      </c>
      <c r="B138" s="402">
        <v>8.11</v>
      </c>
      <c r="C138" s="402">
        <v>17.57</v>
      </c>
      <c r="D138" s="402">
        <v>22.17</v>
      </c>
      <c r="E138" s="402">
        <v>22.3</v>
      </c>
      <c r="F138" s="402">
        <v>23.84</v>
      </c>
      <c r="G138" s="402">
        <v>25.26</v>
      </c>
      <c r="H138" s="402">
        <v>48.88</v>
      </c>
      <c r="I138" s="402">
        <v>77.14</v>
      </c>
      <c r="J138" s="402">
        <v>75.06</v>
      </c>
      <c r="K138" s="402">
        <v>75.17</v>
      </c>
    </row>
    <row r="139" spans="1:11" ht="15" customHeight="1" x14ac:dyDescent="0.2">
      <c r="A139" s="13" t="s">
        <v>165</v>
      </c>
      <c r="B139" s="402">
        <v>17.649999999999999</v>
      </c>
      <c r="C139" s="402">
        <v>18.47</v>
      </c>
      <c r="D139" s="402">
        <v>17.77</v>
      </c>
      <c r="E139" s="402">
        <v>16.68</v>
      </c>
      <c r="F139" s="402">
        <v>16.45</v>
      </c>
      <c r="G139" s="402">
        <v>17.84</v>
      </c>
      <c r="H139" s="402">
        <v>19.489999999999998</v>
      </c>
      <c r="I139" s="402">
        <v>23.67</v>
      </c>
      <c r="J139" s="402">
        <v>21.49</v>
      </c>
      <c r="K139" s="402">
        <v>19.75</v>
      </c>
    </row>
    <row r="140" spans="1:11" ht="15" customHeight="1" x14ac:dyDescent="0.2">
      <c r="A140" s="60">
        <f>SUM(B126:B134)-B127-B129</f>
        <v>64.339999999999989</v>
      </c>
      <c r="B140" s="11"/>
      <c r="C140" s="11"/>
      <c r="D140" s="11"/>
      <c r="E140" s="11"/>
      <c r="F140" s="11"/>
      <c r="G140" s="11"/>
      <c r="H140" s="11"/>
      <c r="I140" s="11"/>
      <c r="J140" s="11"/>
      <c r="K140" s="11"/>
    </row>
    <row r="141" spans="1:11" ht="15" customHeight="1" x14ac:dyDescent="0.2">
      <c r="A141" s="12" t="s">
        <v>166</v>
      </c>
      <c r="B141" s="402">
        <v>24.03</v>
      </c>
      <c r="C141" s="402">
        <v>32.42</v>
      </c>
      <c r="D141" s="402">
        <v>37.64</v>
      </c>
      <c r="E141" s="402">
        <v>39.630000000000003</v>
      </c>
      <c r="F141" s="402">
        <v>41.75</v>
      </c>
      <c r="G141" s="402">
        <v>43.12</v>
      </c>
      <c r="H141" s="402">
        <v>57.49</v>
      </c>
      <c r="I141" s="402">
        <v>78.7</v>
      </c>
      <c r="J141" s="402">
        <v>69.09</v>
      </c>
      <c r="K141" s="402">
        <v>72.39</v>
      </c>
    </row>
    <row r="142" spans="1:11" ht="15" customHeight="1" x14ac:dyDescent="0.2">
      <c r="A142" s="13" t="s">
        <v>167</v>
      </c>
      <c r="B142" s="402">
        <v>24.03</v>
      </c>
      <c r="C142" s="402">
        <v>32.42</v>
      </c>
      <c r="D142" s="402">
        <v>37.64</v>
      </c>
      <c r="E142" s="402">
        <v>39.630000000000003</v>
      </c>
      <c r="F142" s="402">
        <v>41.75</v>
      </c>
      <c r="G142" s="402">
        <v>43.12</v>
      </c>
      <c r="H142" s="402">
        <v>57.49</v>
      </c>
      <c r="I142" s="402">
        <v>78.7</v>
      </c>
      <c r="J142" s="402">
        <v>69.09</v>
      </c>
      <c r="K142" s="402">
        <v>72.39</v>
      </c>
    </row>
    <row r="143" spans="1:11" ht="15" customHeight="1" x14ac:dyDescent="0.2">
      <c r="A143" s="10" t="s">
        <v>168</v>
      </c>
      <c r="B143" s="11"/>
      <c r="C143" s="11"/>
      <c r="D143" s="11"/>
      <c r="E143" s="11"/>
      <c r="F143" s="11"/>
      <c r="G143" s="11"/>
      <c r="H143" s="11"/>
      <c r="I143" s="11"/>
      <c r="J143" s="11"/>
      <c r="K143" s="11"/>
    </row>
    <row r="144" spans="1:11" ht="15" customHeight="1" x14ac:dyDescent="0.2">
      <c r="A144" s="12" t="s">
        <v>169</v>
      </c>
      <c r="B144" s="400">
        <v>127.02</v>
      </c>
      <c r="C144" s="400">
        <v>146.16</v>
      </c>
      <c r="D144" s="400">
        <v>156.13</v>
      </c>
      <c r="E144" s="400">
        <v>163.5</v>
      </c>
      <c r="F144" s="400">
        <v>177.2</v>
      </c>
      <c r="G144" s="400">
        <v>195.1</v>
      </c>
      <c r="H144" s="400">
        <v>267.64</v>
      </c>
      <c r="I144" s="400">
        <v>384.32</v>
      </c>
      <c r="J144" s="400">
        <v>375.79</v>
      </c>
      <c r="K144" s="400">
        <v>383.07</v>
      </c>
    </row>
    <row r="145" spans="1:11" ht="15" customHeight="1" x14ac:dyDescent="0.2">
      <c r="A145" s="12" t="s">
        <v>170</v>
      </c>
      <c r="B145" s="400">
        <v>127.02</v>
      </c>
      <c r="C145" s="400">
        <v>146.16</v>
      </c>
      <c r="D145" s="400">
        <v>156.13</v>
      </c>
      <c r="E145" s="400">
        <v>163.5</v>
      </c>
      <c r="F145" s="400">
        <v>177.2</v>
      </c>
      <c r="G145" s="400">
        <v>195.1</v>
      </c>
      <c r="H145" s="400">
        <v>267.64</v>
      </c>
      <c r="I145" s="400">
        <v>384.32</v>
      </c>
      <c r="J145" s="400">
        <v>375.79</v>
      </c>
      <c r="K145" s="400">
        <v>383.07</v>
      </c>
    </row>
    <row r="146" spans="1:11" ht="15" customHeight="1" x14ac:dyDescent="0.2">
      <c r="A146" s="13" t="s">
        <v>171</v>
      </c>
      <c r="B146" s="402">
        <v>0.83</v>
      </c>
      <c r="C146" s="402">
        <v>0.94</v>
      </c>
      <c r="D146" s="402">
        <v>0.94</v>
      </c>
      <c r="E146" s="402">
        <v>2.1</v>
      </c>
      <c r="F146" s="402">
        <v>2.93</v>
      </c>
      <c r="G146" s="402">
        <v>3.66</v>
      </c>
      <c r="H146" s="402">
        <v>4.8899999999999997</v>
      </c>
      <c r="I146" s="402">
        <v>7.25</v>
      </c>
      <c r="J146" s="402">
        <v>7.74</v>
      </c>
      <c r="K146" s="402">
        <v>8.4499999999999993</v>
      </c>
    </row>
    <row r="147" spans="1:11" ht="15" customHeight="1" x14ac:dyDescent="0.2">
      <c r="A147" s="15" t="s">
        <v>172</v>
      </c>
      <c r="B147" s="402">
        <v>1.21</v>
      </c>
      <c r="C147" s="402">
        <v>1.37</v>
      </c>
      <c r="D147" s="402">
        <v>1.23</v>
      </c>
      <c r="E147" s="402">
        <v>2.76</v>
      </c>
      <c r="F147" s="402">
        <v>3.85</v>
      </c>
      <c r="G147" s="402">
        <v>4.82</v>
      </c>
      <c r="H147" s="402">
        <v>6.43</v>
      </c>
      <c r="I147" s="402">
        <v>9.5399999999999991</v>
      </c>
      <c r="J147" s="402">
        <v>10.18</v>
      </c>
      <c r="K147" s="402">
        <v>11.11</v>
      </c>
    </row>
    <row r="148" spans="1:11" ht="15" customHeight="1" x14ac:dyDescent="0.2">
      <c r="A148" s="15" t="s">
        <v>173</v>
      </c>
      <c r="B148" s="402">
        <v>0.38</v>
      </c>
      <c r="C148" s="402">
        <v>0.43</v>
      </c>
      <c r="D148" s="402">
        <v>0.3</v>
      </c>
      <c r="E148" s="402">
        <v>0.66</v>
      </c>
      <c r="F148" s="402">
        <v>0.92</v>
      </c>
      <c r="G148" s="402">
        <v>1.1599999999999999</v>
      </c>
      <c r="H148" s="402">
        <v>1.54</v>
      </c>
      <c r="I148" s="402">
        <v>2.29</v>
      </c>
      <c r="J148" s="402">
        <v>2.44</v>
      </c>
      <c r="K148" s="402">
        <v>2.67</v>
      </c>
    </row>
    <row r="149" spans="1:11" ht="15" customHeight="1" x14ac:dyDescent="0.2">
      <c r="A149" s="10" t="s">
        <v>174</v>
      </c>
      <c r="B149" s="11"/>
      <c r="C149" s="11"/>
      <c r="D149" s="11"/>
      <c r="E149" s="11"/>
      <c r="F149" s="11"/>
      <c r="G149" s="11"/>
      <c r="H149" s="11"/>
      <c r="I149" s="11"/>
      <c r="J149" s="11"/>
      <c r="K149" s="11"/>
    </row>
    <row r="150" spans="1:11" ht="15" customHeight="1" x14ac:dyDescent="0.2">
      <c r="A150" s="12" t="s">
        <v>174</v>
      </c>
      <c r="B150" s="402">
        <v>0.71</v>
      </c>
      <c r="C150" s="402">
        <v>0.79</v>
      </c>
      <c r="D150" s="402">
        <v>0.95</v>
      </c>
      <c r="E150" s="402">
        <v>0.26</v>
      </c>
      <c r="F150" s="402">
        <v>0.3</v>
      </c>
      <c r="G150" s="402">
        <v>1.04</v>
      </c>
      <c r="H150" s="402">
        <v>1.78</v>
      </c>
      <c r="I150" s="402">
        <v>1.57</v>
      </c>
      <c r="J150" s="402">
        <v>2.0299999999999998</v>
      </c>
      <c r="K150" s="402">
        <v>1.69</v>
      </c>
    </row>
    <row r="151" spans="1:11" ht="15" customHeight="1" x14ac:dyDescent="0.2">
      <c r="A151" s="13" t="s">
        <v>175</v>
      </c>
      <c r="B151" s="402">
        <v>0.69</v>
      </c>
      <c r="C151" s="402">
        <v>0.73</v>
      </c>
      <c r="D151" s="402">
        <v>0.84</v>
      </c>
      <c r="E151" s="402">
        <v>0.25</v>
      </c>
      <c r="F151" s="402">
        <v>0.27</v>
      </c>
      <c r="G151" s="402">
        <v>0.97</v>
      </c>
      <c r="H151" s="402">
        <v>1.51</v>
      </c>
      <c r="I151" s="402">
        <v>1.55</v>
      </c>
      <c r="J151" s="402">
        <v>1.65</v>
      </c>
      <c r="K151" s="402">
        <v>1.67</v>
      </c>
    </row>
    <row r="152" spans="1:11" ht="15" customHeight="1" x14ac:dyDescent="0.2">
      <c r="A152" s="13" t="s">
        <v>176</v>
      </c>
      <c r="B152" s="402">
        <v>0.03</v>
      </c>
      <c r="C152" s="402">
        <v>0.06</v>
      </c>
      <c r="D152" s="402">
        <v>0.11</v>
      </c>
      <c r="E152" s="403">
        <v>0</v>
      </c>
      <c r="F152" s="402">
        <v>0.02</v>
      </c>
      <c r="G152" s="402">
        <v>7.0000000000000007E-2</v>
      </c>
      <c r="H152" s="402">
        <v>0.27</v>
      </c>
      <c r="I152" s="402">
        <v>0.02</v>
      </c>
      <c r="J152" s="402">
        <v>0.39</v>
      </c>
      <c r="K152" s="402">
        <v>0.03</v>
      </c>
    </row>
    <row r="153" spans="1:11" ht="15" customHeight="1" x14ac:dyDescent="0.2">
      <c r="A153" s="10" t="s">
        <v>177</v>
      </c>
      <c r="B153" s="11"/>
      <c r="C153" s="11"/>
      <c r="D153" s="11"/>
      <c r="E153" s="11"/>
      <c r="F153" s="11"/>
      <c r="G153" s="11"/>
      <c r="H153" s="11"/>
      <c r="I153" s="11"/>
      <c r="J153" s="11"/>
      <c r="K153" s="11"/>
    </row>
    <row r="154" spans="1:11" ht="15" customHeight="1" x14ac:dyDescent="0.2">
      <c r="A154" s="12" t="s">
        <v>178</v>
      </c>
      <c r="B154" s="400">
        <v>102.66</v>
      </c>
      <c r="C154" s="400">
        <v>118.04</v>
      </c>
      <c r="D154" s="400">
        <v>151.9</v>
      </c>
      <c r="E154" s="400">
        <v>159.84</v>
      </c>
      <c r="F154" s="400">
        <v>180.35</v>
      </c>
      <c r="G154" s="400">
        <v>254.18</v>
      </c>
      <c r="H154" s="400">
        <v>332.63</v>
      </c>
      <c r="I154" s="400">
        <v>260.14</v>
      </c>
      <c r="J154" s="400">
        <v>178.66</v>
      </c>
      <c r="K154" s="400">
        <v>193.78</v>
      </c>
    </row>
    <row r="155" spans="1:11" ht="15" customHeight="1" x14ac:dyDescent="0.2">
      <c r="A155" s="12" t="s">
        <v>179</v>
      </c>
      <c r="B155" s="400">
        <v>102.66</v>
      </c>
      <c r="C155" s="400">
        <v>118.04</v>
      </c>
      <c r="D155" s="400">
        <v>151.9</v>
      </c>
      <c r="E155" s="400">
        <v>159.84</v>
      </c>
      <c r="F155" s="400">
        <v>180.35</v>
      </c>
      <c r="G155" s="400">
        <v>254.18</v>
      </c>
      <c r="H155" s="400">
        <v>332.63</v>
      </c>
      <c r="I155" s="400">
        <v>260.14</v>
      </c>
      <c r="J155" s="400">
        <v>178.66</v>
      </c>
      <c r="K155" s="400">
        <v>193.78</v>
      </c>
    </row>
    <row r="156" spans="1:11" ht="15" customHeight="1" x14ac:dyDescent="0.2">
      <c r="A156" s="12" t="s">
        <v>180</v>
      </c>
      <c r="B156" s="400">
        <v>102.53</v>
      </c>
      <c r="C156" s="400">
        <v>117.81</v>
      </c>
      <c r="D156" s="400">
        <v>151.9</v>
      </c>
      <c r="E156" s="400">
        <v>159.84</v>
      </c>
      <c r="F156" s="400">
        <v>180.35</v>
      </c>
      <c r="G156" s="400">
        <v>253.76</v>
      </c>
      <c r="H156" s="400">
        <v>332.87</v>
      </c>
      <c r="I156" s="400">
        <v>260.93</v>
      </c>
      <c r="J156" s="400">
        <v>180</v>
      </c>
      <c r="K156" s="400">
        <v>194.83</v>
      </c>
    </row>
    <row r="157" spans="1:11" ht="15" customHeight="1" x14ac:dyDescent="0.2">
      <c r="A157" s="12" t="s">
        <v>181</v>
      </c>
      <c r="B157" s="400">
        <v>151.62</v>
      </c>
      <c r="C157" s="400">
        <v>175</v>
      </c>
      <c r="D157" s="400">
        <v>193.32</v>
      </c>
      <c r="E157" s="400">
        <v>208.56</v>
      </c>
      <c r="F157" s="400">
        <v>221.59</v>
      </c>
      <c r="G157" s="400">
        <v>328.2</v>
      </c>
      <c r="H157" s="400">
        <v>442.29</v>
      </c>
      <c r="I157" s="400">
        <v>376.69</v>
      </c>
      <c r="J157" s="400">
        <v>240.96</v>
      </c>
      <c r="K157" s="400">
        <v>268.61</v>
      </c>
    </row>
    <row r="158" spans="1:11" ht="15" customHeight="1" x14ac:dyDescent="0.2">
      <c r="A158" s="12" t="s">
        <v>182</v>
      </c>
      <c r="B158" s="400">
        <v>202.26</v>
      </c>
      <c r="C158" s="400">
        <v>238.18</v>
      </c>
      <c r="D158" s="400">
        <v>262.93</v>
      </c>
      <c r="E158" s="400">
        <v>276.07</v>
      </c>
      <c r="F158" s="400">
        <v>297.01</v>
      </c>
      <c r="G158" s="400">
        <v>404.85</v>
      </c>
      <c r="H158" s="400">
        <v>557.79999999999995</v>
      </c>
      <c r="I158" s="400">
        <v>537.91</v>
      </c>
      <c r="J158" s="400">
        <v>399.33</v>
      </c>
      <c r="K158" s="400">
        <v>417.4</v>
      </c>
    </row>
    <row r="159" spans="1:11" ht="15" customHeight="1" x14ac:dyDescent="0.2">
      <c r="A159" s="10" t="s">
        <v>183</v>
      </c>
      <c r="B159" s="11"/>
      <c r="C159" s="11"/>
      <c r="D159" s="11"/>
      <c r="E159" s="11"/>
      <c r="F159" s="11"/>
      <c r="G159" s="11"/>
      <c r="H159" s="11"/>
      <c r="I159" s="11"/>
      <c r="J159" s="11"/>
      <c r="K159" s="11"/>
    </row>
    <row r="160" spans="1:11" ht="15" customHeight="1" x14ac:dyDescent="0.2">
      <c r="A160" s="12" t="s">
        <v>184</v>
      </c>
      <c r="B160" s="403"/>
      <c r="C160" s="403"/>
      <c r="D160" s="403"/>
      <c r="E160" s="403"/>
      <c r="F160" s="403"/>
      <c r="G160" s="403"/>
      <c r="H160" s="403"/>
      <c r="I160" s="402">
        <v>4.04</v>
      </c>
      <c r="J160" s="402">
        <v>1.44</v>
      </c>
      <c r="K160" s="403"/>
    </row>
    <row r="161" spans="1:11" ht="15" customHeight="1" x14ac:dyDescent="0.2">
      <c r="A161" s="13" t="s">
        <v>185</v>
      </c>
      <c r="B161" s="403"/>
      <c r="C161" s="403"/>
      <c r="D161" s="403"/>
      <c r="E161" s="403"/>
      <c r="F161" s="403"/>
      <c r="G161" s="403"/>
      <c r="H161" s="403"/>
      <c r="I161" s="402">
        <v>4.04</v>
      </c>
      <c r="J161" s="402">
        <v>1.44</v>
      </c>
      <c r="K161" s="403"/>
    </row>
    <row r="162" spans="1:11" ht="15" customHeight="1" x14ac:dyDescent="0.2">
      <c r="A162" s="15" t="s">
        <v>186</v>
      </c>
      <c r="B162" s="403"/>
      <c r="C162" s="403"/>
      <c r="D162" s="403"/>
      <c r="E162" s="403"/>
      <c r="F162" s="403"/>
      <c r="G162" s="403"/>
      <c r="H162" s="403"/>
      <c r="I162" s="402">
        <v>4.04</v>
      </c>
      <c r="J162" s="402">
        <v>1.44</v>
      </c>
      <c r="K162" s="403"/>
    </row>
    <row r="163" spans="1:11" ht="15" customHeight="1" x14ac:dyDescent="0.2">
      <c r="A163" s="10" t="s">
        <v>187</v>
      </c>
      <c r="B163" s="11"/>
      <c r="C163" s="11"/>
      <c r="D163" s="11"/>
      <c r="E163" s="11"/>
      <c r="F163" s="11"/>
      <c r="G163" s="11"/>
      <c r="H163" s="11"/>
      <c r="I163" s="11"/>
      <c r="J163" s="11"/>
      <c r="K163" s="11"/>
    </row>
    <row r="164" spans="1:11" ht="15" customHeight="1" x14ac:dyDescent="0.2">
      <c r="A164" s="12" t="s">
        <v>188</v>
      </c>
      <c r="B164" s="403"/>
      <c r="C164" s="403"/>
      <c r="D164" s="403"/>
      <c r="E164" s="403"/>
      <c r="F164" s="403"/>
      <c r="G164" s="403"/>
      <c r="H164" s="403"/>
      <c r="I164" s="403"/>
      <c r="J164" s="403"/>
      <c r="K164" s="403"/>
    </row>
    <row r="165" spans="1:11" ht="15" customHeight="1" x14ac:dyDescent="0.2">
      <c r="A165" s="13" t="s">
        <v>189</v>
      </c>
      <c r="B165" s="403"/>
      <c r="C165" s="403"/>
      <c r="D165" s="403"/>
      <c r="E165" s="403"/>
      <c r="F165" s="403"/>
      <c r="G165" s="402">
        <v>5.78</v>
      </c>
      <c r="H165" s="402">
        <v>8.9600000000000009</v>
      </c>
      <c r="I165" s="402">
        <v>12.2</v>
      </c>
      <c r="J165" s="402">
        <v>11.14</v>
      </c>
      <c r="K165" s="402">
        <v>11.63</v>
      </c>
    </row>
    <row r="166" spans="1:11" ht="15" customHeight="1" x14ac:dyDescent="0.2">
      <c r="A166" s="13" t="s">
        <v>190</v>
      </c>
      <c r="B166" s="403"/>
      <c r="C166" s="403"/>
      <c r="D166" s="403"/>
      <c r="E166" s="403"/>
      <c r="F166" s="402">
        <v>1.38</v>
      </c>
      <c r="G166" s="402">
        <v>1.26</v>
      </c>
      <c r="H166" s="402">
        <v>2.2400000000000002</v>
      </c>
      <c r="I166" s="402">
        <v>2.87</v>
      </c>
      <c r="J166" s="402">
        <v>3.01</v>
      </c>
      <c r="K166" s="402">
        <v>4.03</v>
      </c>
    </row>
    <row r="167" spans="1:11" ht="15" customHeight="1" x14ac:dyDescent="0.2">
      <c r="A167" s="10" t="s">
        <v>191</v>
      </c>
      <c r="B167" s="11"/>
      <c r="C167" s="11"/>
      <c r="D167" s="11"/>
      <c r="E167" s="11"/>
      <c r="F167" s="11"/>
      <c r="G167" s="11"/>
      <c r="H167" s="11"/>
      <c r="I167" s="11"/>
      <c r="J167" s="11"/>
      <c r="K167" s="11"/>
    </row>
    <row r="168" spans="1:11" ht="15" customHeight="1" x14ac:dyDescent="0.2">
      <c r="A168" s="12" t="s">
        <v>192</v>
      </c>
      <c r="B168" s="400">
        <v>157.28</v>
      </c>
      <c r="C168" s="400">
        <v>180.16</v>
      </c>
      <c r="D168" s="400">
        <v>205.59</v>
      </c>
      <c r="E168" s="400">
        <v>213.43</v>
      </c>
      <c r="F168" s="400">
        <v>217.63</v>
      </c>
      <c r="G168" s="400">
        <v>278.39999999999998</v>
      </c>
      <c r="H168" s="400">
        <v>412.88</v>
      </c>
      <c r="I168" s="400">
        <v>460.53</v>
      </c>
      <c r="J168" s="400">
        <v>407.02</v>
      </c>
      <c r="K168" s="400">
        <v>403.73</v>
      </c>
    </row>
    <row r="169" spans="1:11" ht="15" customHeight="1" x14ac:dyDescent="0.2">
      <c r="A169" s="12" t="s">
        <v>193</v>
      </c>
      <c r="B169" s="400">
        <v>139.63</v>
      </c>
      <c r="C169" s="400">
        <v>161.69</v>
      </c>
      <c r="D169" s="400">
        <v>187.82</v>
      </c>
      <c r="E169" s="400">
        <v>196.75</v>
      </c>
      <c r="F169" s="400">
        <v>201.18</v>
      </c>
      <c r="G169" s="400">
        <v>260.56</v>
      </c>
      <c r="H169" s="400">
        <v>393.39</v>
      </c>
      <c r="I169" s="400">
        <v>436.85</v>
      </c>
      <c r="J169" s="400">
        <v>385.54</v>
      </c>
      <c r="K169" s="400">
        <v>383.98</v>
      </c>
    </row>
    <row r="170" spans="1:11" ht="15" customHeight="1" x14ac:dyDescent="0.2">
      <c r="A170" s="12" t="s">
        <v>194</v>
      </c>
      <c r="B170" s="402">
        <v>1.19</v>
      </c>
      <c r="C170" s="402">
        <v>2.4500000000000002</v>
      </c>
      <c r="D170" s="402">
        <v>3.82</v>
      </c>
      <c r="E170" s="402">
        <v>4</v>
      </c>
      <c r="F170" s="402">
        <v>3.52</v>
      </c>
      <c r="G170" s="402">
        <v>2.94</v>
      </c>
      <c r="H170" s="402">
        <v>21.34</v>
      </c>
      <c r="I170" s="402">
        <v>34.07</v>
      </c>
      <c r="J170" s="402">
        <v>28.29</v>
      </c>
      <c r="K170" s="402">
        <v>26.39</v>
      </c>
    </row>
    <row r="171" spans="1:11" ht="15" customHeight="1" x14ac:dyDescent="0.2">
      <c r="A171" s="12" t="s">
        <v>53</v>
      </c>
      <c r="B171" s="400">
        <v>343.11</v>
      </c>
      <c r="C171" s="400">
        <v>391.37</v>
      </c>
      <c r="D171" s="400">
        <v>439.93</v>
      </c>
      <c r="E171" s="400">
        <v>459.35</v>
      </c>
      <c r="F171" s="400">
        <v>483.86</v>
      </c>
      <c r="G171" s="400">
        <v>551.19000000000005</v>
      </c>
      <c r="H171" s="400">
        <v>796.25</v>
      </c>
      <c r="I171" s="400">
        <v>985.82</v>
      </c>
      <c r="J171" s="400">
        <v>910.36</v>
      </c>
      <c r="K171" s="400">
        <v>920.38</v>
      </c>
    </row>
    <row r="172" spans="1:11" ht="15" customHeight="1" x14ac:dyDescent="0.2">
      <c r="A172" s="12" t="s">
        <v>195</v>
      </c>
      <c r="B172" s="400">
        <v>159.51</v>
      </c>
      <c r="C172" s="400">
        <v>179.54</v>
      </c>
      <c r="D172" s="400">
        <v>195.37</v>
      </c>
      <c r="E172" s="400">
        <v>207.59</v>
      </c>
      <c r="F172" s="400">
        <v>220.62</v>
      </c>
      <c r="G172" s="400">
        <v>226.71</v>
      </c>
      <c r="H172" s="400">
        <v>322.75</v>
      </c>
      <c r="I172" s="400">
        <v>439.7</v>
      </c>
      <c r="J172" s="400">
        <v>436.31</v>
      </c>
      <c r="K172" s="400">
        <v>438.05</v>
      </c>
    </row>
    <row r="173" spans="1:11" ht="15" customHeight="1" x14ac:dyDescent="0.2">
      <c r="A173" s="10" t="s">
        <v>196</v>
      </c>
      <c r="B173" s="11"/>
      <c r="C173" s="11"/>
      <c r="D173" s="11"/>
      <c r="E173" s="11"/>
      <c r="F173" s="11"/>
      <c r="G173" s="11"/>
      <c r="H173" s="11"/>
      <c r="I173" s="11"/>
      <c r="J173" s="11"/>
      <c r="K173" s="11"/>
    </row>
    <row r="174" spans="1:11" ht="15" customHeight="1" x14ac:dyDescent="0.2">
      <c r="A174" s="12" t="s">
        <v>197</v>
      </c>
      <c r="B174" s="400">
        <v>1638</v>
      </c>
      <c r="C174" s="400">
        <v>1854</v>
      </c>
      <c r="D174" s="400">
        <v>1880</v>
      </c>
      <c r="E174" s="400">
        <v>1957</v>
      </c>
      <c r="F174" s="400">
        <v>1955</v>
      </c>
      <c r="G174" s="400">
        <v>2003</v>
      </c>
      <c r="H174" s="400">
        <v>2801</v>
      </c>
      <c r="I174" s="400">
        <v>3372</v>
      </c>
      <c r="J174" s="400">
        <v>3310</v>
      </c>
      <c r="K174" s="400">
        <v>3227</v>
      </c>
    </row>
    <row r="178" spans="1:11" x14ac:dyDescent="0.2">
      <c r="A178" s="8" t="s">
        <v>198</v>
      </c>
      <c r="B178" s="9" t="s">
        <v>39</v>
      </c>
      <c r="C178" s="9" t="s">
        <v>40</v>
      </c>
      <c r="D178" s="9" t="s">
        <v>41</v>
      </c>
      <c r="E178" s="9" t="s">
        <v>42</v>
      </c>
      <c r="F178" s="9" t="s">
        <v>43</v>
      </c>
      <c r="G178" s="9" t="s">
        <v>44</v>
      </c>
      <c r="H178" s="9" t="s">
        <v>45</v>
      </c>
      <c r="I178" s="9" t="s">
        <v>46</v>
      </c>
      <c r="J178" s="9" t="s">
        <v>47</v>
      </c>
      <c r="K178" s="9" t="s">
        <v>48</v>
      </c>
    </row>
    <row r="179" spans="1:11" x14ac:dyDescent="0.2">
      <c r="A179" s="10" t="s">
        <v>199</v>
      </c>
      <c r="B179" s="11"/>
      <c r="C179" s="11"/>
      <c r="D179" s="11"/>
      <c r="E179" s="11"/>
      <c r="F179" s="11"/>
      <c r="G179" s="11"/>
      <c r="H179" s="11"/>
      <c r="I179" s="11"/>
      <c r="J179" s="11"/>
      <c r="K179" s="11"/>
    </row>
    <row r="180" spans="1:11" x14ac:dyDescent="0.2">
      <c r="A180" s="64" t="s">
        <v>200</v>
      </c>
      <c r="B180" s="400">
        <v>270.36</v>
      </c>
      <c r="C180" s="400">
        <v>130.47</v>
      </c>
      <c r="D180" s="400">
        <v>173.31</v>
      </c>
      <c r="E180" s="402">
        <v>96.53</v>
      </c>
      <c r="F180" s="400">
        <v>202.14</v>
      </c>
      <c r="G180" s="400">
        <v>340.01</v>
      </c>
      <c r="H180" s="400">
        <v>403.02</v>
      </c>
      <c r="I180" s="400">
        <v>413.22</v>
      </c>
      <c r="J180" s="400">
        <v>378.75</v>
      </c>
      <c r="K180" s="400">
        <v>378.98</v>
      </c>
    </row>
    <row r="181" spans="1:11" x14ac:dyDescent="0.2">
      <c r="A181" s="61" t="s">
        <v>201</v>
      </c>
      <c r="B181" s="400">
        <v>212.18</v>
      </c>
      <c r="C181" s="400">
        <v>130.47</v>
      </c>
      <c r="D181" s="400">
        <v>159.34</v>
      </c>
      <c r="E181" s="402">
        <v>73.099999999999994</v>
      </c>
      <c r="F181" s="400">
        <v>157.55000000000001</v>
      </c>
      <c r="G181" s="400">
        <v>339.88</v>
      </c>
      <c r="H181" s="400">
        <v>403.02</v>
      </c>
      <c r="I181" s="400">
        <v>241.78</v>
      </c>
      <c r="J181" s="400">
        <v>280.31</v>
      </c>
      <c r="K181" s="400">
        <v>344.27</v>
      </c>
    </row>
    <row r="182" spans="1:11" x14ac:dyDescent="0.2">
      <c r="A182" s="61" t="s">
        <v>202</v>
      </c>
      <c r="B182" s="402">
        <v>58.18</v>
      </c>
      <c r="C182" s="403">
        <v>0</v>
      </c>
      <c r="D182" s="402">
        <v>13.97</v>
      </c>
      <c r="E182" s="402">
        <v>23.42</v>
      </c>
      <c r="F182" s="402">
        <v>44.59</v>
      </c>
      <c r="G182" s="402">
        <v>0.13</v>
      </c>
      <c r="H182" s="403">
        <v>0</v>
      </c>
      <c r="I182" s="400">
        <v>171.44</v>
      </c>
      <c r="J182" s="402">
        <v>98.44</v>
      </c>
      <c r="K182" s="402">
        <v>34.71</v>
      </c>
    </row>
    <row r="183" spans="1:11" x14ac:dyDescent="0.2">
      <c r="A183" s="61" t="s">
        <v>203</v>
      </c>
      <c r="B183" s="402">
        <v>58.18</v>
      </c>
      <c r="C183" s="403">
        <v>0</v>
      </c>
      <c r="D183" s="402">
        <v>13.97</v>
      </c>
      <c r="E183" s="402">
        <v>23.42</v>
      </c>
      <c r="F183" s="402">
        <v>44.59</v>
      </c>
      <c r="G183" s="402">
        <v>0.13</v>
      </c>
      <c r="H183" s="403">
        <v>0</v>
      </c>
      <c r="I183" s="400">
        <v>171.44</v>
      </c>
      <c r="J183" s="18">
        <v>0</v>
      </c>
      <c r="K183" s="402">
        <v>0.06</v>
      </c>
    </row>
    <row r="184" spans="1:11" x14ac:dyDescent="0.2">
      <c r="A184" s="69" t="s">
        <v>204</v>
      </c>
      <c r="B184" s="403"/>
      <c r="C184" s="403"/>
      <c r="D184" s="403"/>
      <c r="E184" s="403"/>
      <c r="F184" s="403"/>
      <c r="G184" s="403"/>
      <c r="H184" s="403"/>
      <c r="I184" s="403"/>
      <c r="J184" s="402">
        <v>24.64</v>
      </c>
      <c r="K184" s="402">
        <v>14.29</v>
      </c>
    </row>
    <row r="185" spans="1:11" x14ac:dyDescent="0.2">
      <c r="A185" s="64" t="s">
        <v>205</v>
      </c>
      <c r="B185" s="400">
        <v>105.61</v>
      </c>
      <c r="C185" s="400">
        <v>120.26</v>
      </c>
      <c r="D185" s="400">
        <v>128.82</v>
      </c>
      <c r="E185" s="400">
        <v>131.09</v>
      </c>
      <c r="F185" s="400">
        <v>132.51</v>
      </c>
      <c r="G185" s="400">
        <v>166.69</v>
      </c>
      <c r="H185" s="400">
        <v>226.25</v>
      </c>
      <c r="I185" s="400">
        <v>252.31</v>
      </c>
      <c r="J185" s="400">
        <v>228.71</v>
      </c>
      <c r="K185" s="400">
        <v>204.11</v>
      </c>
    </row>
    <row r="186" spans="1:11" x14ac:dyDescent="0.2">
      <c r="A186" s="61" t="s">
        <v>206</v>
      </c>
      <c r="B186" s="400">
        <v>105.61</v>
      </c>
      <c r="C186" s="400">
        <v>120.26</v>
      </c>
      <c r="D186" s="400">
        <v>128.82</v>
      </c>
      <c r="E186" s="400">
        <v>131.09</v>
      </c>
      <c r="F186" s="400">
        <v>132.51</v>
      </c>
      <c r="G186" s="400">
        <v>165.68</v>
      </c>
      <c r="H186" s="400">
        <v>217.59</v>
      </c>
      <c r="I186" s="400">
        <v>220.04</v>
      </c>
      <c r="J186" s="400">
        <v>198.56</v>
      </c>
      <c r="K186" s="400">
        <v>194.7</v>
      </c>
    </row>
    <row r="187" spans="1:11" x14ac:dyDescent="0.2">
      <c r="A187" s="62" t="s">
        <v>207</v>
      </c>
      <c r="B187" s="400">
        <v>115.43</v>
      </c>
      <c r="C187" s="400">
        <v>130.88</v>
      </c>
      <c r="D187" s="400">
        <v>138.44</v>
      </c>
      <c r="E187" s="400">
        <v>139.97</v>
      </c>
      <c r="F187" s="400">
        <v>141.13</v>
      </c>
      <c r="G187" s="400">
        <v>174.42</v>
      </c>
      <c r="H187" s="400">
        <v>229.56</v>
      </c>
      <c r="I187" s="400">
        <v>233.54</v>
      </c>
      <c r="J187" s="400">
        <v>209.81</v>
      </c>
      <c r="K187" s="400">
        <v>206.12</v>
      </c>
    </row>
    <row r="188" spans="1:11" x14ac:dyDescent="0.2">
      <c r="A188" s="62" t="s">
        <v>208</v>
      </c>
      <c r="B188" s="402">
        <v>9.82</v>
      </c>
      <c r="C188" s="402">
        <v>10.62</v>
      </c>
      <c r="D188" s="402">
        <v>9.6199999999999992</v>
      </c>
      <c r="E188" s="402">
        <v>8.8800000000000008</v>
      </c>
      <c r="F188" s="402">
        <v>8.6199999999999992</v>
      </c>
      <c r="G188" s="402">
        <v>8.74</v>
      </c>
      <c r="H188" s="402">
        <v>11.97</v>
      </c>
      <c r="I188" s="402">
        <v>13.5</v>
      </c>
      <c r="J188" s="402">
        <v>11.25</v>
      </c>
      <c r="K188" s="402">
        <v>11.43</v>
      </c>
    </row>
    <row r="189" spans="1:11" x14ac:dyDescent="0.2">
      <c r="A189" s="61" t="s">
        <v>209</v>
      </c>
      <c r="B189" s="403"/>
      <c r="C189" s="403"/>
      <c r="D189" s="403"/>
      <c r="E189" s="403"/>
      <c r="F189" s="403"/>
      <c r="G189" s="402">
        <v>1.01</v>
      </c>
      <c r="H189" s="402">
        <v>8.66</v>
      </c>
      <c r="I189" s="402">
        <v>32.28</v>
      </c>
      <c r="J189" s="402">
        <v>30.15</v>
      </c>
      <c r="K189" s="402">
        <v>9.41</v>
      </c>
    </row>
    <row r="190" spans="1:11" x14ac:dyDescent="0.2">
      <c r="A190" s="64" t="s">
        <v>210</v>
      </c>
      <c r="B190" s="400">
        <v>106.19</v>
      </c>
      <c r="C190" s="400">
        <v>128.87</v>
      </c>
      <c r="D190" s="400">
        <v>142.80000000000001</v>
      </c>
      <c r="E190" s="400">
        <v>160.4</v>
      </c>
      <c r="F190" s="400">
        <v>171.13</v>
      </c>
      <c r="G190" s="400">
        <v>191.23</v>
      </c>
      <c r="H190" s="400">
        <v>298.05</v>
      </c>
      <c r="I190" s="400">
        <v>306.5</v>
      </c>
      <c r="J190" s="400">
        <v>315.5</v>
      </c>
      <c r="K190" s="400">
        <v>344.04</v>
      </c>
    </row>
    <row r="191" spans="1:11" x14ac:dyDescent="0.2">
      <c r="A191" s="61" t="s">
        <v>211</v>
      </c>
      <c r="B191" s="402">
        <v>32.54</v>
      </c>
      <c r="C191" s="402">
        <v>37.31</v>
      </c>
      <c r="D191" s="402">
        <v>40.33</v>
      </c>
      <c r="E191" s="402">
        <v>46.03</v>
      </c>
      <c r="F191" s="402">
        <v>49.77</v>
      </c>
      <c r="G191" s="402">
        <v>67.489999999999995</v>
      </c>
      <c r="H191" s="400">
        <v>149.43</v>
      </c>
      <c r="I191" s="400">
        <v>136.62</v>
      </c>
      <c r="J191" s="400">
        <v>135.91999999999999</v>
      </c>
      <c r="K191" s="400">
        <v>158.01</v>
      </c>
    </row>
    <row r="192" spans="1:11" x14ac:dyDescent="0.2">
      <c r="A192" s="61" t="s">
        <v>212</v>
      </c>
      <c r="B192" s="402">
        <v>37.659999999999997</v>
      </c>
      <c r="C192" s="402">
        <v>42.28</v>
      </c>
      <c r="D192" s="402">
        <v>45.34</v>
      </c>
      <c r="E192" s="402">
        <v>47.39</v>
      </c>
      <c r="F192" s="402">
        <v>49.9</v>
      </c>
      <c r="G192" s="402">
        <v>52.47</v>
      </c>
      <c r="H192" s="402">
        <v>75.61</v>
      </c>
      <c r="I192" s="402">
        <v>74.84</v>
      </c>
      <c r="J192" s="402">
        <v>76.39</v>
      </c>
      <c r="K192" s="402">
        <v>82.34</v>
      </c>
    </row>
    <row r="193" spans="1:11" x14ac:dyDescent="0.2">
      <c r="A193" s="61" t="s">
        <v>213</v>
      </c>
      <c r="B193" s="402">
        <v>35.99</v>
      </c>
      <c r="C193" s="402">
        <v>49.28</v>
      </c>
      <c r="D193" s="402">
        <v>57.14</v>
      </c>
      <c r="E193" s="402">
        <v>66.98</v>
      </c>
      <c r="F193" s="402">
        <v>71.459999999999994</v>
      </c>
      <c r="G193" s="402">
        <v>71.28</v>
      </c>
      <c r="H193" s="402">
        <v>73.010000000000005</v>
      </c>
      <c r="I193" s="402">
        <v>95.04</v>
      </c>
      <c r="J193" s="400">
        <v>103.19</v>
      </c>
      <c r="K193" s="400">
        <v>103.69</v>
      </c>
    </row>
    <row r="194" spans="1:11" x14ac:dyDescent="0.2">
      <c r="A194" s="61" t="s">
        <v>214</v>
      </c>
      <c r="B194" s="403"/>
      <c r="C194" s="403"/>
      <c r="D194" s="403"/>
      <c r="E194" s="403"/>
      <c r="F194" s="403"/>
      <c r="G194" s="403"/>
      <c r="H194" s="403"/>
      <c r="I194" s="18">
        <v>0</v>
      </c>
      <c r="J194" s="403"/>
      <c r="K194" s="403">
        <v>0</v>
      </c>
    </row>
    <row r="195" spans="1:11" x14ac:dyDescent="0.2">
      <c r="A195" s="64" t="s">
        <v>215</v>
      </c>
      <c r="B195" s="402">
        <v>2.38</v>
      </c>
      <c r="C195" s="402">
        <v>2.44</v>
      </c>
      <c r="D195" s="402">
        <v>3.22</v>
      </c>
      <c r="E195" s="402">
        <v>3.86</v>
      </c>
      <c r="F195" s="403"/>
      <c r="G195" s="403"/>
      <c r="H195" s="403"/>
      <c r="I195" s="403"/>
      <c r="J195" s="403"/>
      <c r="K195" s="403"/>
    </row>
    <row r="196" spans="1:11" x14ac:dyDescent="0.2">
      <c r="A196" s="64" t="s">
        <v>216</v>
      </c>
      <c r="B196" s="402">
        <v>9.7899999999999991</v>
      </c>
      <c r="C196" s="402">
        <v>13.34</v>
      </c>
      <c r="D196" s="402">
        <v>33.08</v>
      </c>
      <c r="E196" s="402">
        <v>22.99</v>
      </c>
      <c r="F196" s="402">
        <v>24.98</v>
      </c>
      <c r="G196" s="402">
        <v>15.99</v>
      </c>
      <c r="H196" s="402">
        <v>30.97</v>
      </c>
      <c r="I196" s="402">
        <v>56.91</v>
      </c>
      <c r="J196" s="402">
        <v>35.090000000000003</v>
      </c>
      <c r="K196" s="402">
        <v>25.76</v>
      </c>
    </row>
    <row r="197" spans="1:11" x14ac:dyDescent="0.2">
      <c r="A197" s="61" t="s">
        <v>217</v>
      </c>
      <c r="B197" s="402">
        <v>9.7899999999999991</v>
      </c>
      <c r="C197" s="402">
        <v>13.34</v>
      </c>
      <c r="D197" s="402">
        <v>33.08</v>
      </c>
      <c r="E197" s="402">
        <v>22.99</v>
      </c>
      <c r="F197" s="403"/>
      <c r="G197" s="402">
        <v>15.99</v>
      </c>
      <c r="H197" s="402">
        <v>30.97</v>
      </c>
      <c r="I197" s="402">
        <v>56.91</v>
      </c>
      <c r="J197" s="402">
        <v>35.090000000000003</v>
      </c>
      <c r="K197" s="402">
        <v>25.76</v>
      </c>
    </row>
    <row r="198" spans="1:11" x14ac:dyDescent="0.2">
      <c r="A198" s="14" t="s">
        <v>218</v>
      </c>
      <c r="B198" s="401">
        <v>494.33</v>
      </c>
      <c r="C198" s="401">
        <v>395.38</v>
      </c>
      <c r="D198" s="401">
        <v>481.24</v>
      </c>
      <c r="E198" s="401">
        <v>414.86</v>
      </c>
      <c r="F198" s="401">
        <v>530.76</v>
      </c>
      <c r="G198" s="401">
        <v>713.92</v>
      </c>
      <c r="H198" s="401">
        <v>958.29</v>
      </c>
      <c r="I198" s="401">
        <v>1028.94</v>
      </c>
      <c r="J198" s="401">
        <v>982.69</v>
      </c>
      <c r="K198" s="401">
        <v>967.18</v>
      </c>
    </row>
    <row r="199" spans="1:11" x14ac:dyDescent="0.2">
      <c r="A199" s="10" t="s">
        <v>219</v>
      </c>
      <c r="B199" s="11"/>
      <c r="C199" s="11"/>
      <c r="D199" s="11"/>
      <c r="E199" s="11"/>
      <c r="F199" s="11"/>
      <c r="G199" s="11"/>
      <c r="H199" s="11"/>
      <c r="I199" s="11"/>
      <c r="J199" s="11"/>
      <c r="K199" s="11"/>
    </row>
    <row r="200" spans="1:11" x14ac:dyDescent="0.2">
      <c r="A200" s="67" t="s">
        <v>220</v>
      </c>
      <c r="B200" s="403"/>
      <c r="C200" s="403"/>
      <c r="D200" s="403"/>
      <c r="E200" s="403"/>
      <c r="F200" s="403"/>
      <c r="G200" s="403"/>
      <c r="H200" s="402">
        <v>10.72</v>
      </c>
      <c r="I200" s="402">
        <v>32.159999999999997</v>
      </c>
      <c r="J200" s="403"/>
      <c r="K200" s="403"/>
    </row>
    <row r="201" spans="1:11" x14ac:dyDescent="0.2">
      <c r="A201" s="68" t="s">
        <v>221</v>
      </c>
      <c r="B201" s="403"/>
      <c r="C201" s="403"/>
      <c r="D201" s="403"/>
      <c r="E201" s="403"/>
      <c r="F201" s="403"/>
      <c r="G201" s="403"/>
      <c r="H201" s="402">
        <v>10.72</v>
      </c>
      <c r="I201" s="402">
        <v>32.159999999999997</v>
      </c>
      <c r="J201" s="403"/>
      <c r="K201" s="403"/>
    </row>
    <row r="202" spans="1:11" x14ac:dyDescent="0.2">
      <c r="A202" s="67" t="s">
        <v>222</v>
      </c>
      <c r="B202" s="402">
        <v>0.22</v>
      </c>
      <c r="C202" s="402">
        <v>0.03</v>
      </c>
      <c r="D202" s="402">
        <v>0.03</v>
      </c>
      <c r="E202" s="402">
        <v>0.03</v>
      </c>
      <c r="F202" s="402">
        <v>0.03</v>
      </c>
      <c r="G202" s="402">
        <v>0.03</v>
      </c>
      <c r="H202" s="402">
        <v>0.03</v>
      </c>
      <c r="I202" s="402">
        <v>0.03</v>
      </c>
      <c r="J202" s="402">
        <v>0.03</v>
      </c>
      <c r="K202" s="402">
        <v>0.03</v>
      </c>
    </row>
    <row r="203" spans="1:11" x14ac:dyDescent="0.2">
      <c r="A203" s="67" t="s">
        <v>223</v>
      </c>
      <c r="B203" s="403"/>
      <c r="C203" s="403"/>
      <c r="D203" s="403"/>
      <c r="E203" s="403"/>
      <c r="F203" s="403"/>
      <c r="G203" s="403"/>
      <c r="H203" s="403"/>
      <c r="I203" s="403"/>
      <c r="J203" s="402">
        <v>12.89</v>
      </c>
      <c r="K203" s="402">
        <v>3.56</v>
      </c>
    </row>
    <row r="204" spans="1:11" x14ac:dyDescent="0.2">
      <c r="A204" s="64" t="s">
        <v>224</v>
      </c>
      <c r="B204" s="402">
        <v>74.489999999999995</v>
      </c>
      <c r="C204" s="402">
        <v>92.13</v>
      </c>
      <c r="D204" s="402">
        <v>92.33</v>
      </c>
      <c r="E204" s="402">
        <v>94.98</v>
      </c>
      <c r="F204" s="400">
        <v>128.38999999999999</v>
      </c>
      <c r="G204" s="400">
        <v>140.5</v>
      </c>
      <c r="H204" s="400">
        <v>276.2</v>
      </c>
      <c r="I204" s="400">
        <v>268.45</v>
      </c>
      <c r="J204" s="400">
        <v>256.29000000000002</v>
      </c>
      <c r="K204" s="400">
        <v>271.36</v>
      </c>
    </row>
    <row r="205" spans="1:11" x14ac:dyDescent="0.2">
      <c r="A205" s="61" t="s">
        <v>225</v>
      </c>
      <c r="B205" s="402">
        <v>74.489999999999995</v>
      </c>
      <c r="C205" s="402">
        <v>92.13</v>
      </c>
      <c r="D205" s="402">
        <v>92.33</v>
      </c>
      <c r="E205" s="402">
        <v>94.98</v>
      </c>
      <c r="F205" s="400">
        <v>128.38999999999999</v>
      </c>
      <c r="G205" s="400">
        <v>140.5</v>
      </c>
      <c r="H205" s="400">
        <v>276.2</v>
      </c>
      <c r="I205" s="400">
        <v>268.45</v>
      </c>
      <c r="J205" s="400">
        <v>256.29000000000002</v>
      </c>
      <c r="K205" s="400">
        <v>271.36</v>
      </c>
    </row>
    <row r="206" spans="1:11" x14ac:dyDescent="0.2">
      <c r="A206" s="62" t="s">
        <v>226</v>
      </c>
      <c r="B206" s="402">
        <v>6.91</v>
      </c>
      <c r="C206" s="402">
        <v>6.78</v>
      </c>
      <c r="D206" s="402">
        <v>8.6</v>
      </c>
      <c r="E206" s="402">
        <v>9.2200000000000006</v>
      </c>
      <c r="F206" s="402">
        <v>10.91</v>
      </c>
      <c r="G206" s="402">
        <v>12.64</v>
      </c>
      <c r="H206" s="402">
        <v>21.6</v>
      </c>
      <c r="I206" s="402">
        <v>27.04</v>
      </c>
      <c r="J206" s="402">
        <v>30.64</v>
      </c>
      <c r="K206" s="402">
        <v>39.01</v>
      </c>
    </row>
    <row r="207" spans="1:11" x14ac:dyDescent="0.2">
      <c r="A207" s="63" t="s">
        <v>227</v>
      </c>
      <c r="B207" s="402">
        <v>2.38</v>
      </c>
      <c r="C207" s="402">
        <v>2.38</v>
      </c>
      <c r="D207" s="402">
        <v>2.35</v>
      </c>
      <c r="E207" s="402">
        <v>2.36</v>
      </c>
      <c r="F207" s="402">
        <v>2.37</v>
      </c>
      <c r="G207" s="402">
        <v>2.34</v>
      </c>
      <c r="H207" s="402">
        <v>4.9800000000000004</v>
      </c>
      <c r="I207" s="402">
        <v>5.16</v>
      </c>
      <c r="J207" s="402">
        <v>5.05</v>
      </c>
      <c r="K207" s="402">
        <v>5.24</v>
      </c>
    </row>
    <row r="208" spans="1:11" x14ac:dyDescent="0.2">
      <c r="A208" s="63" t="s">
        <v>228</v>
      </c>
      <c r="B208" s="402">
        <v>4.54</v>
      </c>
      <c r="C208" s="402">
        <v>4.3899999999999997</v>
      </c>
      <c r="D208" s="402">
        <v>6.25</v>
      </c>
      <c r="E208" s="402">
        <v>6.86</v>
      </c>
      <c r="F208" s="402">
        <v>8.5500000000000007</v>
      </c>
      <c r="G208" s="402">
        <v>10.3</v>
      </c>
      <c r="H208" s="402">
        <v>16.61</v>
      </c>
      <c r="I208" s="402">
        <v>21.88</v>
      </c>
      <c r="J208" s="402">
        <v>25.59</v>
      </c>
      <c r="K208" s="402">
        <v>33.770000000000003</v>
      </c>
    </row>
    <row r="209" spans="1:11" x14ac:dyDescent="0.2">
      <c r="A209" s="62" t="s">
        <v>229</v>
      </c>
      <c r="B209" s="402">
        <v>56.63</v>
      </c>
      <c r="C209" s="402">
        <v>65.92</v>
      </c>
      <c r="D209" s="402">
        <v>61.6</v>
      </c>
      <c r="E209" s="402">
        <v>63.36</v>
      </c>
      <c r="F209" s="402">
        <v>62.08</v>
      </c>
      <c r="G209" s="402">
        <v>66.98</v>
      </c>
      <c r="H209" s="400">
        <v>113.97</v>
      </c>
      <c r="I209" s="400">
        <v>104.81</v>
      </c>
      <c r="J209" s="402">
        <v>85.49</v>
      </c>
      <c r="K209" s="402">
        <v>81.209999999999994</v>
      </c>
    </row>
    <row r="210" spans="1:11" x14ac:dyDescent="0.2">
      <c r="A210" s="62" t="s">
        <v>230</v>
      </c>
      <c r="B210" s="402">
        <v>3.92</v>
      </c>
      <c r="C210" s="402">
        <v>7.07</v>
      </c>
      <c r="D210" s="402">
        <v>12.76</v>
      </c>
      <c r="E210" s="402">
        <v>10.35</v>
      </c>
      <c r="F210" s="402">
        <v>14.3</v>
      </c>
      <c r="G210" s="402">
        <v>15.66</v>
      </c>
      <c r="H210" s="402">
        <v>27.61</v>
      </c>
      <c r="I210" s="402">
        <v>34.380000000000003</v>
      </c>
      <c r="J210" s="402">
        <v>30.17</v>
      </c>
      <c r="K210" s="402">
        <v>33.94</v>
      </c>
    </row>
    <row r="211" spans="1:11" x14ac:dyDescent="0.2">
      <c r="A211" s="62" t="s">
        <v>231</v>
      </c>
      <c r="B211" s="403"/>
      <c r="C211" s="403"/>
      <c r="D211" s="403"/>
      <c r="E211" s="403"/>
      <c r="F211" s="402">
        <v>28.63</v>
      </c>
      <c r="G211" s="402">
        <v>33.36</v>
      </c>
      <c r="H211" s="402">
        <v>72.58</v>
      </c>
      <c r="I211" s="402">
        <v>62.85</v>
      </c>
      <c r="J211" s="402">
        <v>67.02</v>
      </c>
      <c r="K211" s="402">
        <v>69.31</v>
      </c>
    </row>
    <row r="212" spans="1:11" x14ac:dyDescent="0.2">
      <c r="A212" s="63" t="s">
        <v>232</v>
      </c>
      <c r="B212" s="403"/>
      <c r="C212" s="403"/>
      <c r="D212" s="403"/>
      <c r="E212" s="403"/>
      <c r="F212" s="402">
        <v>28.63</v>
      </c>
      <c r="G212" s="402">
        <v>33.36</v>
      </c>
      <c r="H212" s="402">
        <v>72.58</v>
      </c>
      <c r="I212" s="402">
        <v>62.85</v>
      </c>
      <c r="J212" s="402">
        <v>67.02</v>
      </c>
      <c r="K212" s="402">
        <v>69.31</v>
      </c>
    </row>
    <row r="213" spans="1:11" x14ac:dyDescent="0.2">
      <c r="A213" s="62" t="s">
        <v>233</v>
      </c>
      <c r="B213" s="402">
        <v>7.04</v>
      </c>
      <c r="C213" s="402">
        <v>12.37</v>
      </c>
      <c r="D213" s="402">
        <v>9.3800000000000008</v>
      </c>
      <c r="E213" s="402">
        <v>12.05</v>
      </c>
      <c r="F213" s="402">
        <v>12.46</v>
      </c>
      <c r="G213" s="402">
        <v>11.86</v>
      </c>
      <c r="H213" s="402">
        <v>40.44</v>
      </c>
      <c r="I213" s="402">
        <v>39.369999999999997</v>
      </c>
      <c r="J213" s="402">
        <v>42.98</v>
      </c>
      <c r="K213" s="402">
        <v>47.9</v>
      </c>
    </row>
    <row r="214" spans="1:11" x14ac:dyDescent="0.2">
      <c r="A214" s="61" t="s">
        <v>234</v>
      </c>
      <c r="B214" s="400">
        <v>227.36</v>
      </c>
      <c r="C214" s="400">
        <v>258.77999999999997</v>
      </c>
      <c r="D214" s="400">
        <v>268.04000000000002</v>
      </c>
      <c r="E214" s="400">
        <v>281.66000000000003</v>
      </c>
      <c r="F214" s="400">
        <v>330.77</v>
      </c>
      <c r="G214" s="400">
        <v>347.88</v>
      </c>
      <c r="H214" s="400">
        <v>524.32000000000005</v>
      </c>
      <c r="I214" s="400">
        <v>555.27</v>
      </c>
      <c r="J214" s="400">
        <v>598.51</v>
      </c>
      <c r="K214" s="400">
        <v>644.79999999999995</v>
      </c>
    </row>
    <row r="215" spans="1:11" x14ac:dyDescent="0.2">
      <c r="A215" s="62" t="s">
        <v>235</v>
      </c>
      <c r="B215" s="400">
        <v>227.36</v>
      </c>
      <c r="C215" s="400">
        <v>258.77999999999997</v>
      </c>
      <c r="D215" s="400">
        <v>268.04000000000002</v>
      </c>
      <c r="E215" s="400">
        <v>281.66000000000003</v>
      </c>
      <c r="F215" s="400">
        <v>330.77</v>
      </c>
      <c r="G215" s="400">
        <v>347.88</v>
      </c>
      <c r="H215" s="400">
        <v>524.32000000000005</v>
      </c>
      <c r="I215" s="400">
        <v>555.27</v>
      </c>
      <c r="J215" s="400">
        <v>598.51</v>
      </c>
      <c r="K215" s="400">
        <v>644.79999999999995</v>
      </c>
    </row>
    <row r="216" spans="1:11" x14ac:dyDescent="0.2">
      <c r="A216" s="63" t="s">
        <v>236</v>
      </c>
      <c r="B216" s="402">
        <v>22.4</v>
      </c>
      <c r="C216" s="402">
        <v>22.98</v>
      </c>
      <c r="D216" s="402">
        <v>24.57</v>
      </c>
      <c r="E216" s="402">
        <v>26</v>
      </c>
      <c r="F216" s="402">
        <v>27.93</v>
      </c>
      <c r="G216" s="402">
        <v>29.98</v>
      </c>
      <c r="H216" s="402">
        <v>40.54</v>
      </c>
      <c r="I216" s="402">
        <v>47.79</v>
      </c>
      <c r="J216" s="402">
        <v>52.65</v>
      </c>
      <c r="K216" s="402">
        <v>63.96</v>
      </c>
    </row>
    <row r="217" spans="1:11" x14ac:dyDescent="0.2">
      <c r="A217" s="65" t="s">
        <v>237</v>
      </c>
      <c r="B217" s="402">
        <v>2.38</v>
      </c>
      <c r="C217" s="402">
        <v>2.38</v>
      </c>
      <c r="D217" s="402">
        <v>2.35</v>
      </c>
      <c r="E217" s="402">
        <v>2.36</v>
      </c>
      <c r="F217" s="402">
        <v>2.37</v>
      </c>
      <c r="G217" s="402">
        <v>2.34</v>
      </c>
      <c r="H217" s="402">
        <v>4.9800000000000004</v>
      </c>
      <c r="I217" s="402">
        <v>5.16</v>
      </c>
      <c r="J217" s="402">
        <v>5.05</v>
      </c>
      <c r="K217" s="402">
        <v>5.24</v>
      </c>
    </row>
    <row r="218" spans="1:11" x14ac:dyDescent="0.2">
      <c r="A218" s="65" t="s">
        <v>238</v>
      </c>
      <c r="B218" s="402">
        <v>20.02</v>
      </c>
      <c r="C218" s="402">
        <v>20.6</v>
      </c>
      <c r="D218" s="402">
        <v>22.22</v>
      </c>
      <c r="E218" s="402">
        <v>23.64</v>
      </c>
      <c r="F218" s="402">
        <v>25.57</v>
      </c>
      <c r="G218" s="402">
        <v>27.64</v>
      </c>
      <c r="H218" s="402">
        <v>35.56</v>
      </c>
      <c r="I218" s="402">
        <v>42.63</v>
      </c>
      <c r="J218" s="402">
        <v>47.59</v>
      </c>
      <c r="K218" s="402">
        <v>58.71</v>
      </c>
    </row>
    <row r="219" spans="1:11" x14ac:dyDescent="0.2">
      <c r="A219" s="63" t="s">
        <v>239</v>
      </c>
      <c r="B219" s="400">
        <v>183.54</v>
      </c>
      <c r="C219" s="400">
        <v>204.65</v>
      </c>
      <c r="D219" s="400">
        <v>206.17</v>
      </c>
      <c r="E219" s="400">
        <v>216.18</v>
      </c>
      <c r="F219" s="400">
        <v>225.51</v>
      </c>
      <c r="G219" s="400">
        <v>228.7</v>
      </c>
      <c r="H219" s="400">
        <v>301.07</v>
      </c>
      <c r="I219" s="400">
        <v>318.5</v>
      </c>
      <c r="J219" s="400">
        <v>337.37</v>
      </c>
      <c r="K219" s="400">
        <v>351.73</v>
      </c>
    </row>
    <row r="220" spans="1:11" x14ac:dyDescent="0.2">
      <c r="A220" s="63" t="s">
        <v>240</v>
      </c>
      <c r="B220" s="402">
        <v>3.92</v>
      </c>
      <c r="C220" s="402">
        <v>7.07</v>
      </c>
      <c r="D220" s="402">
        <v>12.76</v>
      </c>
      <c r="E220" s="402">
        <v>10.35</v>
      </c>
      <c r="F220" s="402">
        <v>14.3</v>
      </c>
      <c r="G220" s="402">
        <v>15.66</v>
      </c>
      <c r="H220" s="402">
        <v>27.61</v>
      </c>
      <c r="I220" s="402">
        <v>34.380000000000003</v>
      </c>
      <c r="J220" s="402">
        <v>30.17</v>
      </c>
      <c r="K220" s="402">
        <v>33.94</v>
      </c>
    </row>
    <row r="221" spans="1:11" x14ac:dyDescent="0.2">
      <c r="A221" s="63" t="s">
        <v>241</v>
      </c>
      <c r="B221" s="403"/>
      <c r="C221" s="403"/>
      <c r="D221" s="403"/>
      <c r="E221" s="403"/>
      <c r="F221" s="402">
        <v>34.04</v>
      </c>
      <c r="G221" s="402">
        <v>43.65</v>
      </c>
      <c r="H221" s="402">
        <v>90.45</v>
      </c>
      <c r="I221" s="402">
        <v>82.32</v>
      </c>
      <c r="J221" s="402">
        <v>97.85</v>
      </c>
      <c r="K221" s="400">
        <v>101.86</v>
      </c>
    </row>
    <row r="222" spans="1:11" x14ac:dyDescent="0.2">
      <c r="A222" s="65" t="s">
        <v>242</v>
      </c>
      <c r="B222" s="403"/>
      <c r="C222" s="403"/>
      <c r="D222" s="403"/>
      <c r="E222" s="403"/>
      <c r="F222" s="402">
        <v>34.04</v>
      </c>
      <c r="G222" s="402">
        <v>43.65</v>
      </c>
      <c r="H222" s="402">
        <v>90.45</v>
      </c>
      <c r="I222" s="402">
        <v>82.32</v>
      </c>
      <c r="J222" s="402">
        <v>97.85</v>
      </c>
      <c r="K222" s="400">
        <v>101.86</v>
      </c>
    </row>
    <row r="223" spans="1:11" x14ac:dyDescent="0.2">
      <c r="A223" s="63" t="s">
        <v>243</v>
      </c>
      <c r="B223" s="402">
        <v>17.5</v>
      </c>
      <c r="C223" s="402">
        <v>24.07</v>
      </c>
      <c r="D223" s="402">
        <v>24.55</v>
      </c>
      <c r="E223" s="402">
        <v>29.13</v>
      </c>
      <c r="F223" s="402">
        <v>28.99</v>
      </c>
      <c r="G223" s="402">
        <v>29.9</v>
      </c>
      <c r="H223" s="402">
        <v>64.66</v>
      </c>
      <c r="I223" s="402">
        <v>72.28</v>
      </c>
      <c r="J223" s="402">
        <v>80.48</v>
      </c>
      <c r="K223" s="402">
        <v>93.32</v>
      </c>
    </row>
    <row r="224" spans="1:11" x14ac:dyDescent="0.2">
      <c r="A224" s="61" t="s">
        <v>244</v>
      </c>
      <c r="B224" s="400">
        <v>152.86000000000001</v>
      </c>
      <c r="C224" s="400">
        <v>166.64</v>
      </c>
      <c r="D224" s="400">
        <v>175.71</v>
      </c>
      <c r="E224" s="400">
        <v>186.68</v>
      </c>
      <c r="F224" s="400">
        <v>202.39</v>
      </c>
      <c r="G224" s="400">
        <v>207.39</v>
      </c>
      <c r="H224" s="400">
        <v>248.12</v>
      </c>
      <c r="I224" s="400">
        <v>286.82</v>
      </c>
      <c r="J224" s="400">
        <v>342.22</v>
      </c>
      <c r="K224" s="400">
        <v>373.44</v>
      </c>
    </row>
    <row r="225" spans="1:11" x14ac:dyDescent="0.2">
      <c r="A225" s="62" t="s">
        <v>245</v>
      </c>
      <c r="B225" s="400">
        <v>152.86000000000001</v>
      </c>
      <c r="C225" s="400">
        <v>166.64</v>
      </c>
      <c r="D225" s="400">
        <v>175.71</v>
      </c>
      <c r="E225" s="400">
        <v>186.68</v>
      </c>
      <c r="F225" s="400">
        <v>202.39</v>
      </c>
      <c r="G225" s="400">
        <v>207.39</v>
      </c>
      <c r="H225" s="400">
        <v>248.12</v>
      </c>
      <c r="I225" s="400">
        <v>286.82</v>
      </c>
      <c r="J225" s="400">
        <v>342.22</v>
      </c>
      <c r="K225" s="400">
        <v>373.44</v>
      </c>
    </row>
    <row r="226" spans="1:11" x14ac:dyDescent="0.2">
      <c r="A226" s="63" t="s">
        <v>246</v>
      </c>
      <c r="B226" s="402">
        <v>15.49</v>
      </c>
      <c r="C226" s="402">
        <v>16.21</v>
      </c>
      <c r="D226" s="402">
        <v>15.97</v>
      </c>
      <c r="E226" s="402">
        <v>16.78</v>
      </c>
      <c r="F226" s="402">
        <v>17.02</v>
      </c>
      <c r="G226" s="402">
        <v>17.34</v>
      </c>
      <c r="H226" s="402">
        <v>18.940000000000001</v>
      </c>
      <c r="I226" s="402">
        <v>20.76</v>
      </c>
      <c r="J226" s="402">
        <v>22.01</v>
      </c>
      <c r="K226" s="402">
        <v>24.94</v>
      </c>
    </row>
    <row r="227" spans="1:11" x14ac:dyDescent="0.2">
      <c r="A227" s="65" t="s">
        <v>247</v>
      </c>
      <c r="B227" s="403">
        <v>0</v>
      </c>
      <c r="C227" s="403">
        <v>0</v>
      </c>
      <c r="D227" s="403">
        <v>0</v>
      </c>
      <c r="E227" s="403">
        <v>0</v>
      </c>
      <c r="F227" s="403">
        <v>0</v>
      </c>
      <c r="G227" s="403">
        <v>0</v>
      </c>
      <c r="H227" s="403">
        <v>0</v>
      </c>
      <c r="I227" s="403">
        <v>0</v>
      </c>
      <c r="J227" s="403">
        <v>0</v>
      </c>
      <c r="K227" s="403">
        <v>0</v>
      </c>
    </row>
    <row r="228" spans="1:11" x14ac:dyDescent="0.2">
      <c r="A228" s="65" t="s">
        <v>248</v>
      </c>
      <c r="B228" s="402">
        <v>15.49</v>
      </c>
      <c r="C228" s="402">
        <v>16.21</v>
      </c>
      <c r="D228" s="402">
        <v>15.97</v>
      </c>
      <c r="E228" s="402">
        <v>16.78</v>
      </c>
      <c r="F228" s="402">
        <v>17.02</v>
      </c>
      <c r="G228" s="402">
        <v>17.34</v>
      </c>
      <c r="H228" s="402">
        <v>18.940000000000001</v>
      </c>
      <c r="I228" s="402">
        <v>20.76</v>
      </c>
      <c r="J228" s="402">
        <v>22.01</v>
      </c>
      <c r="K228" s="402">
        <v>24.94</v>
      </c>
    </row>
    <row r="229" spans="1:11" x14ac:dyDescent="0.2">
      <c r="A229" s="63" t="s">
        <v>249</v>
      </c>
      <c r="B229" s="400">
        <v>126.92</v>
      </c>
      <c r="C229" s="400">
        <v>138.72999999999999</v>
      </c>
      <c r="D229" s="400">
        <v>144.57</v>
      </c>
      <c r="E229" s="400">
        <v>152.82</v>
      </c>
      <c r="F229" s="400">
        <v>163.44</v>
      </c>
      <c r="G229" s="400">
        <v>161.72</v>
      </c>
      <c r="H229" s="400">
        <v>187.1</v>
      </c>
      <c r="I229" s="400">
        <v>213.69</v>
      </c>
      <c r="J229" s="400">
        <v>251.88</v>
      </c>
      <c r="K229" s="400">
        <v>270.52999999999997</v>
      </c>
    </row>
    <row r="230" spans="1:11" x14ac:dyDescent="0.2">
      <c r="A230" s="63" t="s">
        <v>250</v>
      </c>
      <c r="B230" s="403">
        <v>0</v>
      </c>
      <c r="C230" s="403">
        <v>0</v>
      </c>
      <c r="D230" s="403">
        <v>0</v>
      </c>
      <c r="E230" s="403">
        <v>0</v>
      </c>
      <c r="F230" s="403">
        <v>0</v>
      </c>
      <c r="G230" s="403">
        <v>0</v>
      </c>
      <c r="H230" s="403">
        <v>0</v>
      </c>
      <c r="I230" s="403">
        <v>0</v>
      </c>
      <c r="J230" s="403">
        <v>0</v>
      </c>
      <c r="K230" s="403">
        <v>0</v>
      </c>
    </row>
    <row r="231" spans="1:11" x14ac:dyDescent="0.2">
      <c r="A231" s="63" t="s">
        <v>251</v>
      </c>
      <c r="B231" s="403"/>
      <c r="C231" s="403"/>
      <c r="D231" s="403"/>
      <c r="E231" s="403"/>
      <c r="F231" s="402">
        <v>5.41</v>
      </c>
      <c r="G231" s="402">
        <v>10.29</v>
      </c>
      <c r="H231" s="402">
        <v>17.86</v>
      </c>
      <c r="I231" s="402">
        <v>19.47</v>
      </c>
      <c r="J231" s="402">
        <v>30.83</v>
      </c>
      <c r="K231" s="402">
        <v>32.549999999999997</v>
      </c>
    </row>
    <row r="232" spans="1:11" x14ac:dyDescent="0.2">
      <c r="A232" s="65" t="s">
        <v>252</v>
      </c>
      <c r="B232" s="403"/>
      <c r="C232" s="403"/>
      <c r="D232" s="403"/>
      <c r="E232" s="403"/>
      <c r="F232" s="402">
        <v>5.41</v>
      </c>
      <c r="G232" s="402">
        <v>10.29</v>
      </c>
      <c r="H232" s="402">
        <v>17.86</v>
      </c>
      <c r="I232" s="402">
        <v>19.47</v>
      </c>
      <c r="J232" s="402">
        <v>30.83</v>
      </c>
      <c r="K232" s="402">
        <v>32.549999999999997</v>
      </c>
    </row>
    <row r="233" spans="1:11" x14ac:dyDescent="0.2">
      <c r="A233" s="63" t="s">
        <v>253</v>
      </c>
      <c r="B233" s="402">
        <v>10.46</v>
      </c>
      <c r="C233" s="402">
        <v>11.71</v>
      </c>
      <c r="D233" s="402">
        <v>15.17</v>
      </c>
      <c r="E233" s="402">
        <v>17.09</v>
      </c>
      <c r="F233" s="402">
        <v>16.52</v>
      </c>
      <c r="G233" s="402">
        <v>18.03</v>
      </c>
      <c r="H233" s="402">
        <v>24.22</v>
      </c>
      <c r="I233" s="402">
        <v>32.909999999999997</v>
      </c>
      <c r="J233" s="402">
        <v>37.51</v>
      </c>
      <c r="K233" s="402">
        <v>45.42</v>
      </c>
    </row>
    <row r="234" spans="1:11" x14ac:dyDescent="0.2">
      <c r="A234" s="67" t="s">
        <v>254</v>
      </c>
      <c r="B234" s="403"/>
      <c r="C234" s="403"/>
      <c r="D234" s="402">
        <v>4</v>
      </c>
      <c r="E234" s="403">
        <v>0</v>
      </c>
      <c r="F234" s="403"/>
      <c r="G234" s="403"/>
      <c r="H234" s="403"/>
      <c r="I234" s="402">
        <v>45.27</v>
      </c>
      <c r="J234" s="403">
        <v>0</v>
      </c>
      <c r="K234" s="403"/>
    </row>
    <row r="235" spans="1:11" x14ac:dyDescent="0.2">
      <c r="A235" s="64" t="s">
        <v>255</v>
      </c>
      <c r="B235" s="402">
        <v>20.96</v>
      </c>
      <c r="C235" s="402">
        <v>23.99</v>
      </c>
      <c r="D235" s="402">
        <v>23.77</v>
      </c>
      <c r="E235" s="402">
        <v>22.99</v>
      </c>
      <c r="F235" s="402">
        <v>34.1</v>
      </c>
      <c r="G235" s="402">
        <v>35.270000000000003</v>
      </c>
      <c r="H235" s="402">
        <v>42.55</v>
      </c>
      <c r="I235" s="402">
        <v>38.18</v>
      </c>
      <c r="J235" s="402">
        <v>34.57</v>
      </c>
      <c r="K235" s="402">
        <v>34.31</v>
      </c>
    </row>
    <row r="236" spans="1:11" x14ac:dyDescent="0.2">
      <c r="A236" s="68" t="s">
        <v>256</v>
      </c>
      <c r="B236" s="402">
        <v>20.2</v>
      </c>
      <c r="C236" s="402">
        <v>22.99</v>
      </c>
      <c r="D236" s="402">
        <v>22.17</v>
      </c>
      <c r="E236" s="402">
        <v>20.96</v>
      </c>
      <c r="F236" s="402">
        <v>31.65</v>
      </c>
      <c r="G236" s="402">
        <v>33.08</v>
      </c>
      <c r="H236" s="402">
        <v>38.229999999999997</v>
      </c>
      <c r="I236" s="402">
        <v>34.46</v>
      </c>
      <c r="J236" s="402">
        <v>31.81</v>
      </c>
      <c r="K236" s="402">
        <v>31.6</v>
      </c>
    </row>
    <row r="237" spans="1:11" x14ac:dyDescent="0.2">
      <c r="A237" s="68" t="s">
        <v>257</v>
      </c>
      <c r="B237" s="402">
        <v>0.76</v>
      </c>
      <c r="C237" s="402">
        <v>1</v>
      </c>
      <c r="D237" s="402">
        <v>1.6</v>
      </c>
      <c r="E237" s="402">
        <v>2.0299999999999998</v>
      </c>
      <c r="F237" s="402">
        <v>2.4500000000000002</v>
      </c>
      <c r="G237" s="402">
        <v>2.19</v>
      </c>
      <c r="H237" s="402">
        <v>4.32</v>
      </c>
      <c r="I237" s="402">
        <v>3.72</v>
      </c>
      <c r="J237" s="402">
        <v>2.76</v>
      </c>
      <c r="K237" s="402">
        <v>2.7</v>
      </c>
    </row>
    <row r="238" spans="1:11" x14ac:dyDescent="0.2">
      <c r="A238" s="64" t="s">
        <v>258</v>
      </c>
      <c r="B238" s="400">
        <v>117.91</v>
      </c>
      <c r="C238" s="400">
        <v>357.09</v>
      </c>
      <c r="D238" s="400">
        <v>344.35</v>
      </c>
      <c r="E238" s="400">
        <v>373.08</v>
      </c>
      <c r="F238" s="400">
        <v>370.28</v>
      </c>
      <c r="G238" s="400">
        <v>356.74</v>
      </c>
      <c r="H238" s="400">
        <v>1943.37</v>
      </c>
      <c r="I238" s="400">
        <v>1995.06</v>
      </c>
      <c r="J238" s="400">
        <v>1924.97</v>
      </c>
      <c r="K238" s="400">
        <v>2028.49</v>
      </c>
    </row>
    <row r="239" spans="1:11" x14ac:dyDescent="0.2">
      <c r="A239" s="61" t="s">
        <v>259</v>
      </c>
      <c r="B239" s="402">
        <v>68.5</v>
      </c>
      <c r="C239" s="400">
        <v>163.19999999999999</v>
      </c>
      <c r="D239" s="400">
        <v>150.74</v>
      </c>
      <c r="E239" s="400">
        <v>162.62</v>
      </c>
      <c r="F239" s="400">
        <v>164.68</v>
      </c>
      <c r="G239" s="400">
        <v>154.77000000000001</v>
      </c>
      <c r="H239" s="400">
        <v>789.63</v>
      </c>
      <c r="I239" s="400">
        <v>826.35</v>
      </c>
      <c r="J239" s="400">
        <v>799.37</v>
      </c>
      <c r="K239" s="400">
        <v>846.86</v>
      </c>
    </row>
    <row r="240" spans="1:11" x14ac:dyDescent="0.2">
      <c r="A240" s="61" t="s">
        <v>260</v>
      </c>
      <c r="B240" s="402">
        <v>49.4</v>
      </c>
      <c r="C240" s="400">
        <v>193.88</v>
      </c>
      <c r="D240" s="400">
        <v>193.61</v>
      </c>
      <c r="E240" s="400">
        <v>210.47</v>
      </c>
      <c r="F240" s="400">
        <v>205.6</v>
      </c>
      <c r="G240" s="400">
        <v>201.96</v>
      </c>
      <c r="H240" s="400">
        <v>1153.74</v>
      </c>
      <c r="I240" s="400">
        <v>1168.71</v>
      </c>
      <c r="J240" s="400">
        <v>1125.6099999999999</v>
      </c>
      <c r="K240" s="400">
        <v>1181.6300000000001</v>
      </c>
    </row>
    <row r="241" spans="1:11" x14ac:dyDescent="0.2">
      <c r="A241" s="62" t="s">
        <v>261</v>
      </c>
      <c r="B241" s="402">
        <v>13.65</v>
      </c>
      <c r="C241" s="402">
        <v>62.96</v>
      </c>
      <c r="D241" s="402">
        <v>56.93</v>
      </c>
      <c r="E241" s="402">
        <v>68.27</v>
      </c>
      <c r="F241" s="402">
        <v>76.69</v>
      </c>
      <c r="G241" s="402">
        <v>84.82</v>
      </c>
      <c r="H241" s="400">
        <v>285.5</v>
      </c>
      <c r="I241" s="400">
        <v>315.82</v>
      </c>
      <c r="J241" s="400">
        <v>338.7</v>
      </c>
      <c r="K241" s="400">
        <v>400.51</v>
      </c>
    </row>
    <row r="242" spans="1:11" x14ac:dyDescent="0.2">
      <c r="A242" s="62" t="s">
        <v>262</v>
      </c>
      <c r="B242" s="402">
        <v>7</v>
      </c>
      <c r="C242" s="402">
        <v>5.0999999999999996</v>
      </c>
      <c r="D242" s="402">
        <v>3.46</v>
      </c>
      <c r="E242" s="402">
        <v>3.31</v>
      </c>
      <c r="F242" s="402">
        <v>3.02</v>
      </c>
      <c r="G242" s="402">
        <v>2.5099999999999998</v>
      </c>
      <c r="H242" s="402">
        <v>1.77</v>
      </c>
      <c r="I242" s="402">
        <v>1.45</v>
      </c>
      <c r="J242" s="402">
        <v>2.5299999999999998</v>
      </c>
      <c r="K242" s="402">
        <v>2.1800000000000002</v>
      </c>
    </row>
    <row r="243" spans="1:11" x14ac:dyDescent="0.2">
      <c r="A243" s="62" t="s">
        <v>263</v>
      </c>
      <c r="B243" s="402">
        <v>27.2</v>
      </c>
      <c r="C243" s="402">
        <v>69.09</v>
      </c>
      <c r="D243" s="402">
        <v>66.09</v>
      </c>
      <c r="E243" s="402">
        <v>73.61</v>
      </c>
      <c r="F243" s="402">
        <v>67.33</v>
      </c>
      <c r="G243" s="402">
        <v>65.819999999999993</v>
      </c>
      <c r="H243" s="400">
        <v>132.1</v>
      </c>
      <c r="I243" s="400">
        <v>122.18</v>
      </c>
      <c r="J243" s="400">
        <v>111.57</v>
      </c>
      <c r="K243" s="400">
        <v>103.11</v>
      </c>
    </row>
    <row r="244" spans="1:11" x14ac:dyDescent="0.2">
      <c r="A244" s="62" t="s">
        <v>264</v>
      </c>
      <c r="B244" s="402">
        <v>1.55</v>
      </c>
      <c r="C244" s="402">
        <v>56.74</v>
      </c>
      <c r="D244" s="402">
        <v>67.12</v>
      </c>
      <c r="E244" s="402">
        <v>65.28</v>
      </c>
      <c r="F244" s="402">
        <v>58.56</v>
      </c>
      <c r="G244" s="402">
        <v>48.81</v>
      </c>
      <c r="H244" s="400">
        <v>734.37</v>
      </c>
      <c r="I244" s="400">
        <v>729.27</v>
      </c>
      <c r="J244" s="400">
        <v>672.81</v>
      </c>
      <c r="K244" s="400">
        <v>675.83</v>
      </c>
    </row>
    <row r="245" spans="1:11" x14ac:dyDescent="0.2">
      <c r="A245" s="61" t="s">
        <v>265</v>
      </c>
      <c r="B245" s="400">
        <v>184.99</v>
      </c>
      <c r="C245" s="400">
        <v>442.65</v>
      </c>
      <c r="D245" s="400">
        <v>447.37</v>
      </c>
      <c r="E245" s="400">
        <v>498.22</v>
      </c>
      <c r="F245" s="400">
        <v>519.58000000000004</v>
      </c>
      <c r="G245" s="400">
        <v>527.42999999999995</v>
      </c>
      <c r="H245" s="400">
        <v>2168.96</v>
      </c>
      <c r="I245" s="400">
        <v>2302.59</v>
      </c>
      <c r="J245" s="400">
        <v>2299.7600000000002</v>
      </c>
      <c r="K245" s="400">
        <v>2495.15</v>
      </c>
    </row>
    <row r="246" spans="1:11" x14ac:dyDescent="0.2">
      <c r="A246" s="62" t="s">
        <v>266</v>
      </c>
      <c r="B246" s="402">
        <v>68.5</v>
      </c>
      <c r="C246" s="400">
        <v>163.19999999999999</v>
      </c>
      <c r="D246" s="400">
        <v>150.74</v>
      </c>
      <c r="E246" s="400">
        <v>162.62</v>
      </c>
      <c r="F246" s="400">
        <v>164.68</v>
      </c>
      <c r="G246" s="400">
        <v>154.77000000000001</v>
      </c>
      <c r="H246" s="400">
        <v>789.63</v>
      </c>
      <c r="I246" s="400">
        <v>826.35</v>
      </c>
      <c r="J246" s="400">
        <v>799.37</v>
      </c>
      <c r="K246" s="400">
        <v>846.86</v>
      </c>
    </row>
    <row r="247" spans="1:11" x14ac:dyDescent="0.2">
      <c r="A247" s="62" t="s">
        <v>267</v>
      </c>
      <c r="B247" s="400">
        <v>116.49</v>
      </c>
      <c r="C247" s="400">
        <v>279.44</v>
      </c>
      <c r="D247" s="400">
        <v>296.63</v>
      </c>
      <c r="E247" s="400">
        <v>335.6</v>
      </c>
      <c r="F247" s="400">
        <v>354.9</v>
      </c>
      <c r="G247" s="400">
        <v>372.66</v>
      </c>
      <c r="H247" s="400">
        <v>1379.33</v>
      </c>
      <c r="I247" s="400">
        <v>1476.24</v>
      </c>
      <c r="J247" s="400">
        <v>1500.4</v>
      </c>
      <c r="K247" s="400">
        <v>1648.29</v>
      </c>
    </row>
    <row r="248" spans="1:11" x14ac:dyDescent="0.2">
      <c r="A248" s="63" t="s">
        <v>268</v>
      </c>
      <c r="B248" s="402">
        <v>27.85</v>
      </c>
      <c r="C248" s="402">
        <v>82.69</v>
      </c>
      <c r="D248" s="402">
        <v>81.63</v>
      </c>
      <c r="E248" s="402">
        <v>97.41</v>
      </c>
      <c r="F248" s="400">
        <v>112.2</v>
      </c>
      <c r="G248" s="400">
        <v>126.25</v>
      </c>
      <c r="H248" s="400">
        <v>340.75</v>
      </c>
      <c r="I248" s="400">
        <v>390.87</v>
      </c>
      <c r="J248" s="400">
        <v>433.79</v>
      </c>
      <c r="K248" s="400">
        <v>518.86</v>
      </c>
    </row>
    <row r="249" spans="1:11" x14ac:dyDescent="0.2">
      <c r="A249" s="63" t="s">
        <v>269</v>
      </c>
      <c r="B249" s="402">
        <v>27.25</v>
      </c>
      <c r="C249" s="402">
        <v>28.13</v>
      </c>
      <c r="D249" s="402">
        <v>28.46</v>
      </c>
      <c r="E249" s="402">
        <v>29.1</v>
      </c>
      <c r="F249" s="402">
        <v>29.83</v>
      </c>
      <c r="G249" s="402">
        <v>29.78</v>
      </c>
      <c r="H249" s="402">
        <v>30.12</v>
      </c>
      <c r="I249" s="402">
        <v>30.62</v>
      </c>
      <c r="J249" s="402">
        <v>32.26</v>
      </c>
      <c r="K249" s="402">
        <v>32.21</v>
      </c>
    </row>
    <row r="250" spans="1:11" x14ac:dyDescent="0.2">
      <c r="A250" s="63" t="s">
        <v>270</v>
      </c>
      <c r="B250" s="402">
        <v>56.3</v>
      </c>
      <c r="C250" s="400">
        <v>104.31</v>
      </c>
      <c r="D250" s="400">
        <v>107.59</v>
      </c>
      <c r="E250" s="400">
        <v>123.22</v>
      </c>
      <c r="F250" s="400">
        <v>126.28</v>
      </c>
      <c r="G250" s="400">
        <v>131.96</v>
      </c>
      <c r="H250" s="400">
        <v>211.39</v>
      </c>
      <c r="I250" s="400">
        <v>217.27</v>
      </c>
      <c r="J250" s="400">
        <v>217.07</v>
      </c>
      <c r="K250" s="400">
        <v>225.09</v>
      </c>
    </row>
    <row r="251" spans="1:11" x14ac:dyDescent="0.2">
      <c r="A251" s="63" t="s">
        <v>271</v>
      </c>
      <c r="B251" s="402">
        <v>5.09</v>
      </c>
      <c r="C251" s="402">
        <v>64.31</v>
      </c>
      <c r="D251" s="402">
        <v>78.95</v>
      </c>
      <c r="E251" s="402">
        <v>85.88</v>
      </c>
      <c r="F251" s="402">
        <v>86.59</v>
      </c>
      <c r="G251" s="402">
        <v>84.67</v>
      </c>
      <c r="H251" s="400">
        <v>797.07</v>
      </c>
      <c r="I251" s="400">
        <v>837.47</v>
      </c>
      <c r="J251" s="400">
        <v>817.27</v>
      </c>
      <c r="K251" s="400">
        <v>872.14</v>
      </c>
    </row>
    <row r="252" spans="1:11" x14ac:dyDescent="0.2">
      <c r="A252" s="61" t="s">
        <v>272</v>
      </c>
      <c r="B252" s="402">
        <v>67.08</v>
      </c>
      <c r="C252" s="402">
        <v>85.56</v>
      </c>
      <c r="D252" s="400">
        <v>103.02</v>
      </c>
      <c r="E252" s="400">
        <v>125.13</v>
      </c>
      <c r="F252" s="400">
        <v>149.30000000000001</v>
      </c>
      <c r="G252" s="400">
        <v>170.7</v>
      </c>
      <c r="H252" s="400">
        <v>225.59</v>
      </c>
      <c r="I252" s="400">
        <v>307.52</v>
      </c>
      <c r="J252" s="400">
        <v>374.79</v>
      </c>
      <c r="K252" s="400">
        <v>466.66</v>
      </c>
    </row>
    <row r="253" spans="1:11" x14ac:dyDescent="0.2">
      <c r="A253" s="62" t="s">
        <v>273</v>
      </c>
      <c r="B253" s="403">
        <v>0</v>
      </c>
      <c r="C253" s="403">
        <v>0</v>
      </c>
      <c r="D253" s="403">
        <v>0</v>
      </c>
      <c r="E253" s="403">
        <v>0</v>
      </c>
      <c r="F253" s="403">
        <v>0</v>
      </c>
      <c r="G253" s="403">
        <v>0</v>
      </c>
      <c r="H253" s="403">
        <v>0</v>
      </c>
      <c r="I253" s="403">
        <v>0</v>
      </c>
      <c r="J253" s="403">
        <v>0</v>
      </c>
      <c r="K253" s="403">
        <v>0</v>
      </c>
    </row>
    <row r="254" spans="1:11" x14ac:dyDescent="0.2">
      <c r="A254" s="62" t="s">
        <v>274</v>
      </c>
      <c r="B254" s="402">
        <v>67.08</v>
      </c>
      <c r="C254" s="402">
        <v>85.56</v>
      </c>
      <c r="D254" s="400">
        <v>103.02</v>
      </c>
      <c r="E254" s="400">
        <v>125.13</v>
      </c>
      <c r="F254" s="400">
        <v>149.30000000000001</v>
      </c>
      <c r="G254" s="400">
        <v>170.7</v>
      </c>
      <c r="H254" s="400">
        <v>225.59</v>
      </c>
      <c r="I254" s="400">
        <v>307.52</v>
      </c>
      <c r="J254" s="400">
        <v>374.79</v>
      </c>
      <c r="K254" s="400">
        <v>466.66</v>
      </c>
    </row>
    <row r="255" spans="1:11" x14ac:dyDescent="0.2">
      <c r="A255" s="63" t="s">
        <v>275</v>
      </c>
      <c r="B255" s="402">
        <v>14.2</v>
      </c>
      <c r="C255" s="402">
        <v>19.739999999999998</v>
      </c>
      <c r="D255" s="402">
        <v>24.7</v>
      </c>
      <c r="E255" s="402">
        <v>29.14</v>
      </c>
      <c r="F255" s="402">
        <v>35.520000000000003</v>
      </c>
      <c r="G255" s="402">
        <v>41.43</v>
      </c>
      <c r="H255" s="402">
        <v>55.25</v>
      </c>
      <c r="I255" s="402">
        <v>75.06</v>
      </c>
      <c r="J255" s="402">
        <v>95.09</v>
      </c>
      <c r="K255" s="400">
        <v>118.35</v>
      </c>
    </row>
    <row r="256" spans="1:11" x14ac:dyDescent="0.2">
      <c r="A256" s="63" t="s">
        <v>276</v>
      </c>
      <c r="B256" s="402">
        <v>20.25</v>
      </c>
      <c r="C256" s="402">
        <v>23.03</v>
      </c>
      <c r="D256" s="402">
        <v>25</v>
      </c>
      <c r="E256" s="402">
        <v>25.79</v>
      </c>
      <c r="F256" s="402">
        <v>26.8</v>
      </c>
      <c r="G256" s="402">
        <v>27.27</v>
      </c>
      <c r="H256" s="402">
        <v>28.35</v>
      </c>
      <c r="I256" s="402">
        <v>29.17</v>
      </c>
      <c r="J256" s="402">
        <v>29.74</v>
      </c>
      <c r="K256" s="402">
        <v>30.02</v>
      </c>
    </row>
    <row r="257" spans="1:11" ht="30" x14ac:dyDescent="0.2">
      <c r="A257" s="63" t="s">
        <v>277</v>
      </c>
      <c r="B257" s="402">
        <v>29.1</v>
      </c>
      <c r="C257" s="402">
        <v>35.229999999999997</v>
      </c>
      <c r="D257" s="402">
        <v>41.5</v>
      </c>
      <c r="E257" s="402">
        <v>49.61</v>
      </c>
      <c r="F257" s="402">
        <v>58.95</v>
      </c>
      <c r="G257" s="402">
        <v>66.14</v>
      </c>
      <c r="H257" s="402">
        <v>79.290000000000006</v>
      </c>
      <c r="I257" s="402">
        <v>95.09</v>
      </c>
      <c r="J257" s="400">
        <v>105.5</v>
      </c>
      <c r="K257" s="400">
        <v>121.98</v>
      </c>
    </row>
    <row r="258" spans="1:11" x14ac:dyDescent="0.2">
      <c r="A258" s="63" t="s">
        <v>278</v>
      </c>
      <c r="B258" s="402">
        <v>3.54</v>
      </c>
      <c r="C258" s="402">
        <v>7.56</v>
      </c>
      <c r="D258" s="402">
        <v>11.83</v>
      </c>
      <c r="E258" s="402">
        <v>20.6</v>
      </c>
      <c r="F258" s="402">
        <v>28.03</v>
      </c>
      <c r="G258" s="402">
        <v>35.85</v>
      </c>
      <c r="H258" s="402">
        <v>62.7</v>
      </c>
      <c r="I258" s="400">
        <v>108.21</v>
      </c>
      <c r="J258" s="400">
        <v>144.47</v>
      </c>
      <c r="K258" s="400">
        <v>196.31</v>
      </c>
    </row>
    <row r="259" spans="1:11" x14ac:dyDescent="0.2">
      <c r="A259" s="14" t="s">
        <v>279</v>
      </c>
      <c r="B259" s="401">
        <v>213.57</v>
      </c>
      <c r="C259" s="401">
        <v>473.24</v>
      </c>
      <c r="D259" s="401">
        <v>464.48</v>
      </c>
      <c r="E259" s="401">
        <v>491.08</v>
      </c>
      <c r="F259" s="401">
        <v>532.79</v>
      </c>
      <c r="G259" s="401">
        <v>532.53</v>
      </c>
      <c r="H259" s="401">
        <v>2272.86</v>
      </c>
      <c r="I259" s="401">
        <v>2379.14</v>
      </c>
      <c r="J259" s="401">
        <v>2228.75</v>
      </c>
      <c r="K259" s="401">
        <v>2337.7399999999998</v>
      </c>
    </row>
    <row r="260" spans="1:11" x14ac:dyDescent="0.2">
      <c r="A260" s="10" t="s">
        <v>280</v>
      </c>
      <c r="B260" s="11"/>
      <c r="C260" s="11"/>
      <c r="D260" s="11"/>
      <c r="E260" s="11"/>
      <c r="F260" s="11"/>
      <c r="G260" s="11"/>
      <c r="H260" s="11"/>
      <c r="I260" s="11"/>
      <c r="J260" s="11"/>
      <c r="K260" s="11"/>
    </row>
    <row r="261" spans="1:11" x14ac:dyDescent="0.2">
      <c r="A261" s="66" t="s">
        <v>280</v>
      </c>
      <c r="B261" s="401">
        <v>707.91</v>
      </c>
      <c r="C261" s="401">
        <v>868.62</v>
      </c>
      <c r="D261" s="401">
        <v>945.72</v>
      </c>
      <c r="E261" s="401">
        <v>905.94</v>
      </c>
      <c r="F261" s="401">
        <v>1063.55</v>
      </c>
      <c r="G261" s="401">
        <v>1246.45</v>
      </c>
      <c r="H261" s="401">
        <v>3231.15</v>
      </c>
      <c r="I261" s="401">
        <v>3408.08</v>
      </c>
      <c r="J261" s="401">
        <v>3211.44</v>
      </c>
      <c r="K261" s="401">
        <v>3304.92</v>
      </c>
    </row>
    <row r="262" spans="1:11" x14ac:dyDescent="0.2">
      <c r="A262" s="10" t="s">
        <v>281</v>
      </c>
      <c r="B262" s="11"/>
      <c r="C262" s="11"/>
      <c r="D262" s="11"/>
      <c r="E262" s="11"/>
      <c r="F262" s="11"/>
      <c r="G262" s="11"/>
      <c r="H262" s="11"/>
      <c r="I262" s="11"/>
      <c r="J262" s="11"/>
      <c r="K262" s="11"/>
    </row>
    <row r="263" spans="1:11" x14ac:dyDescent="0.2">
      <c r="A263" s="64" t="s">
        <v>282</v>
      </c>
      <c r="B263" s="402">
        <v>40.78</v>
      </c>
      <c r="C263" s="402">
        <v>47.67</v>
      </c>
      <c r="D263" s="402">
        <v>62.33</v>
      </c>
      <c r="E263" s="402">
        <v>92.61</v>
      </c>
      <c r="F263" s="402">
        <v>96.89</v>
      </c>
      <c r="G263" s="400">
        <v>113.16</v>
      </c>
      <c r="H263" s="400">
        <v>150.1</v>
      </c>
      <c r="I263" s="400">
        <v>171.88</v>
      </c>
      <c r="J263" s="400">
        <v>166.87</v>
      </c>
      <c r="K263" s="400">
        <v>173.43</v>
      </c>
    </row>
    <row r="264" spans="1:11" x14ac:dyDescent="0.2">
      <c r="A264" s="61" t="s">
        <v>283</v>
      </c>
      <c r="B264" s="402">
        <v>40.78</v>
      </c>
      <c r="C264" s="402">
        <v>47.67</v>
      </c>
      <c r="D264" s="402">
        <v>62.33</v>
      </c>
      <c r="E264" s="402">
        <v>57.29</v>
      </c>
      <c r="F264" s="402">
        <v>55.73</v>
      </c>
      <c r="G264" s="402">
        <v>65.489999999999995</v>
      </c>
      <c r="H264" s="402">
        <v>84.77</v>
      </c>
      <c r="I264" s="400">
        <v>104.2</v>
      </c>
      <c r="J264" s="400">
        <v>100.71</v>
      </c>
      <c r="K264" s="402">
        <v>99.52</v>
      </c>
    </row>
    <row r="265" spans="1:11" x14ac:dyDescent="0.2">
      <c r="A265" s="61" t="s">
        <v>284</v>
      </c>
      <c r="B265" s="403"/>
      <c r="C265" s="403"/>
      <c r="D265" s="403"/>
      <c r="E265" s="402">
        <v>35.33</v>
      </c>
      <c r="F265" s="402">
        <v>41.16</v>
      </c>
      <c r="G265" s="402">
        <v>47.67</v>
      </c>
      <c r="H265" s="402">
        <v>65.33</v>
      </c>
      <c r="I265" s="402">
        <v>67.680000000000007</v>
      </c>
      <c r="J265" s="402">
        <v>66.16</v>
      </c>
      <c r="K265" s="402">
        <v>73.91</v>
      </c>
    </row>
    <row r="266" spans="1:11" x14ac:dyDescent="0.2">
      <c r="A266" s="64" t="s">
        <v>285</v>
      </c>
      <c r="B266" s="402">
        <v>2.2999999999999998</v>
      </c>
      <c r="C266" s="402">
        <v>26.51</v>
      </c>
      <c r="D266" s="402">
        <v>23.91</v>
      </c>
      <c r="E266" s="402">
        <v>20.6</v>
      </c>
      <c r="F266" s="402">
        <v>4.8099999999999996</v>
      </c>
      <c r="G266" s="402">
        <v>4.21</v>
      </c>
      <c r="H266" s="400">
        <v>104.88</v>
      </c>
      <c r="I266" s="400">
        <v>120.02</v>
      </c>
      <c r="J266" s="400">
        <v>109.65</v>
      </c>
      <c r="K266" s="402">
        <v>47.41</v>
      </c>
    </row>
    <row r="267" spans="1:11" x14ac:dyDescent="0.2">
      <c r="A267" s="61" t="s">
        <v>286</v>
      </c>
      <c r="B267" s="403"/>
      <c r="C267" s="403"/>
      <c r="D267" s="403"/>
      <c r="E267" s="403"/>
      <c r="F267" s="403"/>
      <c r="G267" s="403"/>
      <c r="H267" s="403"/>
      <c r="I267" s="403"/>
      <c r="J267" s="403">
        <v>0</v>
      </c>
      <c r="K267" s="403"/>
    </row>
    <row r="268" spans="1:11" x14ac:dyDescent="0.2">
      <c r="A268" s="61" t="s">
        <v>287</v>
      </c>
      <c r="B268" s="403"/>
      <c r="C268" s="402">
        <v>26.51</v>
      </c>
      <c r="D268" s="402">
        <v>23.91</v>
      </c>
      <c r="E268" s="402">
        <v>20.6</v>
      </c>
      <c r="F268" s="402">
        <v>4.8099999999999996</v>
      </c>
      <c r="G268" s="402">
        <v>4.21</v>
      </c>
      <c r="H268" s="400">
        <v>104.88</v>
      </c>
      <c r="I268" s="400">
        <v>120.02</v>
      </c>
      <c r="J268" s="400">
        <v>109.65</v>
      </c>
      <c r="K268" s="402">
        <v>47.41</v>
      </c>
    </row>
    <row r="269" spans="1:11" x14ac:dyDescent="0.2">
      <c r="A269" s="62" t="s">
        <v>288</v>
      </c>
      <c r="B269" s="403"/>
      <c r="C269" s="403"/>
      <c r="D269" s="402">
        <v>23.89</v>
      </c>
      <c r="E269" s="402">
        <v>20.58</v>
      </c>
      <c r="F269" s="402">
        <v>0.01</v>
      </c>
      <c r="G269" s="403">
        <v>0</v>
      </c>
      <c r="H269" s="402">
        <v>95.24</v>
      </c>
      <c r="I269" s="400">
        <v>111.52</v>
      </c>
      <c r="J269" s="400">
        <v>100.74</v>
      </c>
      <c r="K269" s="402">
        <v>38.049999999999997</v>
      </c>
    </row>
    <row r="270" spans="1:11" x14ac:dyDescent="0.2">
      <c r="A270" s="62" t="s">
        <v>289</v>
      </c>
      <c r="B270" s="403"/>
      <c r="C270" s="403"/>
      <c r="D270" s="402">
        <v>0.02</v>
      </c>
      <c r="E270" s="402">
        <v>0.02</v>
      </c>
      <c r="F270" s="402">
        <v>4.8</v>
      </c>
      <c r="G270" s="402">
        <v>4.21</v>
      </c>
      <c r="H270" s="402">
        <v>9.64</v>
      </c>
      <c r="I270" s="402">
        <v>8.5</v>
      </c>
      <c r="J270" s="402">
        <v>8.91</v>
      </c>
      <c r="K270" s="402">
        <v>9.36</v>
      </c>
    </row>
    <row r="271" spans="1:11" x14ac:dyDescent="0.2">
      <c r="A271" s="64" t="s">
        <v>290</v>
      </c>
      <c r="B271" s="403"/>
      <c r="C271" s="402">
        <v>5.5</v>
      </c>
      <c r="D271" s="403">
        <v>0</v>
      </c>
      <c r="E271" s="402">
        <v>0.53</v>
      </c>
      <c r="F271" s="403"/>
      <c r="G271" s="403"/>
      <c r="H271" s="403"/>
      <c r="I271" s="403"/>
      <c r="J271" s="403"/>
      <c r="K271" s="403"/>
    </row>
    <row r="272" spans="1:11" x14ac:dyDescent="0.2">
      <c r="A272" s="64" t="s">
        <v>291</v>
      </c>
      <c r="B272" s="402">
        <v>6.38</v>
      </c>
      <c r="C272" s="402">
        <v>10.33</v>
      </c>
      <c r="D272" s="402">
        <v>5.19</v>
      </c>
      <c r="E272" s="402">
        <v>9.51</v>
      </c>
      <c r="F272" s="402">
        <v>10.8</v>
      </c>
      <c r="G272" s="402">
        <v>29.83</v>
      </c>
      <c r="H272" s="402">
        <v>6.26</v>
      </c>
      <c r="I272" s="402">
        <v>13.79</v>
      </c>
      <c r="J272" s="402">
        <v>9.4</v>
      </c>
      <c r="K272" s="402">
        <v>18.07</v>
      </c>
    </row>
    <row r="273" spans="1:11" x14ac:dyDescent="0.2">
      <c r="A273" s="64" t="s">
        <v>292</v>
      </c>
      <c r="B273" s="402">
        <v>32.979999999999997</v>
      </c>
      <c r="C273" s="402">
        <v>41.87</v>
      </c>
      <c r="D273" s="402">
        <v>49.69</v>
      </c>
      <c r="E273" s="402">
        <v>15.2</v>
      </c>
      <c r="F273" s="402">
        <v>9.9700000000000006</v>
      </c>
      <c r="G273" s="402">
        <v>13.01</v>
      </c>
      <c r="H273" s="402">
        <v>36.99</v>
      </c>
      <c r="I273" s="402">
        <v>35.630000000000003</v>
      </c>
      <c r="J273" s="402">
        <v>34.200000000000003</v>
      </c>
      <c r="K273" s="402">
        <v>36.39</v>
      </c>
    </row>
    <row r="274" spans="1:11" x14ac:dyDescent="0.2">
      <c r="A274" s="61" t="s">
        <v>293</v>
      </c>
      <c r="B274" s="403"/>
      <c r="C274" s="403"/>
      <c r="D274" s="403"/>
      <c r="E274" s="402">
        <v>1.66</v>
      </c>
      <c r="F274" s="403"/>
      <c r="G274" s="403"/>
      <c r="H274" s="403"/>
      <c r="I274" s="403"/>
      <c r="J274" s="403"/>
      <c r="K274" s="403"/>
    </row>
    <row r="275" spans="1:11" x14ac:dyDescent="0.2">
      <c r="A275" s="61" t="s">
        <v>294</v>
      </c>
      <c r="B275" s="402">
        <v>32.979999999999997</v>
      </c>
      <c r="C275" s="402">
        <v>41.87</v>
      </c>
      <c r="D275" s="402">
        <v>49.69</v>
      </c>
      <c r="E275" s="402">
        <v>13.53</v>
      </c>
      <c r="F275" s="402">
        <v>9.9700000000000006</v>
      </c>
      <c r="G275" s="402">
        <v>13.01</v>
      </c>
      <c r="H275" s="402">
        <v>36.99</v>
      </c>
      <c r="I275" s="402">
        <v>35.630000000000003</v>
      </c>
      <c r="J275" s="402">
        <v>34.200000000000003</v>
      </c>
      <c r="K275" s="402">
        <v>36.39</v>
      </c>
    </row>
    <row r="276" spans="1:11" x14ac:dyDescent="0.2">
      <c r="A276" s="14" t="s">
        <v>295</v>
      </c>
      <c r="B276" s="405">
        <v>82.44</v>
      </c>
      <c r="C276" s="401">
        <v>131.88</v>
      </c>
      <c r="D276" s="401">
        <v>141.12</v>
      </c>
      <c r="E276" s="401">
        <v>138.44999999999999</v>
      </c>
      <c r="F276" s="401">
        <v>122.48</v>
      </c>
      <c r="G276" s="401">
        <v>160.21</v>
      </c>
      <c r="H276" s="401">
        <v>298.23</v>
      </c>
      <c r="I276" s="401">
        <v>341.31</v>
      </c>
      <c r="J276" s="401">
        <v>320.12</v>
      </c>
      <c r="K276" s="401">
        <v>275.3</v>
      </c>
    </row>
    <row r="277" spans="1:11" x14ac:dyDescent="0.2">
      <c r="A277" s="10" t="s">
        <v>296</v>
      </c>
      <c r="B277" s="11"/>
      <c r="C277" s="11"/>
      <c r="D277" s="11"/>
      <c r="E277" s="11"/>
      <c r="F277" s="11"/>
      <c r="G277" s="11"/>
      <c r="H277" s="11"/>
      <c r="I277" s="11"/>
      <c r="J277" s="11"/>
      <c r="K277" s="11"/>
    </row>
    <row r="278" spans="1:11" x14ac:dyDescent="0.2">
      <c r="A278" s="64" t="s">
        <v>297</v>
      </c>
      <c r="B278" s="403">
        <v>0</v>
      </c>
      <c r="C278" s="402">
        <v>23.89</v>
      </c>
      <c r="D278" s="402">
        <v>0.1</v>
      </c>
      <c r="E278" s="402">
        <v>0.08</v>
      </c>
      <c r="F278" s="402">
        <v>24.47</v>
      </c>
      <c r="G278" s="402">
        <v>30.45</v>
      </c>
      <c r="H278" s="400">
        <v>1294.75</v>
      </c>
      <c r="I278" s="400">
        <v>1231.96</v>
      </c>
      <c r="J278" s="400">
        <v>1083.01</v>
      </c>
      <c r="K278" s="400">
        <v>966.78</v>
      </c>
    </row>
    <row r="279" spans="1:11" x14ac:dyDescent="0.2">
      <c r="A279" s="61" t="s">
        <v>298</v>
      </c>
      <c r="B279" s="403">
        <v>0</v>
      </c>
      <c r="C279" s="402">
        <v>23.89</v>
      </c>
      <c r="D279" s="403"/>
      <c r="E279" s="403">
        <v>0</v>
      </c>
      <c r="F279" s="403"/>
      <c r="G279" s="403"/>
      <c r="H279" s="400">
        <v>1228.27</v>
      </c>
      <c r="I279" s="400">
        <v>1170.96</v>
      </c>
      <c r="J279" s="400">
        <v>1020.92</v>
      </c>
      <c r="K279" s="400">
        <v>899.42</v>
      </c>
    </row>
    <row r="280" spans="1:11" x14ac:dyDescent="0.2">
      <c r="A280" s="62" t="s">
        <v>299</v>
      </c>
      <c r="B280" s="403">
        <v>0</v>
      </c>
      <c r="C280" s="402">
        <v>23.89</v>
      </c>
      <c r="D280" s="403"/>
      <c r="E280" s="403">
        <v>0</v>
      </c>
      <c r="F280" s="403"/>
      <c r="G280" s="403"/>
      <c r="H280" s="400">
        <v>1228.27</v>
      </c>
      <c r="I280" s="400">
        <v>1170.96</v>
      </c>
      <c r="J280" s="400">
        <v>563.12</v>
      </c>
      <c r="K280" s="400">
        <v>432.18</v>
      </c>
    </row>
    <row r="281" spans="1:11" x14ac:dyDescent="0.2">
      <c r="A281" s="62" t="s">
        <v>300</v>
      </c>
      <c r="B281" s="403"/>
      <c r="C281" s="403"/>
      <c r="D281" s="403"/>
      <c r="E281" s="403"/>
      <c r="F281" s="403"/>
      <c r="G281" s="403"/>
      <c r="H281" s="403"/>
      <c r="I281" s="403"/>
      <c r="J281" s="400">
        <v>457.8</v>
      </c>
      <c r="K281" s="400">
        <v>467.24</v>
      </c>
    </row>
    <row r="282" spans="1:11" x14ac:dyDescent="0.2">
      <c r="A282" s="61" t="s">
        <v>301</v>
      </c>
      <c r="B282" s="403"/>
      <c r="C282" s="403"/>
      <c r="D282" s="402">
        <v>0.1</v>
      </c>
      <c r="E282" s="402">
        <v>0.08</v>
      </c>
      <c r="F282" s="402">
        <v>24.47</v>
      </c>
      <c r="G282" s="402">
        <v>30.45</v>
      </c>
      <c r="H282" s="402">
        <v>66.48</v>
      </c>
      <c r="I282" s="402">
        <v>61</v>
      </c>
      <c r="J282" s="402">
        <v>62.09</v>
      </c>
      <c r="K282" s="402">
        <v>67.36</v>
      </c>
    </row>
    <row r="283" spans="1:11" x14ac:dyDescent="0.2">
      <c r="A283" s="12" t="s">
        <v>302</v>
      </c>
      <c r="B283" s="403"/>
      <c r="C283" s="402">
        <v>3.41</v>
      </c>
      <c r="D283" s="403"/>
      <c r="E283" s="403"/>
      <c r="F283" s="403"/>
      <c r="G283" s="403"/>
      <c r="H283" s="403"/>
      <c r="I283" s="403"/>
      <c r="J283" s="403"/>
      <c r="K283" s="402">
        <v>5.01</v>
      </c>
    </row>
    <row r="284" spans="1:11" x14ac:dyDescent="0.2">
      <c r="A284" s="12" t="s">
        <v>303</v>
      </c>
      <c r="B284" s="403"/>
      <c r="C284" s="403"/>
      <c r="D284" s="403"/>
      <c r="E284" s="403"/>
      <c r="F284" s="403"/>
      <c r="G284" s="403"/>
      <c r="H284" s="403"/>
      <c r="I284" s="402">
        <v>5.7</v>
      </c>
      <c r="J284" s="403"/>
      <c r="K284" s="403"/>
    </row>
    <row r="285" spans="1:11" x14ac:dyDescent="0.2">
      <c r="A285" s="12" t="s">
        <v>304</v>
      </c>
      <c r="B285" s="402">
        <v>2.0499999999999998</v>
      </c>
      <c r="C285" s="402">
        <v>1.4</v>
      </c>
      <c r="D285" s="402">
        <v>1.9</v>
      </c>
      <c r="E285" s="402">
        <v>5.05</v>
      </c>
      <c r="F285" s="402">
        <v>7.14</v>
      </c>
      <c r="G285" s="402">
        <v>10.07</v>
      </c>
      <c r="H285" s="400">
        <v>185.34</v>
      </c>
      <c r="I285" s="400">
        <v>229.31</v>
      </c>
      <c r="J285" s="400">
        <v>199.6</v>
      </c>
      <c r="K285" s="400">
        <v>199.57</v>
      </c>
    </row>
    <row r="286" spans="1:11" x14ac:dyDescent="0.2">
      <c r="A286" s="13" t="s">
        <v>305</v>
      </c>
      <c r="B286" s="402">
        <v>2.0499999999999998</v>
      </c>
      <c r="C286" s="402">
        <v>1.4</v>
      </c>
      <c r="D286" s="402">
        <v>1.9</v>
      </c>
      <c r="E286" s="402">
        <v>5.05</v>
      </c>
      <c r="F286" s="402">
        <v>7.14</v>
      </c>
      <c r="G286" s="402">
        <v>10.07</v>
      </c>
      <c r="H286" s="400">
        <v>185.34</v>
      </c>
      <c r="I286" s="400">
        <v>229.31</v>
      </c>
      <c r="J286" s="400">
        <v>199.6</v>
      </c>
      <c r="K286" s="400">
        <v>199.57</v>
      </c>
    </row>
    <row r="287" spans="1:11" x14ac:dyDescent="0.2">
      <c r="A287" s="12" t="s">
        <v>306</v>
      </c>
      <c r="B287" s="402">
        <v>36.26</v>
      </c>
      <c r="C287" s="402">
        <v>44.66</v>
      </c>
      <c r="D287" s="402">
        <v>60.65</v>
      </c>
      <c r="E287" s="402">
        <v>57.62</v>
      </c>
      <c r="F287" s="402">
        <v>60.85</v>
      </c>
      <c r="G287" s="402">
        <v>89.4</v>
      </c>
      <c r="H287" s="402">
        <v>84.9</v>
      </c>
      <c r="I287" s="402">
        <v>80.040000000000006</v>
      </c>
      <c r="J287" s="402">
        <v>70.75</v>
      </c>
      <c r="K287" s="402">
        <v>59.23</v>
      </c>
    </row>
    <row r="288" spans="1:11" x14ac:dyDescent="0.2">
      <c r="A288" s="13" t="s">
        <v>307</v>
      </c>
      <c r="B288" s="402">
        <v>31.33</v>
      </c>
      <c r="C288" s="402">
        <v>33.200000000000003</v>
      </c>
      <c r="D288" s="402">
        <v>32.53</v>
      </c>
      <c r="E288" s="402">
        <v>32.659999999999997</v>
      </c>
      <c r="F288" s="402">
        <v>36.26</v>
      </c>
      <c r="G288" s="402">
        <v>41.24</v>
      </c>
      <c r="H288" s="402">
        <v>40.92</v>
      </c>
      <c r="I288" s="402">
        <v>62.75</v>
      </c>
      <c r="J288" s="402">
        <v>60.01</v>
      </c>
      <c r="K288" s="402">
        <v>54.66</v>
      </c>
    </row>
    <row r="289" spans="1:11" x14ac:dyDescent="0.2">
      <c r="A289" s="15" t="s">
        <v>308</v>
      </c>
      <c r="B289" s="402">
        <v>31.33</v>
      </c>
      <c r="C289" s="402">
        <v>33.200000000000003</v>
      </c>
      <c r="D289" s="402">
        <v>32.53</v>
      </c>
      <c r="E289" s="402">
        <v>32.659999999999997</v>
      </c>
      <c r="F289" s="402">
        <v>36.26</v>
      </c>
      <c r="G289" s="402">
        <v>41.24</v>
      </c>
      <c r="H289" s="402">
        <v>40.92</v>
      </c>
      <c r="I289" s="402">
        <v>32.479999999999997</v>
      </c>
      <c r="J289" s="402">
        <v>32.31</v>
      </c>
      <c r="K289" s="402">
        <v>31.94</v>
      </c>
    </row>
    <row r="290" spans="1:11" x14ac:dyDescent="0.2">
      <c r="A290" s="15" t="s">
        <v>309</v>
      </c>
      <c r="B290" s="403"/>
      <c r="C290" s="403"/>
      <c r="D290" s="403"/>
      <c r="E290" s="403"/>
      <c r="F290" s="403"/>
      <c r="G290" s="403"/>
      <c r="H290" s="403"/>
      <c r="I290" s="402">
        <v>30.27</v>
      </c>
      <c r="J290" s="402">
        <v>27.7</v>
      </c>
      <c r="K290" s="402">
        <v>22.73</v>
      </c>
    </row>
    <row r="291" spans="1:11" x14ac:dyDescent="0.2">
      <c r="A291" s="13" t="s">
        <v>310</v>
      </c>
      <c r="B291" s="402">
        <v>4.93</v>
      </c>
      <c r="C291" s="402">
        <v>11.45</v>
      </c>
      <c r="D291" s="402">
        <v>28.12</v>
      </c>
      <c r="E291" s="402">
        <v>24.96</v>
      </c>
      <c r="F291" s="402">
        <v>24.59</v>
      </c>
      <c r="G291" s="402">
        <v>48.16</v>
      </c>
      <c r="H291" s="402">
        <v>43.98</v>
      </c>
      <c r="I291" s="402">
        <v>17.29</v>
      </c>
      <c r="J291" s="402">
        <v>10.74</v>
      </c>
      <c r="K291" s="402">
        <v>4.57</v>
      </c>
    </row>
    <row r="292" spans="1:11" x14ac:dyDescent="0.2">
      <c r="A292" s="12" t="s">
        <v>311</v>
      </c>
      <c r="B292" s="402">
        <v>38.31</v>
      </c>
      <c r="C292" s="402">
        <v>73.349999999999994</v>
      </c>
      <c r="D292" s="402">
        <v>62.65</v>
      </c>
      <c r="E292" s="402">
        <v>62.75</v>
      </c>
      <c r="F292" s="402">
        <v>92.45</v>
      </c>
      <c r="G292" s="400">
        <v>129.91</v>
      </c>
      <c r="H292" s="400">
        <v>1564.98</v>
      </c>
      <c r="I292" s="400">
        <v>1547.02</v>
      </c>
      <c r="J292" s="400">
        <v>1353.35</v>
      </c>
      <c r="K292" s="400">
        <v>1230.5999999999999</v>
      </c>
    </row>
    <row r="293" spans="1:11" x14ac:dyDescent="0.2">
      <c r="A293" s="10" t="s">
        <v>312</v>
      </c>
      <c r="B293" s="11"/>
      <c r="C293" s="11"/>
      <c r="D293" s="11"/>
      <c r="E293" s="11"/>
      <c r="F293" s="11"/>
      <c r="G293" s="11"/>
      <c r="H293" s="11"/>
      <c r="I293" s="11"/>
      <c r="J293" s="11"/>
      <c r="K293" s="11"/>
    </row>
    <row r="294" spans="1:11" x14ac:dyDescent="0.2">
      <c r="A294" s="14" t="s">
        <v>312</v>
      </c>
      <c r="B294" s="401">
        <v>120.75</v>
      </c>
      <c r="C294" s="401">
        <v>205.23</v>
      </c>
      <c r="D294" s="401">
        <v>203.77</v>
      </c>
      <c r="E294" s="401">
        <v>201.21</v>
      </c>
      <c r="F294" s="401">
        <v>214.93</v>
      </c>
      <c r="G294" s="401">
        <v>290.13</v>
      </c>
      <c r="H294" s="401">
        <v>1863.21</v>
      </c>
      <c r="I294" s="401">
        <v>1888.33</v>
      </c>
      <c r="J294" s="401">
        <v>1673.47</v>
      </c>
      <c r="K294" s="401">
        <v>1505.9</v>
      </c>
    </row>
    <row r="295" spans="1:11" x14ac:dyDescent="0.2">
      <c r="A295" s="10" t="s">
        <v>313</v>
      </c>
      <c r="B295" s="11"/>
      <c r="C295" s="11"/>
      <c r="D295" s="11"/>
      <c r="E295" s="11"/>
      <c r="F295" s="11"/>
      <c r="G295" s="11"/>
      <c r="H295" s="11"/>
      <c r="I295" s="11"/>
      <c r="J295" s="11"/>
      <c r="K295" s="11"/>
    </row>
    <row r="296" spans="1:11" x14ac:dyDescent="0.2">
      <c r="A296" s="12" t="s">
        <v>314</v>
      </c>
      <c r="B296" s="400">
        <v>586.80999999999995</v>
      </c>
      <c r="C296" s="400">
        <v>662.82</v>
      </c>
      <c r="D296" s="400">
        <v>741.42</v>
      </c>
      <c r="E296" s="400">
        <v>704.73</v>
      </c>
      <c r="F296" s="400">
        <v>848.62</v>
      </c>
      <c r="G296" s="400">
        <v>954.68</v>
      </c>
      <c r="H296" s="400">
        <v>1366.38</v>
      </c>
      <c r="I296" s="400">
        <v>1518.99</v>
      </c>
      <c r="J296" s="400">
        <v>1538.61</v>
      </c>
      <c r="K296" s="400">
        <v>1800.92</v>
      </c>
    </row>
    <row r="297" spans="1:11" x14ac:dyDescent="0.2">
      <c r="A297" s="13" t="s">
        <v>315</v>
      </c>
      <c r="B297" s="400">
        <v>586.80999999999995</v>
      </c>
      <c r="C297" s="400">
        <v>662.82</v>
      </c>
      <c r="D297" s="400">
        <v>741.42</v>
      </c>
      <c r="E297" s="400">
        <v>704.73</v>
      </c>
      <c r="F297" s="400">
        <v>848.62</v>
      </c>
      <c r="G297" s="400">
        <v>954.68</v>
      </c>
      <c r="H297" s="400">
        <v>1366.38</v>
      </c>
      <c r="I297" s="400">
        <v>1518.99</v>
      </c>
      <c r="J297" s="400">
        <v>1538.61</v>
      </c>
      <c r="K297" s="400">
        <v>1800.92</v>
      </c>
    </row>
    <row r="298" spans="1:11" x14ac:dyDescent="0.2">
      <c r="A298" s="15" t="s">
        <v>316</v>
      </c>
      <c r="B298" s="402">
        <v>25.46</v>
      </c>
      <c r="C298" s="402">
        <v>38.03</v>
      </c>
      <c r="D298" s="402">
        <v>22.18</v>
      </c>
      <c r="E298" s="402">
        <v>87.78</v>
      </c>
      <c r="F298" s="402">
        <v>81.849999999999994</v>
      </c>
      <c r="G298" s="400">
        <v>109.55</v>
      </c>
      <c r="H298" s="400">
        <v>120.02</v>
      </c>
      <c r="I298" s="400">
        <v>281.27999999999997</v>
      </c>
      <c r="J298" s="400">
        <v>296.8</v>
      </c>
      <c r="K298" s="400">
        <v>251.78</v>
      </c>
    </row>
    <row r="299" spans="1:11" x14ac:dyDescent="0.2">
      <c r="A299" s="15" t="s">
        <v>317</v>
      </c>
      <c r="B299" s="402">
        <v>75.88</v>
      </c>
      <c r="C299" s="402">
        <v>77.099999999999994</v>
      </c>
      <c r="D299" s="402">
        <v>75.13</v>
      </c>
      <c r="E299" s="402">
        <v>77.95</v>
      </c>
      <c r="F299" s="402">
        <v>81.47</v>
      </c>
      <c r="G299" s="402">
        <v>85.67</v>
      </c>
      <c r="H299" s="402">
        <v>91.42</v>
      </c>
      <c r="I299" s="402">
        <v>99.55</v>
      </c>
      <c r="J299" s="400">
        <v>106.34</v>
      </c>
      <c r="K299" s="402">
        <v>99.82</v>
      </c>
    </row>
    <row r="300" spans="1:11" x14ac:dyDescent="0.2">
      <c r="A300" s="17" t="s">
        <v>318</v>
      </c>
      <c r="B300" s="402">
        <v>55.95</v>
      </c>
      <c r="C300" s="402">
        <v>55.95</v>
      </c>
      <c r="D300" s="402">
        <v>55.95</v>
      </c>
      <c r="E300" s="402">
        <v>55.95</v>
      </c>
      <c r="F300" s="402">
        <v>55.95</v>
      </c>
      <c r="G300" s="402">
        <v>55.95</v>
      </c>
      <c r="H300" s="402">
        <v>55.95</v>
      </c>
      <c r="I300" s="402">
        <v>55.95</v>
      </c>
      <c r="J300" s="402">
        <v>55.95</v>
      </c>
      <c r="K300" s="402">
        <v>55.95</v>
      </c>
    </row>
    <row r="301" spans="1:11" x14ac:dyDescent="0.2">
      <c r="A301" s="17" t="s">
        <v>319</v>
      </c>
      <c r="B301" s="402">
        <v>19.93</v>
      </c>
      <c r="C301" s="402">
        <v>21.16</v>
      </c>
      <c r="D301" s="402">
        <v>19.18</v>
      </c>
      <c r="E301" s="402">
        <v>22</v>
      </c>
      <c r="F301" s="402">
        <v>25.52</v>
      </c>
      <c r="G301" s="402">
        <v>29.72</v>
      </c>
      <c r="H301" s="402">
        <v>35.47</v>
      </c>
      <c r="I301" s="402">
        <v>43.6</v>
      </c>
      <c r="J301" s="402">
        <v>50.4</v>
      </c>
      <c r="K301" s="402">
        <v>43.87</v>
      </c>
    </row>
    <row r="302" spans="1:11" x14ac:dyDescent="0.2">
      <c r="A302" s="15" t="s">
        <v>320</v>
      </c>
      <c r="B302" s="400">
        <v>536.4</v>
      </c>
      <c r="C302" s="400">
        <v>623.74</v>
      </c>
      <c r="D302" s="400">
        <v>688.47</v>
      </c>
      <c r="E302" s="400">
        <v>714.57</v>
      </c>
      <c r="F302" s="400">
        <v>849</v>
      </c>
      <c r="G302" s="400">
        <v>978.56</v>
      </c>
      <c r="H302" s="400">
        <v>1394.98</v>
      </c>
      <c r="I302" s="400">
        <v>1700.72</v>
      </c>
      <c r="J302" s="400">
        <v>1729.07</v>
      </c>
      <c r="K302" s="400">
        <v>1952.88</v>
      </c>
    </row>
    <row r="303" spans="1:11" x14ac:dyDescent="0.2">
      <c r="A303" s="17" t="s">
        <v>321</v>
      </c>
      <c r="B303" s="400">
        <v>482.39</v>
      </c>
      <c r="C303" s="400">
        <v>545.07000000000005</v>
      </c>
      <c r="D303" s="400">
        <v>665.55</v>
      </c>
      <c r="E303" s="400">
        <v>613.30999999999995</v>
      </c>
      <c r="F303" s="400">
        <v>745.54</v>
      </c>
      <c r="G303" s="400">
        <v>896</v>
      </c>
      <c r="H303" s="400">
        <v>1228.75</v>
      </c>
      <c r="I303" s="400">
        <v>1298.44</v>
      </c>
      <c r="J303" s="400">
        <v>1364.76</v>
      </c>
      <c r="K303" s="400">
        <v>1532.47</v>
      </c>
    </row>
    <row r="304" spans="1:11" x14ac:dyDescent="0.2">
      <c r="A304" s="17" t="s">
        <v>322</v>
      </c>
      <c r="B304" s="402">
        <v>28.54</v>
      </c>
      <c r="C304" s="402">
        <v>40.64</v>
      </c>
      <c r="D304" s="402">
        <v>0.74</v>
      </c>
      <c r="E304" s="402">
        <v>13.47</v>
      </c>
      <c r="F304" s="402">
        <v>21.61</v>
      </c>
      <c r="G304" s="16">
        <v>-26.99</v>
      </c>
      <c r="H304" s="402">
        <v>46.21</v>
      </c>
      <c r="I304" s="400">
        <v>121</v>
      </c>
      <c r="J304" s="402">
        <v>67.510000000000005</v>
      </c>
      <c r="K304" s="400">
        <v>168.63</v>
      </c>
    </row>
    <row r="305" spans="1:11" x14ac:dyDescent="0.2">
      <c r="A305" s="19" t="s">
        <v>323</v>
      </c>
      <c r="B305" s="402">
        <v>28.54</v>
      </c>
      <c r="C305" s="402">
        <v>40.64</v>
      </c>
      <c r="D305" s="402">
        <v>0.74</v>
      </c>
      <c r="E305" s="402">
        <v>13.47</v>
      </c>
      <c r="F305" s="402">
        <v>21.61</v>
      </c>
      <c r="G305" s="16">
        <v>-26.99</v>
      </c>
      <c r="H305" s="402">
        <v>46.21</v>
      </c>
      <c r="I305" s="400">
        <v>121</v>
      </c>
      <c r="J305" s="402">
        <v>67.510000000000005</v>
      </c>
      <c r="K305" s="400">
        <v>168.63</v>
      </c>
    </row>
    <row r="306" spans="1:11" x14ac:dyDescent="0.2">
      <c r="A306" s="17" t="s">
        <v>324</v>
      </c>
      <c r="B306" s="402">
        <v>25.46</v>
      </c>
      <c r="C306" s="402">
        <v>38.03</v>
      </c>
      <c r="D306" s="402">
        <v>22.18</v>
      </c>
      <c r="E306" s="402">
        <v>87.78</v>
      </c>
      <c r="F306" s="402">
        <v>81.849999999999994</v>
      </c>
      <c r="G306" s="400">
        <v>109.55</v>
      </c>
      <c r="H306" s="400">
        <v>120.02</v>
      </c>
      <c r="I306" s="400">
        <v>281.27999999999997</v>
      </c>
      <c r="J306" s="400">
        <v>296.8</v>
      </c>
      <c r="K306" s="400">
        <v>251.78</v>
      </c>
    </row>
    <row r="307" spans="1:11" x14ac:dyDescent="0.2">
      <c r="A307" s="13" t="s">
        <v>325</v>
      </c>
      <c r="B307" s="400">
        <v>586.80999999999995</v>
      </c>
      <c r="C307" s="400">
        <v>662.82</v>
      </c>
      <c r="D307" s="400">
        <v>741.42</v>
      </c>
      <c r="E307" s="400">
        <v>704.73</v>
      </c>
      <c r="F307" s="400">
        <v>848.62</v>
      </c>
      <c r="G307" s="400">
        <v>954.68</v>
      </c>
      <c r="H307" s="400">
        <v>1366.38</v>
      </c>
      <c r="I307" s="400">
        <v>1518.99</v>
      </c>
      <c r="J307" s="400">
        <v>1538.61</v>
      </c>
      <c r="K307" s="400">
        <v>1800.92</v>
      </c>
    </row>
    <row r="308" spans="1:11" x14ac:dyDescent="0.2">
      <c r="A308" s="12" t="s">
        <v>326</v>
      </c>
      <c r="B308" s="402">
        <v>0.34</v>
      </c>
      <c r="C308" s="402">
        <v>0.56999999999999995</v>
      </c>
      <c r="D308" s="402">
        <v>0.54</v>
      </c>
      <c r="E308" s="403">
        <v>0</v>
      </c>
      <c r="F308" s="403">
        <v>0</v>
      </c>
      <c r="G308" s="402">
        <v>1.64</v>
      </c>
      <c r="H308" s="402">
        <v>1.56</v>
      </c>
      <c r="I308" s="402">
        <v>0.76</v>
      </c>
      <c r="J308" s="16">
        <v>-0.64</v>
      </c>
      <c r="K308" s="16">
        <v>-1.9</v>
      </c>
    </row>
    <row r="309" spans="1:11" x14ac:dyDescent="0.2">
      <c r="A309" s="10" t="s">
        <v>327</v>
      </c>
      <c r="B309" s="11"/>
      <c r="C309" s="11"/>
      <c r="D309" s="11"/>
      <c r="E309" s="11"/>
      <c r="F309" s="11"/>
      <c r="G309" s="11"/>
      <c r="H309" s="11"/>
      <c r="I309" s="11"/>
      <c r="J309" s="11"/>
      <c r="K309" s="11"/>
    </row>
    <row r="310" spans="1:11" x14ac:dyDescent="0.2">
      <c r="A310" s="14" t="s">
        <v>328</v>
      </c>
      <c r="B310" s="401">
        <v>587.16</v>
      </c>
      <c r="C310" s="401">
        <v>663.39</v>
      </c>
      <c r="D310" s="401">
        <v>741.96</v>
      </c>
      <c r="E310" s="401">
        <v>704.74</v>
      </c>
      <c r="F310" s="401">
        <v>848.62</v>
      </c>
      <c r="G310" s="401">
        <v>956.32</v>
      </c>
      <c r="H310" s="401">
        <v>1367.94</v>
      </c>
      <c r="I310" s="401">
        <v>1519.75</v>
      </c>
      <c r="J310" s="401">
        <v>1537.97</v>
      </c>
      <c r="K310" s="401">
        <v>1799.02</v>
      </c>
    </row>
    <row r="311" spans="1:11" x14ac:dyDescent="0.2">
      <c r="A311" s="10" t="s">
        <v>329</v>
      </c>
      <c r="B311" s="11"/>
      <c r="C311" s="11"/>
      <c r="D311" s="11"/>
      <c r="E311" s="11"/>
      <c r="F311" s="11"/>
      <c r="G311" s="11"/>
      <c r="H311" s="11"/>
      <c r="I311" s="11"/>
      <c r="J311" s="11"/>
      <c r="K311" s="11"/>
    </row>
    <row r="312" spans="1:11" x14ac:dyDescent="0.2">
      <c r="A312" s="14" t="s">
        <v>330</v>
      </c>
      <c r="B312" s="401">
        <v>707.91</v>
      </c>
      <c r="C312" s="401">
        <v>868.62</v>
      </c>
      <c r="D312" s="401">
        <v>945.72</v>
      </c>
      <c r="E312" s="401">
        <v>905.94</v>
      </c>
      <c r="F312" s="401">
        <v>1063.55</v>
      </c>
      <c r="G312" s="401">
        <v>1246.45</v>
      </c>
      <c r="H312" s="401">
        <v>3231.15</v>
      </c>
      <c r="I312" s="401">
        <v>3408.08</v>
      </c>
      <c r="J312" s="401">
        <v>3211.44</v>
      </c>
      <c r="K312" s="401">
        <v>3304.92</v>
      </c>
    </row>
    <row r="313" spans="1:11" x14ac:dyDescent="0.2">
      <c r="A313" s="10" t="s">
        <v>331</v>
      </c>
      <c r="B313" s="11"/>
      <c r="C313" s="11"/>
      <c r="D313" s="11"/>
      <c r="E313" s="11"/>
      <c r="F313" s="11"/>
      <c r="G313" s="11"/>
      <c r="H313" s="11"/>
      <c r="I313" s="11"/>
      <c r="J313" s="11"/>
      <c r="K313" s="11"/>
    </row>
    <row r="314" spans="1:11" x14ac:dyDescent="0.2">
      <c r="A314" s="12" t="s">
        <v>332</v>
      </c>
      <c r="B314" s="402">
        <v>55.95</v>
      </c>
      <c r="C314" s="402">
        <v>55.95</v>
      </c>
      <c r="D314" s="402">
        <v>55.95</v>
      </c>
      <c r="E314" s="402">
        <v>55.95</v>
      </c>
      <c r="F314" s="402">
        <v>55.95</v>
      </c>
      <c r="G314" s="402">
        <v>55.95</v>
      </c>
      <c r="H314" s="402">
        <v>55.95</v>
      </c>
      <c r="I314" s="402">
        <v>55.95</v>
      </c>
      <c r="J314" s="402">
        <v>55.95</v>
      </c>
      <c r="K314" s="402">
        <v>55.95</v>
      </c>
    </row>
    <row r="315" spans="1:11" x14ac:dyDescent="0.2">
      <c r="A315" s="13" t="s">
        <v>333</v>
      </c>
      <c r="B315" s="402">
        <v>54.98</v>
      </c>
      <c r="C315" s="402">
        <v>54.76</v>
      </c>
      <c r="D315" s="402">
        <v>55.4</v>
      </c>
      <c r="E315" s="402">
        <v>54.66</v>
      </c>
      <c r="F315" s="402">
        <v>54.79</v>
      </c>
      <c r="G315" s="402">
        <v>54.72</v>
      </c>
      <c r="H315" s="402">
        <v>54.75</v>
      </c>
      <c r="I315" s="402">
        <v>53.51</v>
      </c>
      <c r="J315" s="402">
        <v>53.36</v>
      </c>
      <c r="K315" s="402">
        <v>53.89</v>
      </c>
    </row>
    <row r="316" spans="1:11" x14ac:dyDescent="0.2">
      <c r="A316" s="13" t="s">
        <v>334</v>
      </c>
      <c r="B316" s="402">
        <v>0.97</v>
      </c>
      <c r="C316" s="402">
        <v>1.19</v>
      </c>
      <c r="D316" s="402">
        <v>0.55000000000000004</v>
      </c>
      <c r="E316" s="402">
        <v>1.29</v>
      </c>
      <c r="F316" s="402">
        <v>1.1599999999999999</v>
      </c>
      <c r="G316" s="402">
        <v>1.23</v>
      </c>
      <c r="H316" s="402">
        <v>1.2</v>
      </c>
      <c r="I316" s="402">
        <v>2.44</v>
      </c>
      <c r="J316" s="402">
        <v>2.59</v>
      </c>
      <c r="K316" s="402">
        <v>2.06</v>
      </c>
    </row>
    <row r="317" spans="1:11" x14ac:dyDescent="0.2">
      <c r="A317" s="12" t="s">
        <v>335</v>
      </c>
      <c r="B317" s="402">
        <v>55.95</v>
      </c>
      <c r="C317" s="402">
        <v>55.95</v>
      </c>
      <c r="D317" s="402">
        <v>55.95</v>
      </c>
      <c r="E317" s="402">
        <v>55.95</v>
      </c>
      <c r="F317" s="402">
        <v>55.95</v>
      </c>
      <c r="G317" s="402">
        <v>55.95</v>
      </c>
      <c r="H317" s="402">
        <v>55.95</v>
      </c>
      <c r="I317" s="402">
        <v>55.95</v>
      </c>
      <c r="J317" s="402">
        <v>55.95</v>
      </c>
      <c r="K317" s="402">
        <v>55.95</v>
      </c>
    </row>
    <row r="318" spans="1:11" x14ac:dyDescent="0.2">
      <c r="A318" s="13" t="s">
        <v>336</v>
      </c>
      <c r="B318" s="402">
        <v>54.98</v>
      </c>
      <c r="C318" s="402">
        <v>54.76</v>
      </c>
      <c r="D318" s="402">
        <v>55.4</v>
      </c>
      <c r="E318" s="402">
        <v>54.66</v>
      </c>
      <c r="F318" s="402">
        <v>54.79</v>
      </c>
      <c r="G318" s="402">
        <v>54.72</v>
      </c>
      <c r="H318" s="402">
        <v>54.75</v>
      </c>
      <c r="I318" s="402">
        <v>53.51</v>
      </c>
      <c r="J318" s="402">
        <v>53.36</v>
      </c>
      <c r="K318" s="402">
        <v>53.89</v>
      </c>
    </row>
    <row r="319" spans="1:11" x14ac:dyDescent="0.2">
      <c r="A319" s="13" t="s">
        <v>337</v>
      </c>
      <c r="B319" s="402">
        <v>0.97</v>
      </c>
      <c r="C319" s="402">
        <v>1.19</v>
      </c>
      <c r="D319" s="402">
        <v>0.55000000000000004</v>
      </c>
      <c r="E319" s="402">
        <v>1.29</v>
      </c>
      <c r="F319" s="402">
        <v>1.1599999999999999</v>
      </c>
      <c r="G319" s="402">
        <v>1.23</v>
      </c>
      <c r="H319" s="402">
        <v>1.2</v>
      </c>
      <c r="I319" s="402">
        <v>2.44</v>
      </c>
      <c r="J319" s="402">
        <v>2.59</v>
      </c>
      <c r="K319" s="402">
        <v>2.06</v>
      </c>
    </row>
    <row r="320" spans="1:11" x14ac:dyDescent="0.2">
      <c r="A320" s="10" t="s">
        <v>338</v>
      </c>
      <c r="B320" s="11"/>
      <c r="C320" s="11"/>
      <c r="D320" s="11"/>
      <c r="E320" s="11"/>
      <c r="F320" s="11"/>
      <c r="G320" s="11"/>
      <c r="H320" s="11"/>
      <c r="I320" s="11"/>
      <c r="J320" s="11"/>
      <c r="K320" s="11"/>
    </row>
    <row r="321" spans="1:11" x14ac:dyDescent="0.2">
      <c r="A321" s="12" t="s">
        <v>339</v>
      </c>
      <c r="B321" s="402">
        <v>1</v>
      </c>
      <c r="C321" s="402">
        <v>1</v>
      </c>
      <c r="D321" s="402">
        <v>1</v>
      </c>
      <c r="E321" s="402">
        <v>1</v>
      </c>
      <c r="F321" s="402">
        <v>1</v>
      </c>
      <c r="G321" s="402">
        <v>1</v>
      </c>
      <c r="H321" s="402">
        <v>1</v>
      </c>
      <c r="I321" s="402">
        <v>1</v>
      </c>
      <c r="J321" s="402">
        <v>1</v>
      </c>
      <c r="K321" s="402">
        <v>1</v>
      </c>
    </row>
    <row r="322" spans="1:11" x14ac:dyDescent="0.2">
      <c r="A322" s="10" t="s">
        <v>340</v>
      </c>
      <c r="B322" s="11"/>
      <c r="C322" s="11"/>
      <c r="D322" s="11"/>
      <c r="E322" s="11"/>
      <c r="F322" s="11"/>
      <c r="G322" s="11"/>
      <c r="H322" s="11"/>
      <c r="I322" s="11"/>
      <c r="J322" s="11"/>
      <c r="K322" s="11"/>
    </row>
    <row r="323" spans="1:11" x14ac:dyDescent="0.2">
      <c r="A323" s="12" t="s">
        <v>341</v>
      </c>
      <c r="B323" s="403"/>
      <c r="C323" s="403"/>
      <c r="D323" s="403"/>
      <c r="E323" s="403"/>
      <c r="F323" s="402">
        <v>28.63</v>
      </c>
      <c r="G323" s="402">
        <v>33.36</v>
      </c>
      <c r="H323" s="402">
        <v>72.58</v>
      </c>
      <c r="I323" s="402">
        <v>62.85</v>
      </c>
      <c r="J323" s="402">
        <v>67.02</v>
      </c>
      <c r="K323" s="402">
        <v>69.31</v>
      </c>
    </row>
    <row r="324" spans="1:11" x14ac:dyDescent="0.2">
      <c r="A324" s="13" t="s">
        <v>342</v>
      </c>
      <c r="B324" s="403"/>
      <c r="C324" s="403"/>
      <c r="D324" s="403"/>
      <c r="E324" s="403"/>
      <c r="F324" s="402">
        <v>28.63</v>
      </c>
      <c r="G324" s="402">
        <v>33.36</v>
      </c>
      <c r="H324" s="402">
        <v>72.58</v>
      </c>
      <c r="I324" s="402">
        <v>62.85</v>
      </c>
      <c r="J324" s="402">
        <v>67.02</v>
      </c>
      <c r="K324" s="402">
        <v>69.31</v>
      </c>
    </row>
    <row r="325" spans="1:11" x14ac:dyDescent="0.2">
      <c r="A325" s="13" t="s">
        <v>343</v>
      </c>
      <c r="B325" s="403"/>
      <c r="C325" s="403"/>
      <c r="D325" s="403"/>
      <c r="E325" s="403"/>
      <c r="F325" s="402">
        <v>34.04</v>
      </c>
      <c r="G325" s="402">
        <v>43.65</v>
      </c>
      <c r="H325" s="402">
        <v>90.45</v>
      </c>
      <c r="I325" s="402">
        <v>82.32</v>
      </c>
      <c r="J325" s="402">
        <v>97.85</v>
      </c>
      <c r="K325" s="400">
        <v>101.86</v>
      </c>
    </row>
    <row r="326" spans="1:11" x14ac:dyDescent="0.2">
      <c r="A326" s="15" t="s">
        <v>344</v>
      </c>
      <c r="B326" s="403"/>
      <c r="C326" s="403"/>
      <c r="D326" s="403"/>
      <c r="E326" s="403"/>
      <c r="F326" s="402">
        <v>34.04</v>
      </c>
      <c r="G326" s="402">
        <v>43.65</v>
      </c>
      <c r="H326" s="402">
        <v>90.45</v>
      </c>
      <c r="I326" s="402">
        <v>82.32</v>
      </c>
      <c r="J326" s="402">
        <v>97.85</v>
      </c>
      <c r="K326" s="400">
        <v>101.86</v>
      </c>
    </row>
    <row r="327" spans="1:11" x14ac:dyDescent="0.2">
      <c r="A327" s="13" t="s">
        <v>345</v>
      </c>
      <c r="B327" s="403"/>
      <c r="C327" s="403"/>
      <c r="D327" s="403"/>
      <c r="E327" s="403"/>
      <c r="F327" s="402">
        <v>5.41</v>
      </c>
      <c r="G327" s="402">
        <v>10.29</v>
      </c>
      <c r="H327" s="402">
        <v>17.86</v>
      </c>
      <c r="I327" s="402">
        <v>19.47</v>
      </c>
      <c r="J327" s="402">
        <v>30.83</v>
      </c>
      <c r="K327" s="402">
        <v>32.549999999999997</v>
      </c>
    </row>
    <row r="328" spans="1:11" x14ac:dyDescent="0.2">
      <c r="A328" s="15" t="s">
        <v>346</v>
      </c>
      <c r="B328" s="403"/>
      <c r="C328" s="403"/>
      <c r="D328" s="403"/>
      <c r="E328" s="403"/>
      <c r="F328" s="402">
        <v>5.41</v>
      </c>
      <c r="G328" s="402">
        <v>10.29</v>
      </c>
      <c r="H328" s="402">
        <v>17.86</v>
      </c>
      <c r="I328" s="402">
        <v>19.47</v>
      </c>
      <c r="J328" s="402">
        <v>30.83</v>
      </c>
      <c r="K328" s="402">
        <v>32.549999999999997</v>
      </c>
    </row>
    <row r="329" spans="1:11" x14ac:dyDescent="0.2">
      <c r="A329" s="12" t="s">
        <v>347</v>
      </c>
      <c r="B329" s="403"/>
      <c r="C329" s="403"/>
      <c r="D329" s="403"/>
      <c r="E329" s="403"/>
      <c r="F329" s="402">
        <v>99.76</v>
      </c>
      <c r="G329" s="400">
        <v>107.14</v>
      </c>
      <c r="H329" s="400">
        <v>203.61</v>
      </c>
      <c r="I329" s="400">
        <v>205.6</v>
      </c>
      <c r="J329" s="400">
        <v>189.27</v>
      </c>
      <c r="K329" s="400">
        <v>202.05</v>
      </c>
    </row>
    <row r="330" spans="1:11" x14ac:dyDescent="0.2">
      <c r="A330" s="13" t="s">
        <v>348</v>
      </c>
      <c r="B330" s="403"/>
      <c r="C330" s="403"/>
      <c r="D330" s="403"/>
      <c r="E330" s="403"/>
      <c r="F330" s="400">
        <v>296.73</v>
      </c>
      <c r="G330" s="400">
        <v>304.23</v>
      </c>
      <c r="H330" s="400">
        <v>433.87</v>
      </c>
      <c r="I330" s="400">
        <v>472.95</v>
      </c>
      <c r="J330" s="400">
        <v>500.66</v>
      </c>
      <c r="K330" s="400">
        <v>542.94000000000005</v>
      </c>
    </row>
    <row r="331" spans="1:11" x14ac:dyDescent="0.2">
      <c r="A331" s="13" t="s">
        <v>349</v>
      </c>
      <c r="B331" s="403"/>
      <c r="C331" s="403"/>
      <c r="D331" s="403"/>
      <c r="E331" s="403"/>
      <c r="F331" s="400">
        <v>196.98</v>
      </c>
      <c r="G331" s="400">
        <v>197.09</v>
      </c>
      <c r="H331" s="400">
        <v>230.26</v>
      </c>
      <c r="I331" s="400">
        <v>267.35000000000002</v>
      </c>
      <c r="J331" s="400">
        <v>311.39</v>
      </c>
      <c r="K331" s="400">
        <v>340.89</v>
      </c>
    </row>
    <row r="332" spans="1:11" x14ac:dyDescent="0.2">
      <c r="A332" s="10" t="s">
        <v>350</v>
      </c>
      <c r="B332" s="11"/>
      <c r="C332" s="11"/>
      <c r="D332" s="11"/>
      <c r="E332" s="11"/>
      <c r="F332" s="11"/>
      <c r="G332" s="11"/>
      <c r="H332" s="11"/>
      <c r="I332" s="11"/>
      <c r="J332" s="11"/>
      <c r="K332" s="11"/>
    </row>
    <row r="333" spans="1:11" x14ac:dyDescent="0.2">
      <c r="A333" s="12" t="s">
        <v>351</v>
      </c>
      <c r="B333" s="403"/>
      <c r="C333" s="403"/>
      <c r="D333" s="402">
        <v>0.12</v>
      </c>
      <c r="E333" s="402">
        <v>0.1</v>
      </c>
      <c r="F333" s="402">
        <v>29.27</v>
      </c>
      <c r="G333" s="402">
        <v>34.659999999999997</v>
      </c>
      <c r="H333" s="402">
        <v>76.12</v>
      </c>
      <c r="I333" s="402">
        <v>69.5</v>
      </c>
      <c r="J333" s="402">
        <v>71</v>
      </c>
      <c r="K333" s="402">
        <v>76.72</v>
      </c>
    </row>
    <row r="334" spans="1:11" x14ac:dyDescent="0.2">
      <c r="A334" s="12" t="s">
        <v>352</v>
      </c>
      <c r="B334" s="402">
        <v>2.2999999999999998</v>
      </c>
      <c r="C334" s="402">
        <v>50.4</v>
      </c>
      <c r="D334" s="402">
        <v>24.01</v>
      </c>
      <c r="E334" s="402">
        <v>20.68</v>
      </c>
      <c r="F334" s="402">
        <v>29.28</v>
      </c>
      <c r="G334" s="402">
        <v>34.659999999999997</v>
      </c>
      <c r="H334" s="400">
        <v>1399.63</v>
      </c>
      <c r="I334" s="400">
        <v>1351.99</v>
      </c>
      <c r="J334" s="400">
        <v>1192.6500000000001</v>
      </c>
      <c r="K334" s="400">
        <v>1014.19</v>
      </c>
    </row>
    <row r="335" spans="1:11" x14ac:dyDescent="0.2">
      <c r="A335" s="10" t="s">
        <v>353</v>
      </c>
      <c r="B335" s="11"/>
      <c r="C335" s="11"/>
      <c r="D335" s="11"/>
      <c r="E335" s="11"/>
      <c r="F335" s="11"/>
      <c r="G335" s="11"/>
      <c r="H335" s="11"/>
      <c r="I335" s="11"/>
      <c r="J335" s="11"/>
      <c r="K335" s="11"/>
    </row>
    <row r="336" spans="1:11" x14ac:dyDescent="0.2">
      <c r="A336" s="12" t="s">
        <v>354</v>
      </c>
      <c r="B336" s="403"/>
      <c r="C336" s="403"/>
      <c r="D336" s="403"/>
      <c r="E336" s="403"/>
      <c r="F336" s="403"/>
      <c r="G336" s="403"/>
      <c r="H336" s="403"/>
      <c r="I336" s="403"/>
      <c r="J336" s="402">
        <v>37.53</v>
      </c>
      <c r="K336" s="402">
        <v>17.850000000000001</v>
      </c>
    </row>
    <row r="337" spans="1:11" x14ac:dyDescent="0.2">
      <c r="A337" s="12" t="s">
        <v>355</v>
      </c>
      <c r="B337" s="402">
        <v>58.18</v>
      </c>
      <c r="C337" s="403">
        <v>0</v>
      </c>
      <c r="D337" s="402">
        <v>13.97</v>
      </c>
      <c r="E337" s="402">
        <v>23.42</v>
      </c>
      <c r="F337" s="402">
        <v>44.59</v>
      </c>
      <c r="G337" s="402">
        <v>0.13</v>
      </c>
      <c r="H337" s="402">
        <v>10.72</v>
      </c>
      <c r="I337" s="400">
        <v>203.6</v>
      </c>
      <c r="J337" s="402">
        <v>98.44</v>
      </c>
      <c r="K337" s="402">
        <v>34.71</v>
      </c>
    </row>
    <row r="338" spans="1:11" x14ac:dyDescent="0.2">
      <c r="A338" s="12" t="s">
        <v>356</v>
      </c>
      <c r="B338" s="400">
        <v>105.61</v>
      </c>
      <c r="C338" s="400">
        <v>120.26</v>
      </c>
      <c r="D338" s="400">
        <v>128.82</v>
      </c>
      <c r="E338" s="400">
        <v>131.09</v>
      </c>
      <c r="F338" s="400">
        <v>132.51</v>
      </c>
      <c r="G338" s="400">
        <v>166.69</v>
      </c>
      <c r="H338" s="400">
        <v>226.25</v>
      </c>
      <c r="I338" s="400">
        <v>252.31</v>
      </c>
      <c r="J338" s="400">
        <v>228.71</v>
      </c>
      <c r="K338" s="400">
        <v>204.11</v>
      </c>
    </row>
    <row r="339" spans="1:11" x14ac:dyDescent="0.2">
      <c r="A339" s="13" t="s">
        <v>357</v>
      </c>
      <c r="B339" s="400">
        <v>115.43</v>
      </c>
      <c r="C339" s="400">
        <v>130.88</v>
      </c>
      <c r="D339" s="400">
        <v>138.44</v>
      </c>
      <c r="E339" s="400">
        <v>139.97</v>
      </c>
      <c r="F339" s="400">
        <v>141.13</v>
      </c>
      <c r="G339" s="400">
        <v>174.42</v>
      </c>
      <c r="H339" s="400">
        <v>229.56</v>
      </c>
      <c r="I339" s="400">
        <v>233.54</v>
      </c>
      <c r="J339" s="400">
        <v>209.81</v>
      </c>
      <c r="K339" s="400">
        <v>206.12</v>
      </c>
    </row>
    <row r="340" spans="1:11" x14ac:dyDescent="0.2">
      <c r="A340" s="12" t="s">
        <v>358</v>
      </c>
      <c r="B340" s="403"/>
      <c r="C340" s="403"/>
      <c r="D340" s="402">
        <v>4</v>
      </c>
      <c r="E340" s="403">
        <v>0</v>
      </c>
      <c r="F340" s="403"/>
      <c r="G340" s="403"/>
      <c r="H340" s="403"/>
      <c r="I340" s="402">
        <v>45.27</v>
      </c>
      <c r="J340" s="403">
        <v>0</v>
      </c>
      <c r="K340" s="403"/>
    </row>
    <row r="341" spans="1:11" x14ac:dyDescent="0.2">
      <c r="A341" s="12" t="s">
        <v>359</v>
      </c>
      <c r="B341" s="402">
        <v>30.75</v>
      </c>
      <c r="C341" s="402">
        <v>37.33</v>
      </c>
      <c r="D341" s="402">
        <v>56.85</v>
      </c>
      <c r="E341" s="402">
        <v>45.98</v>
      </c>
      <c r="F341" s="402">
        <v>59.08</v>
      </c>
      <c r="G341" s="402">
        <v>51.26</v>
      </c>
      <c r="H341" s="402">
        <v>73.53</v>
      </c>
      <c r="I341" s="402">
        <v>95.09</v>
      </c>
      <c r="J341" s="402">
        <v>69.67</v>
      </c>
      <c r="K341" s="402">
        <v>60.06</v>
      </c>
    </row>
    <row r="342" spans="1:11" x14ac:dyDescent="0.2">
      <c r="A342" s="12" t="s">
        <v>360</v>
      </c>
      <c r="B342" s="402">
        <v>6.38</v>
      </c>
      <c r="C342" s="402">
        <v>10.33</v>
      </c>
      <c r="D342" s="402">
        <v>5.19</v>
      </c>
      <c r="E342" s="402">
        <v>9.51</v>
      </c>
      <c r="F342" s="402">
        <v>10.8</v>
      </c>
      <c r="G342" s="402">
        <v>29.83</v>
      </c>
      <c r="H342" s="402">
        <v>6.26</v>
      </c>
      <c r="I342" s="402">
        <v>13.79</v>
      </c>
      <c r="J342" s="402">
        <v>9.4</v>
      </c>
      <c r="K342" s="402">
        <v>18.07</v>
      </c>
    </row>
    <row r="343" spans="1:11" x14ac:dyDescent="0.2">
      <c r="A343" s="12" t="s">
        <v>361</v>
      </c>
      <c r="B343" s="402">
        <v>40.78</v>
      </c>
      <c r="C343" s="402">
        <v>47.67</v>
      </c>
      <c r="D343" s="402">
        <v>62.33</v>
      </c>
      <c r="E343" s="402">
        <v>92.61</v>
      </c>
      <c r="F343" s="402">
        <v>96.89</v>
      </c>
      <c r="G343" s="400">
        <v>113.16</v>
      </c>
      <c r="H343" s="400">
        <v>150.1</v>
      </c>
      <c r="I343" s="400">
        <v>171.88</v>
      </c>
      <c r="J343" s="400">
        <v>166.87</v>
      </c>
      <c r="K343" s="400">
        <v>173.43</v>
      </c>
    </row>
    <row r="344" spans="1:11" x14ac:dyDescent="0.2">
      <c r="A344" s="13" t="s">
        <v>362</v>
      </c>
      <c r="B344" s="402">
        <v>40.78</v>
      </c>
      <c r="C344" s="402">
        <v>47.67</v>
      </c>
      <c r="D344" s="402">
        <v>62.33</v>
      </c>
      <c r="E344" s="402">
        <v>57.29</v>
      </c>
      <c r="F344" s="402">
        <v>55.73</v>
      </c>
      <c r="G344" s="402">
        <v>65.489999999999995</v>
      </c>
      <c r="H344" s="402">
        <v>84.77</v>
      </c>
      <c r="I344" s="400">
        <v>104.2</v>
      </c>
      <c r="J344" s="400">
        <v>100.71</v>
      </c>
      <c r="K344" s="402">
        <v>99.52</v>
      </c>
    </row>
    <row r="345" spans="1:11" x14ac:dyDescent="0.2">
      <c r="A345" s="13" t="s">
        <v>363</v>
      </c>
      <c r="B345" s="403"/>
      <c r="C345" s="403"/>
      <c r="D345" s="403"/>
      <c r="E345" s="402">
        <v>35.33</v>
      </c>
      <c r="F345" s="402">
        <v>41.16</v>
      </c>
      <c r="G345" s="402">
        <v>47.67</v>
      </c>
      <c r="H345" s="402">
        <v>65.33</v>
      </c>
      <c r="I345" s="402">
        <v>67.680000000000007</v>
      </c>
      <c r="J345" s="402">
        <v>66.16</v>
      </c>
      <c r="K345" s="402">
        <v>73.91</v>
      </c>
    </row>
    <row r="346" spans="1:11" x14ac:dyDescent="0.2">
      <c r="A346" s="12" t="s">
        <v>364</v>
      </c>
      <c r="B346" s="403"/>
      <c r="C346" s="402">
        <v>8.91</v>
      </c>
      <c r="D346" s="403">
        <v>0</v>
      </c>
      <c r="E346" s="402">
        <v>0.53</v>
      </c>
      <c r="F346" s="403"/>
      <c r="G346" s="403"/>
      <c r="H346" s="403"/>
      <c r="I346" s="403"/>
      <c r="J346" s="403"/>
      <c r="K346" s="402">
        <v>5.01</v>
      </c>
    </row>
    <row r="347" spans="1:11" x14ac:dyDescent="0.2">
      <c r="A347" s="12" t="s">
        <v>365</v>
      </c>
      <c r="B347" s="403"/>
      <c r="C347" s="403"/>
      <c r="D347" s="403"/>
      <c r="E347" s="403"/>
      <c r="F347" s="403"/>
      <c r="G347" s="403"/>
      <c r="H347" s="403"/>
      <c r="I347" s="402">
        <v>5.7</v>
      </c>
      <c r="J347" s="403"/>
      <c r="K347" s="403"/>
    </row>
    <row r="348" spans="1:11" x14ac:dyDescent="0.2">
      <c r="A348" s="10" t="s">
        <v>366</v>
      </c>
      <c r="B348" s="11"/>
      <c r="C348" s="11"/>
      <c r="D348" s="11"/>
      <c r="E348" s="11"/>
      <c r="F348" s="11"/>
      <c r="G348" s="11"/>
      <c r="H348" s="11"/>
      <c r="I348" s="11"/>
      <c r="J348" s="11"/>
      <c r="K348" s="11"/>
    </row>
    <row r="349" spans="1:11" x14ac:dyDescent="0.2">
      <c r="A349" s="12" t="s">
        <v>367</v>
      </c>
      <c r="B349" s="20">
        <v>-268.06</v>
      </c>
      <c r="C349" s="16">
        <v>-80.069999999999993</v>
      </c>
      <c r="D349" s="20">
        <v>-149.30000000000001</v>
      </c>
      <c r="E349" s="16">
        <v>-75.84</v>
      </c>
      <c r="F349" s="20">
        <v>-172.86</v>
      </c>
      <c r="G349" s="20">
        <v>-305.35000000000002</v>
      </c>
      <c r="H349" s="400">
        <v>996.61</v>
      </c>
      <c r="I349" s="400">
        <v>938.77</v>
      </c>
      <c r="J349" s="400">
        <v>813.9</v>
      </c>
      <c r="K349" s="400">
        <v>635.21</v>
      </c>
    </row>
    <row r="350" spans="1:11" x14ac:dyDescent="0.2">
      <c r="A350" s="12" t="s">
        <v>368</v>
      </c>
      <c r="B350" s="402">
        <v>2.2999999999999998</v>
      </c>
      <c r="C350" s="402">
        <v>50.4</v>
      </c>
      <c r="D350" s="402">
        <v>24.01</v>
      </c>
      <c r="E350" s="402">
        <v>20.68</v>
      </c>
      <c r="F350" s="402">
        <v>29.28</v>
      </c>
      <c r="G350" s="402">
        <v>34.659999999999997</v>
      </c>
      <c r="H350" s="400">
        <v>1399.63</v>
      </c>
      <c r="I350" s="400">
        <v>1351.99</v>
      </c>
      <c r="J350" s="400">
        <v>1192.6500000000001</v>
      </c>
      <c r="K350" s="400">
        <v>1014.19</v>
      </c>
    </row>
    <row r="351" spans="1:11" x14ac:dyDescent="0.2">
      <c r="A351" s="12" t="s">
        <v>369</v>
      </c>
      <c r="B351" s="403"/>
      <c r="C351" s="403"/>
      <c r="D351" s="403"/>
      <c r="E351" s="403"/>
      <c r="F351" s="403"/>
      <c r="G351" s="403"/>
      <c r="H351" s="403"/>
      <c r="I351" s="402">
        <v>40</v>
      </c>
      <c r="J351" s="402">
        <v>45</v>
      </c>
      <c r="K351" s="403">
        <v>0</v>
      </c>
    </row>
    <row r="352" spans="1:11" x14ac:dyDescent="0.2">
      <c r="A352" s="12" t="s">
        <v>370</v>
      </c>
      <c r="B352" s="403"/>
      <c r="C352" s="403"/>
      <c r="D352" s="403"/>
      <c r="E352" s="403"/>
      <c r="F352" s="403"/>
      <c r="G352" s="403"/>
      <c r="H352" s="403"/>
      <c r="I352" s="400">
        <v>150</v>
      </c>
      <c r="J352" s="400">
        <v>150</v>
      </c>
      <c r="K352" s="400">
        <v>150</v>
      </c>
    </row>
    <row r="353" spans="1:11" x14ac:dyDescent="0.2">
      <c r="A353" s="10" t="s">
        <v>371</v>
      </c>
      <c r="B353" s="11"/>
      <c r="C353" s="11"/>
      <c r="D353" s="11"/>
      <c r="E353" s="11"/>
      <c r="F353" s="11"/>
      <c r="G353" s="11"/>
      <c r="H353" s="11"/>
      <c r="I353" s="11"/>
      <c r="J353" s="11"/>
      <c r="K353" s="11"/>
    </row>
    <row r="354" spans="1:11" x14ac:dyDescent="0.2">
      <c r="A354" s="12" t="s">
        <v>372</v>
      </c>
      <c r="B354" s="403"/>
      <c r="C354" s="403"/>
      <c r="D354" s="403"/>
      <c r="E354" s="402">
        <v>20.58</v>
      </c>
      <c r="F354" s="402">
        <v>0.01</v>
      </c>
      <c r="G354" s="403">
        <v>0</v>
      </c>
      <c r="H354" s="400">
        <v>1323.51</v>
      </c>
      <c r="I354" s="400">
        <v>1282.48</v>
      </c>
      <c r="J354" s="400">
        <v>1067.22</v>
      </c>
      <c r="K354" s="400">
        <v>978.35</v>
      </c>
    </row>
    <row r="355" spans="1:11" x14ac:dyDescent="0.2">
      <c r="A355" s="13" t="s">
        <v>373</v>
      </c>
      <c r="B355" s="403"/>
      <c r="C355" s="403"/>
      <c r="D355" s="403"/>
      <c r="E355" s="402">
        <v>20.58</v>
      </c>
      <c r="F355" s="402">
        <v>0.01</v>
      </c>
      <c r="G355" s="403">
        <v>0</v>
      </c>
      <c r="H355" s="402">
        <v>95.24</v>
      </c>
      <c r="I355" s="400">
        <v>111.52</v>
      </c>
      <c r="J355" s="402">
        <v>46.3</v>
      </c>
      <c r="K355" s="402">
        <v>36.22</v>
      </c>
    </row>
    <row r="356" spans="1:11" x14ac:dyDescent="0.2">
      <c r="A356" s="13" t="s">
        <v>374</v>
      </c>
      <c r="B356" s="403"/>
      <c r="C356" s="403"/>
      <c r="D356" s="403"/>
      <c r="E356" s="403">
        <v>0</v>
      </c>
      <c r="F356" s="403"/>
      <c r="G356" s="403"/>
      <c r="H356" s="400">
        <v>788.75</v>
      </c>
      <c r="I356" s="400">
        <v>722.4</v>
      </c>
      <c r="J356" s="400">
        <v>1020.92</v>
      </c>
      <c r="K356" s="400">
        <v>942.13</v>
      </c>
    </row>
    <row r="357" spans="1:11" x14ac:dyDescent="0.2">
      <c r="A357" s="13" t="s">
        <v>375</v>
      </c>
      <c r="B357" s="403"/>
      <c r="C357" s="403"/>
      <c r="D357" s="403"/>
      <c r="E357" s="403">
        <v>0</v>
      </c>
      <c r="F357" s="403"/>
      <c r="G357" s="403"/>
      <c r="H357" s="400">
        <v>439.52</v>
      </c>
      <c r="I357" s="400">
        <v>448.57</v>
      </c>
      <c r="J357" s="403"/>
      <c r="K357" s="403"/>
    </row>
    <row r="358" spans="1:11" x14ac:dyDescent="0.2">
      <c r="A358" s="12" t="s">
        <v>376</v>
      </c>
      <c r="B358" s="403"/>
      <c r="C358" s="403"/>
      <c r="D358" s="403"/>
      <c r="E358" s="403">
        <v>0</v>
      </c>
      <c r="F358" s="403"/>
      <c r="G358" s="403"/>
      <c r="H358" s="400">
        <v>788.75</v>
      </c>
      <c r="I358" s="400">
        <v>722.4</v>
      </c>
      <c r="J358" s="400">
        <v>1020.92</v>
      </c>
      <c r="K358" s="400">
        <v>942.13</v>
      </c>
    </row>
    <row r="359" spans="1:11" x14ac:dyDescent="0.2">
      <c r="A359" s="12" t="s">
        <v>377</v>
      </c>
      <c r="B359" s="403"/>
      <c r="C359" s="403"/>
      <c r="D359" s="403"/>
      <c r="E359" s="403">
        <v>0</v>
      </c>
      <c r="F359" s="403"/>
      <c r="G359" s="403"/>
      <c r="H359" s="400">
        <v>439.52</v>
      </c>
      <c r="I359" s="400">
        <v>448.56</v>
      </c>
      <c r="J359" s="403"/>
      <c r="K359" s="403"/>
    </row>
    <row r="360" spans="1:11" x14ac:dyDescent="0.2">
      <c r="A360" s="10" t="s">
        <v>378</v>
      </c>
      <c r="B360" s="11"/>
      <c r="C360" s="11"/>
      <c r="D360" s="11"/>
      <c r="E360" s="11"/>
      <c r="F360" s="11"/>
      <c r="G360" s="11"/>
      <c r="H360" s="11"/>
      <c r="I360" s="11"/>
      <c r="J360" s="11"/>
      <c r="K360" s="11"/>
    </row>
    <row r="361" spans="1:11" x14ac:dyDescent="0.2">
      <c r="A361" s="12" t="s">
        <v>379</v>
      </c>
      <c r="B361" s="403"/>
      <c r="C361" s="403"/>
      <c r="D361" s="403"/>
      <c r="E361" s="402">
        <v>0.1</v>
      </c>
      <c r="F361" s="402">
        <v>29.27</v>
      </c>
      <c r="G361" s="402">
        <v>34.659999999999997</v>
      </c>
      <c r="H361" s="402">
        <v>76.12</v>
      </c>
      <c r="I361" s="402">
        <v>69.5</v>
      </c>
      <c r="J361" s="402">
        <v>71</v>
      </c>
      <c r="K361" s="402">
        <v>76.72</v>
      </c>
    </row>
    <row r="362" spans="1:11" x14ac:dyDescent="0.2">
      <c r="A362" s="13" t="s">
        <v>380</v>
      </c>
      <c r="B362" s="403"/>
      <c r="C362" s="403"/>
      <c r="D362" s="403"/>
      <c r="E362" s="402">
        <v>0.02</v>
      </c>
      <c r="F362" s="402">
        <v>4.8</v>
      </c>
      <c r="G362" s="402">
        <v>4.21</v>
      </c>
      <c r="H362" s="402">
        <v>9.64</v>
      </c>
      <c r="I362" s="402">
        <v>8.5</v>
      </c>
      <c r="J362" s="402">
        <v>8.91</v>
      </c>
      <c r="K362" s="402">
        <v>9.51</v>
      </c>
    </row>
    <row r="363" spans="1:11" x14ac:dyDescent="0.2">
      <c r="A363" s="13" t="s">
        <v>381</v>
      </c>
      <c r="B363" s="403"/>
      <c r="C363" s="403"/>
      <c r="D363" s="403"/>
      <c r="E363" s="402">
        <v>0.08</v>
      </c>
      <c r="F363" s="402">
        <v>24.47</v>
      </c>
      <c r="G363" s="402">
        <v>1.56</v>
      </c>
      <c r="H363" s="402">
        <v>31.74</v>
      </c>
      <c r="I363" s="402">
        <v>30.27</v>
      </c>
      <c r="J363" s="402">
        <v>30.8</v>
      </c>
      <c r="K363" s="402">
        <v>39.04</v>
      </c>
    </row>
    <row r="364" spans="1:11" x14ac:dyDescent="0.2">
      <c r="A364" s="13" t="s">
        <v>382</v>
      </c>
      <c r="B364" s="403"/>
      <c r="C364" s="403"/>
      <c r="D364" s="403"/>
      <c r="E364" s="403"/>
      <c r="F364" s="403"/>
      <c r="G364" s="402">
        <v>28.89</v>
      </c>
      <c r="H364" s="402">
        <v>34.74</v>
      </c>
      <c r="I364" s="402">
        <v>30.74</v>
      </c>
      <c r="J364" s="402">
        <v>31.29</v>
      </c>
      <c r="K364" s="402">
        <v>28.18</v>
      </c>
    </row>
    <row r="365" spans="1:11" x14ac:dyDescent="0.2">
      <c r="A365" s="12" t="s">
        <v>383</v>
      </c>
      <c r="B365" s="403"/>
      <c r="C365" s="403"/>
      <c r="D365" s="403"/>
      <c r="E365" s="402">
        <v>0.08</v>
      </c>
      <c r="F365" s="402">
        <v>24.47</v>
      </c>
      <c r="G365" s="402">
        <v>1.56</v>
      </c>
      <c r="H365" s="402">
        <v>31.74</v>
      </c>
      <c r="I365" s="402">
        <v>30.27</v>
      </c>
      <c r="J365" s="402">
        <v>30.8</v>
      </c>
      <c r="K365" s="402">
        <v>39.04</v>
      </c>
    </row>
    <row r="366" spans="1:11" x14ac:dyDescent="0.2">
      <c r="A366" s="12" t="s">
        <v>384</v>
      </c>
      <c r="B366" s="403"/>
      <c r="C366" s="403"/>
      <c r="D366" s="403"/>
      <c r="E366" s="403"/>
      <c r="F366" s="403"/>
      <c r="G366" s="402">
        <v>28.89</v>
      </c>
      <c r="H366" s="402">
        <v>34.74</v>
      </c>
      <c r="I366" s="402">
        <v>30.74</v>
      </c>
      <c r="J366" s="402">
        <v>31.29</v>
      </c>
      <c r="K366" s="402">
        <v>28.18</v>
      </c>
    </row>
    <row r="367" spans="1:11" x14ac:dyDescent="0.2">
      <c r="A367" s="10" t="s">
        <v>191</v>
      </c>
      <c r="B367" s="11"/>
      <c r="C367" s="11"/>
      <c r="D367" s="11"/>
      <c r="E367" s="11"/>
      <c r="F367" s="11"/>
      <c r="G367" s="11"/>
      <c r="H367" s="11"/>
      <c r="I367" s="11"/>
      <c r="J367" s="11"/>
      <c r="K367" s="11"/>
    </row>
    <row r="368" spans="1:11" x14ac:dyDescent="0.2">
      <c r="A368" s="12" t="s">
        <v>385</v>
      </c>
      <c r="B368" s="403"/>
      <c r="C368" s="403"/>
      <c r="D368" s="403"/>
      <c r="E368" s="402">
        <v>1.66</v>
      </c>
      <c r="F368" s="403"/>
      <c r="G368" s="403"/>
      <c r="H368" s="403"/>
      <c r="I368" s="403"/>
      <c r="J368" s="403"/>
      <c r="K368" s="403"/>
    </row>
    <row r="369" spans="1:11" x14ac:dyDescent="0.2">
      <c r="A369" s="12" t="s">
        <v>386</v>
      </c>
      <c r="B369" s="402">
        <v>0.34</v>
      </c>
      <c r="C369" s="402">
        <v>0.56999999999999995</v>
      </c>
      <c r="D369" s="402">
        <v>0.54</v>
      </c>
      <c r="E369" s="403">
        <v>0</v>
      </c>
      <c r="F369" s="403">
        <v>0</v>
      </c>
      <c r="G369" s="402">
        <v>1.64</v>
      </c>
      <c r="H369" s="402">
        <v>1.56</v>
      </c>
      <c r="I369" s="402">
        <v>0.76</v>
      </c>
      <c r="J369" s="16">
        <v>-0.64</v>
      </c>
      <c r="K369" s="16">
        <v>-1.9</v>
      </c>
    </row>
    <row r="370" spans="1:11" x14ac:dyDescent="0.2">
      <c r="A370" s="12" t="s">
        <v>387</v>
      </c>
      <c r="B370" s="400">
        <v>199.71</v>
      </c>
      <c r="C370" s="400">
        <v>133.03</v>
      </c>
      <c r="D370" s="400">
        <v>180.78</v>
      </c>
      <c r="E370" s="400">
        <v>203.31</v>
      </c>
      <c r="F370" s="400">
        <v>250.73</v>
      </c>
      <c r="G370" s="400">
        <v>213.82</v>
      </c>
      <c r="H370" s="400">
        <v>257.04000000000002</v>
      </c>
      <c r="I370" s="400">
        <v>445.85</v>
      </c>
      <c r="J370" s="400">
        <v>382.26</v>
      </c>
      <c r="K370" s="400">
        <v>347.61</v>
      </c>
    </row>
    <row r="371" spans="1:11" x14ac:dyDescent="0.2">
      <c r="A371" s="12" t="s">
        <v>388</v>
      </c>
      <c r="B371" s="400">
        <v>427.23</v>
      </c>
      <c r="C371" s="400">
        <v>574.95000000000005</v>
      </c>
      <c r="D371" s="400">
        <v>635.64</v>
      </c>
      <c r="E371" s="400">
        <v>670.22</v>
      </c>
      <c r="F371" s="400">
        <v>741.32</v>
      </c>
      <c r="G371" s="400">
        <v>751.79</v>
      </c>
      <c r="H371" s="400">
        <v>2038.5</v>
      </c>
      <c r="I371" s="400">
        <v>2339.9499999999998</v>
      </c>
      <c r="J371" s="400">
        <v>2131.7600000000002</v>
      </c>
      <c r="K371" s="400">
        <v>2113.79</v>
      </c>
    </row>
    <row r="372" spans="1:11" x14ac:dyDescent="0.2">
      <c r="A372" s="12" t="s">
        <v>389</v>
      </c>
      <c r="B372" s="400">
        <v>212.18</v>
      </c>
      <c r="C372" s="400">
        <v>130.47</v>
      </c>
      <c r="D372" s="400">
        <v>159.34</v>
      </c>
      <c r="E372" s="402">
        <v>73.099999999999994</v>
      </c>
      <c r="F372" s="400">
        <v>157.55000000000001</v>
      </c>
      <c r="G372" s="400">
        <v>339.88</v>
      </c>
      <c r="H372" s="400">
        <v>403.02</v>
      </c>
      <c r="I372" s="400">
        <v>241.78</v>
      </c>
      <c r="J372" s="400">
        <v>280.31</v>
      </c>
      <c r="K372" s="400">
        <v>344.27</v>
      </c>
    </row>
    <row r="373" spans="1:11" x14ac:dyDescent="0.2">
      <c r="A373" s="12" t="s">
        <v>390</v>
      </c>
      <c r="B373" s="400">
        <v>270.36</v>
      </c>
      <c r="C373" s="400">
        <v>130.47</v>
      </c>
      <c r="D373" s="400">
        <v>173.31</v>
      </c>
      <c r="E373" s="402">
        <v>96.53</v>
      </c>
      <c r="F373" s="400">
        <v>202.14</v>
      </c>
      <c r="G373" s="400">
        <v>340.01</v>
      </c>
      <c r="H373" s="400">
        <v>403.02</v>
      </c>
      <c r="I373" s="400">
        <v>413.22</v>
      </c>
      <c r="J373" s="400">
        <v>378.75</v>
      </c>
      <c r="K373" s="400">
        <v>378.98</v>
      </c>
    </row>
    <row r="374" spans="1:11" x14ac:dyDescent="0.2">
      <c r="A374" s="12" t="s">
        <v>391</v>
      </c>
      <c r="B374" s="402">
        <v>2.64</v>
      </c>
      <c r="C374" s="402">
        <v>50.97</v>
      </c>
      <c r="D374" s="402">
        <v>24.55</v>
      </c>
      <c r="E374" s="402">
        <v>20.68</v>
      </c>
      <c r="F374" s="402">
        <v>29.28</v>
      </c>
      <c r="G374" s="402">
        <v>36.299999999999997</v>
      </c>
      <c r="H374" s="400">
        <v>1401.19</v>
      </c>
      <c r="I374" s="400">
        <v>1352.75</v>
      </c>
      <c r="J374" s="400">
        <v>1192.01</v>
      </c>
      <c r="K374" s="400">
        <v>1012.29</v>
      </c>
    </row>
    <row r="375" spans="1:11" x14ac:dyDescent="0.2">
      <c r="A375" s="12" t="s">
        <v>392</v>
      </c>
      <c r="B375" s="402">
        <v>0.22</v>
      </c>
      <c r="C375" s="402">
        <v>0.03</v>
      </c>
      <c r="D375" s="402">
        <v>0.03</v>
      </c>
      <c r="E375" s="402">
        <v>0.03</v>
      </c>
      <c r="F375" s="402">
        <v>0.03</v>
      </c>
      <c r="G375" s="402">
        <v>0.03</v>
      </c>
      <c r="H375" s="402">
        <v>10.74</v>
      </c>
      <c r="I375" s="402">
        <v>32.18</v>
      </c>
      <c r="J375" s="402">
        <v>0.03</v>
      </c>
      <c r="K375" s="402">
        <v>0.03</v>
      </c>
    </row>
    <row r="376" spans="1:11" x14ac:dyDescent="0.2">
      <c r="A376" s="12" t="s">
        <v>393</v>
      </c>
      <c r="B376" s="400">
        <v>319.10000000000002</v>
      </c>
      <c r="C376" s="400">
        <v>583.32000000000005</v>
      </c>
      <c r="D376" s="400">
        <v>592.65</v>
      </c>
      <c r="E376" s="400">
        <v>628.89</v>
      </c>
      <c r="F376" s="400">
        <v>675.76</v>
      </c>
      <c r="G376" s="400">
        <v>650.97</v>
      </c>
      <c r="H376" s="400">
        <v>2364.5500000000002</v>
      </c>
      <c r="I376" s="400">
        <v>2458.52</v>
      </c>
      <c r="J376" s="400">
        <v>2351.87</v>
      </c>
      <c r="K376" s="400">
        <v>2434.23</v>
      </c>
    </row>
    <row r="377" spans="1:11" x14ac:dyDescent="0.2">
      <c r="A377" s="12" t="s">
        <v>394</v>
      </c>
      <c r="B377" s="400">
        <v>319.10000000000002</v>
      </c>
      <c r="C377" s="400">
        <v>583.32000000000005</v>
      </c>
      <c r="D377" s="400">
        <v>592.65</v>
      </c>
      <c r="E377" s="400">
        <v>628.89</v>
      </c>
      <c r="F377" s="400">
        <v>675.76</v>
      </c>
      <c r="G377" s="400">
        <v>650.97</v>
      </c>
      <c r="H377" s="400">
        <v>2364.5500000000002</v>
      </c>
      <c r="I377" s="400">
        <v>2458.52</v>
      </c>
      <c r="J377" s="400">
        <v>2351.87</v>
      </c>
      <c r="K377" s="400">
        <v>2434.23</v>
      </c>
    </row>
    <row r="378" spans="1:11" x14ac:dyDescent="0.2">
      <c r="A378" s="12" t="s">
        <v>395</v>
      </c>
      <c r="B378" s="402">
        <v>33.380000000000003</v>
      </c>
      <c r="C378" s="402">
        <v>34.6</v>
      </c>
      <c r="D378" s="402">
        <v>34.43</v>
      </c>
      <c r="E378" s="402">
        <v>37.71</v>
      </c>
      <c r="F378" s="402">
        <v>43.4</v>
      </c>
      <c r="G378" s="402">
        <v>51.31</v>
      </c>
      <c r="H378" s="400">
        <v>226.25</v>
      </c>
      <c r="I378" s="400">
        <v>292.06</v>
      </c>
      <c r="J378" s="400">
        <v>259.61</v>
      </c>
      <c r="K378" s="400">
        <v>254.24</v>
      </c>
    </row>
    <row r="379" spans="1:11" x14ac:dyDescent="0.2">
      <c r="A379" s="12" t="s">
        <v>396</v>
      </c>
      <c r="B379" s="400">
        <v>586.80999999999995</v>
      </c>
      <c r="C379" s="400">
        <v>662.82</v>
      </c>
      <c r="D379" s="400">
        <v>741.42</v>
      </c>
      <c r="E379" s="400">
        <v>704.73</v>
      </c>
      <c r="F379" s="400">
        <v>848.62</v>
      </c>
      <c r="G379" s="400">
        <v>954.68</v>
      </c>
      <c r="H379" s="400">
        <v>1366.38</v>
      </c>
      <c r="I379" s="400">
        <v>1518.99</v>
      </c>
      <c r="J379" s="400">
        <v>1538.61</v>
      </c>
      <c r="K379" s="400">
        <v>1800.92</v>
      </c>
    </row>
    <row r="380" spans="1:11" x14ac:dyDescent="0.2">
      <c r="A380" s="12" t="s">
        <v>397</v>
      </c>
      <c r="B380" s="400">
        <v>469.25</v>
      </c>
      <c r="C380" s="400">
        <v>306.3</v>
      </c>
      <c r="D380" s="400">
        <v>397.61</v>
      </c>
      <c r="E380" s="400">
        <v>331.65</v>
      </c>
      <c r="F380" s="400">
        <v>478.34</v>
      </c>
      <c r="G380" s="400">
        <v>599.58000000000004</v>
      </c>
      <c r="H380" s="20">
        <v>-575.42999999999995</v>
      </c>
      <c r="I380" s="20">
        <v>-475.31</v>
      </c>
      <c r="J380" s="20">
        <v>-387</v>
      </c>
      <c r="K380" s="20">
        <v>-229.46</v>
      </c>
    </row>
    <row r="381" spans="1:11" x14ac:dyDescent="0.2">
      <c r="A381" s="12" t="s">
        <v>398</v>
      </c>
      <c r="B381" s="400">
        <v>468.91</v>
      </c>
      <c r="C381" s="400">
        <v>305.73</v>
      </c>
      <c r="D381" s="400">
        <v>397.07</v>
      </c>
      <c r="E381" s="400">
        <v>331.65</v>
      </c>
      <c r="F381" s="400">
        <v>478.34</v>
      </c>
      <c r="G381" s="400">
        <v>597.94000000000005</v>
      </c>
      <c r="H381" s="20">
        <v>-576.99</v>
      </c>
      <c r="I381" s="20">
        <v>-476.07</v>
      </c>
      <c r="J381" s="20">
        <v>-386.36</v>
      </c>
      <c r="K381" s="20">
        <v>-227.57</v>
      </c>
    </row>
    <row r="382" spans="1:11" x14ac:dyDescent="0.2">
      <c r="A382" s="12" t="s">
        <v>399</v>
      </c>
      <c r="B382" s="400">
        <v>589.11</v>
      </c>
      <c r="C382" s="400">
        <v>713.22</v>
      </c>
      <c r="D382" s="400">
        <v>765.43</v>
      </c>
      <c r="E382" s="400">
        <v>725.42</v>
      </c>
      <c r="F382" s="400">
        <v>877.9</v>
      </c>
      <c r="G382" s="400">
        <v>989.34</v>
      </c>
      <c r="H382" s="400">
        <v>2766.01</v>
      </c>
      <c r="I382" s="400">
        <v>2870.97</v>
      </c>
      <c r="J382" s="400">
        <v>2731.27</v>
      </c>
      <c r="K382" s="400">
        <v>2815.11</v>
      </c>
    </row>
    <row r="383" spans="1:11" x14ac:dyDescent="0.2">
      <c r="A383" s="12" t="s">
        <v>400</v>
      </c>
      <c r="B383" s="400">
        <v>589.46</v>
      </c>
      <c r="C383" s="400">
        <v>713.79</v>
      </c>
      <c r="D383" s="400">
        <v>765.97</v>
      </c>
      <c r="E383" s="400">
        <v>725.42</v>
      </c>
      <c r="F383" s="400">
        <v>877.9</v>
      </c>
      <c r="G383" s="400">
        <v>990.98</v>
      </c>
      <c r="H383" s="400">
        <v>2767.57</v>
      </c>
      <c r="I383" s="400">
        <v>2871.74</v>
      </c>
      <c r="J383" s="400">
        <v>2730.62</v>
      </c>
      <c r="K383" s="400">
        <v>2813.21</v>
      </c>
    </row>
    <row r="384" spans="1:11" x14ac:dyDescent="0.2">
      <c r="A384" s="12" t="s">
        <v>401</v>
      </c>
      <c r="B384" s="400">
        <v>625.47</v>
      </c>
      <c r="C384" s="400">
        <v>736.74</v>
      </c>
      <c r="D384" s="400">
        <v>804.6</v>
      </c>
      <c r="E384" s="400">
        <v>767.49</v>
      </c>
      <c r="F384" s="400">
        <v>941.07</v>
      </c>
      <c r="G384" s="400">
        <v>1086.23</v>
      </c>
      <c r="H384" s="400">
        <v>2932.92</v>
      </c>
      <c r="I384" s="400">
        <v>3066.77</v>
      </c>
      <c r="J384" s="400">
        <v>2891.32</v>
      </c>
      <c r="K384" s="400">
        <v>3029.62</v>
      </c>
    </row>
    <row r="385" spans="1:11" x14ac:dyDescent="0.2">
      <c r="A385" s="12" t="s">
        <v>402</v>
      </c>
      <c r="B385" s="400">
        <v>145.07</v>
      </c>
      <c r="C385" s="400">
        <v>310.02999999999997</v>
      </c>
      <c r="D385" s="400">
        <v>313.74</v>
      </c>
      <c r="E385" s="400">
        <v>328.46</v>
      </c>
      <c r="F385" s="400">
        <v>368.11</v>
      </c>
      <c r="G385" s="400">
        <v>377.76</v>
      </c>
      <c r="H385" s="400">
        <v>1483.23</v>
      </c>
      <c r="I385" s="400">
        <v>1552.79</v>
      </c>
      <c r="J385" s="400">
        <v>1429.38</v>
      </c>
      <c r="K385" s="400">
        <v>1490.88</v>
      </c>
    </row>
    <row r="386" spans="1:11" x14ac:dyDescent="0.2">
      <c r="A386" s="12" t="s">
        <v>403</v>
      </c>
      <c r="B386" s="403"/>
      <c r="C386" s="403"/>
      <c r="D386" s="403"/>
      <c r="E386" s="402">
        <v>1.66</v>
      </c>
      <c r="F386" s="403"/>
      <c r="G386" s="403"/>
      <c r="H386" s="403"/>
      <c r="I386" s="403"/>
      <c r="J386" s="403"/>
      <c r="K386" s="403"/>
    </row>
    <row r="387" spans="1:11" x14ac:dyDescent="0.2">
      <c r="A387" s="12" t="s">
        <v>404</v>
      </c>
      <c r="B387" s="400">
        <v>411.89</v>
      </c>
      <c r="C387" s="400">
        <v>263.5</v>
      </c>
      <c r="D387" s="400">
        <v>340.12</v>
      </c>
      <c r="E387" s="400">
        <v>276.41000000000003</v>
      </c>
      <c r="F387" s="400">
        <v>408.28</v>
      </c>
      <c r="G387" s="400">
        <v>553.70000000000005</v>
      </c>
      <c r="H387" s="400">
        <v>660.06</v>
      </c>
      <c r="I387" s="400">
        <v>687.63</v>
      </c>
      <c r="J387" s="400">
        <v>662.58</v>
      </c>
      <c r="K387" s="400">
        <v>691.88</v>
      </c>
    </row>
    <row r="388" spans="1:11" x14ac:dyDescent="0.2">
      <c r="A388" s="12" t="s">
        <v>405</v>
      </c>
      <c r="B388" s="400">
        <v>141.54</v>
      </c>
      <c r="C388" s="400">
        <v>133.03</v>
      </c>
      <c r="D388" s="400">
        <v>166.81</v>
      </c>
      <c r="E388" s="400">
        <v>179.88</v>
      </c>
      <c r="F388" s="400">
        <v>206.14</v>
      </c>
      <c r="G388" s="400">
        <v>213.7</v>
      </c>
      <c r="H388" s="400">
        <v>257.04000000000002</v>
      </c>
      <c r="I388" s="400">
        <v>274.41000000000003</v>
      </c>
      <c r="J388" s="400">
        <v>283.83</v>
      </c>
      <c r="K388" s="400">
        <v>312.89999999999998</v>
      </c>
    </row>
    <row r="389" spans="1:11" x14ac:dyDescent="0.2">
      <c r="A389" s="12" t="s">
        <v>406</v>
      </c>
      <c r="B389" s="400">
        <v>435.08</v>
      </c>
      <c r="C389" s="400">
        <v>292.02999999999997</v>
      </c>
      <c r="D389" s="400">
        <v>356.73</v>
      </c>
      <c r="E389" s="400">
        <v>268.62</v>
      </c>
      <c r="F389" s="400">
        <v>393.27</v>
      </c>
      <c r="G389" s="400">
        <v>550.73</v>
      </c>
      <c r="H389" s="400">
        <v>666.08</v>
      </c>
      <c r="I389" s="400">
        <v>666.34</v>
      </c>
      <c r="J389" s="400">
        <v>661.68</v>
      </c>
      <c r="K389" s="400">
        <v>702.52</v>
      </c>
    </row>
    <row r="390" spans="1:11" x14ac:dyDescent="0.2">
      <c r="A390" s="12" t="s">
        <v>407</v>
      </c>
      <c r="B390" s="400">
        <v>561.36</v>
      </c>
      <c r="C390" s="400">
        <v>624.79</v>
      </c>
      <c r="D390" s="400">
        <v>719.23</v>
      </c>
      <c r="E390" s="400">
        <v>616.95000000000005</v>
      </c>
      <c r="F390" s="400">
        <v>766.77</v>
      </c>
      <c r="G390" s="400">
        <v>845.13</v>
      </c>
      <c r="H390" s="400">
        <v>1246.3599999999999</v>
      </c>
      <c r="I390" s="400">
        <v>1237.71</v>
      </c>
      <c r="J390" s="400">
        <v>1241.81</v>
      </c>
      <c r="K390" s="400">
        <v>1549.14</v>
      </c>
    </row>
    <row r="391" spans="1:11" x14ac:dyDescent="0.2">
      <c r="A391" s="10" t="s">
        <v>196</v>
      </c>
      <c r="B391" s="11"/>
      <c r="C391" s="11"/>
      <c r="D391" s="11"/>
      <c r="E391" s="11"/>
      <c r="F391" s="11"/>
      <c r="G391" s="11"/>
      <c r="H391" s="11"/>
      <c r="I391" s="11"/>
      <c r="J391" s="11"/>
      <c r="K391" s="11"/>
    </row>
    <row r="392" spans="1:11" x14ac:dyDescent="0.2">
      <c r="A392" s="12" t="s">
        <v>408</v>
      </c>
      <c r="B392" s="400">
        <v>1655</v>
      </c>
      <c r="C392" s="400">
        <v>1841</v>
      </c>
      <c r="D392" s="400">
        <v>1881</v>
      </c>
      <c r="E392" s="400">
        <v>1971</v>
      </c>
      <c r="F392" s="400">
        <v>1939</v>
      </c>
      <c r="G392" s="400">
        <v>2066</v>
      </c>
      <c r="H392" s="400">
        <v>3358</v>
      </c>
      <c r="I392" s="400">
        <v>3386</v>
      </c>
      <c r="J392" s="400">
        <v>3233</v>
      </c>
      <c r="K392" s="400">
        <v>3271</v>
      </c>
    </row>
    <row r="393" spans="1:11" x14ac:dyDescent="0.2">
      <c r="A393" s="12" t="s">
        <v>409</v>
      </c>
      <c r="B393" s="400">
        <v>1655</v>
      </c>
      <c r="C393" s="400">
        <v>1841</v>
      </c>
      <c r="D393" s="400">
        <v>1881</v>
      </c>
      <c r="E393" s="400">
        <v>1971</v>
      </c>
      <c r="F393" s="400">
        <v>1939</v>
      </c>
      <c r="G393" s="400">
        <v>2066</v>
      </c>
      <c r="H393" s="400">
        <v>3358</v>
      </c>
      <c r="I393" s="400">
        <v>3386</v>
      </c>
      <c r="J393" s="400">
        <v>3233</v>
      </c>
      <c r="K393" s="400">
        <v>3271</v>
      </c>
    </row>
  </sheetData>
  <mergeCells count="50">
    <mergeCell ref="K11"/>
    <mergeCell ref="J11"/>
    <mergeCell ref="I11"/>
    <mergeCell ref="H11"/>
    <mergeCell ref="G11"/>
    <mergeCell ref="F11"/>
    <mergeCell ref="E11"/>
    <mergeCell ref="D11"/>
    <mergeCell ref="C11"/>
    <mergeCell ref="B11"/>
    <mergeCell ref="K12"/>
    <mergeCell ref="K13"/>
    <mergeCell ref="K14"/>
    <mergeCell ref="K15"/>
    <mergeCell ref="J12"/>
    <mergeCell ref="J13"/>
    <mergeCell ref="J14"/>
    <mergeCell ref="J15"/>
    <mergeCell ref="I12"/>
    <mergeCell ref="I13"/>
    <mergeCell ref="I14"/>
    <mergeCell ref="I15"/>
    <mergeCell ref="H12"/>
    <mergeCell ref="H13"/>
    <mergeCell ref="H14"/>
    <mergeCell ref="H15"/>
    <mergeCell ref="G12"/>
    <mergeCell ref="G13"/>
    <mergeCell ref="G14"/>
    <mergeCell ref="G15"/>
    <mergeCell ref="F12"/>
    <mergeCell ref="F13"/>
    <mergeCell ref="F14"/>
    <mergeCell ref="F15"/>
    <mergeCell ref="E12"/>
    <mergeCell ref="E13"/>
    <mergeCell ref="E14"/>
    <mergeCell ref="E15"/>
    <mergeCell ref="D12"/>
    <mergeCell ref="D13"/>
    <mergeCell ref="D14"/>
    <mergeCell ref="D15"/>
    <mergeCell ref="C12"/>
    <mergeCell ref="C13"/>
    <mergeCell ref="C14"/>
    <mergeCell ref="C15"/>
    <mergeCell ref="B12"/>
    <mergeCell ref="B13"/>
    <mergeCell ref="B14"/>
    <mergeCell ref="B15"/>
  </mergeCells>
  <pageMargins left="0.5" right="0.5" top="1" bottom="1" header="0.5" footer="0.75"/>
  <pageSetup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EE804-25C1-FD45-991C-9DF1D1B2FFD7}">
  <sheetPr>
    <outlinePr summaryBelow="0"/>
  </sheetPr>
  <dimension ref="A2:O59"/>
  <sheetViews>
    <sheetView topLeftCell="A12" workbookViewId="0">
      <selection activeCell="D39" sqref="D39"/>
    </sheetView>
  </sheetViews>
  <sheetFormatPr baseColWidth="10" defaultColWidth="8.6640625" defaultRowHeight="15" x14ac:dyDescent="0.2"/>
  <cols>
    <col min="1" max="1" width="42.6640625" style="70" bestFit="1" customWidth="1"/>
    <col min="2" max="9" width="19.33203125" style="70" bestFit="1" customWidth="1"/>
    <col min="10" max="10" width="1.33203125" style="70" bestFit="1" customWidth="1"/>
    <col min="11" max="15" width="19.33203125" style="70" bestFit="1" customWidth="1"/>
    <col min="16" max="16384" width="8.6640625" style="70"/>
  </cols>
  <sheetData>
    <row r="2" spans="1:15" x14ac:dyDescent="0.2">
      <c r="A2" s="84" t="s">
        <v>410</v>
      </c>
      <c r="B2" s="83" t="s">
        <v>410</v>
      </c>
      <c r="C2" s="82" t="s">
        <v>410</v>
      </c>
      <c r="D2" s="82" t="s">
        <v>410</v>
      </c>
      <c r="E2" s="82" t="s">
        <v>410</v>
      </c>
      <c r="F2" s="82" t="s">
        <v>410</v>
      </c>
      <c r="G2" s="82" t="s">
        <v>410</v>
      </c>
      <c r="H2" s="82" t="s">
        <v>410</v>
      </c>
      <c r="I2" s="81" t="s">
        <v>411</v>
      </c>
      <c r="J2" s="73" t="s">
        <v>410</v>
      </c>
      <c r="K2" s="410" t="s">
        <v>412</v>
      </c>
      <c r="L2" s="410"/>
      <c r="M2" s="410"/>
      <c r="N2" s="410"/>
      <c r="O2" s="410"/>
    </row>
    <row r="3" spans="1:15" x14ac:dyDescent="0.2">
      <c r="A3" s="80" t="s">
        <v>410</v>
      </c>
      <c r="B3" s="79" t="s">
        <v>413</v>
      </c>
      <c r="C3" s="79" t="s">
        <v>414</v>
      </c>
      <c r="D3" s="79" t="s">
        <v>415</v>
      </c>
      <c r="E3" s="79" t="s">
        <v>416</v>
      </c>
      <c r="F3" s="79" t="s">
        <v>417</v>
      </c>
      <c r="G3" s="79" t="s">
        <v>418</v>
      </c>
      <c r="H3" s="79" t="s">
        <v>419</v>
      </c>
      <c r="I3" s="79" t="s">
        <v>420</v>
      </c>
      <c r="J3" s="73" t="s">
        <v>410</v>
      </c>
      <c r="K3" s="78" t="s">
        <v>421</v>
      </c>
      <c r="L3" s="77" t="s">
        <v>422</v>
      </c>
      <c r="M3" s="77" t="s">
        <v>423</v>
      </c>
      <c r="N3" s="77" t="s">
        <v>424</v>
      </c>
      <c r="O3" s="77" t="s">
        <v>425</v>
      </c>
    </row>
    <row r="4" spans="1:15" x14ac:dyDescent="0.2">
      <c r="A4" s="74" t="s">
        <v>426</v>
      </c>
      <c r="B4" s="71">
        <v>637.5</v>
      </c>
      <c r="C4" s="71">
        <v>669.2</v>
      </c>
      <c r="D4" s="71">
        <v>706.3</v>
      </c>
      <c r="E4" s="71">
        <v>881.30499999999995</v>
      </c>
      <c r="F4" s="71">
        <v>1237.7</v>
      </c>
      <c r="G4" s="71">
        <v>1361.1</v>
      </c>
      <c r="H4" s="71">
        <v>1148</v>
      </c>
      <c r="I4" s="71">
        <v>1185</v>
      </c>
      <c r="J4" s="73" t="s">
        <v>410</v>
      </c>
      <c r="K4" s="72">
        <v>1203.78062</v>
      </c>
      <c r="L4" s="71">
        <v>1275.50362</v>
      </c>
      <c r="M4" s="71">
        <v>1375.6087500000001</v>
      </c>
      <c r="N4" s="71">
        <v>1463.3333299999999</v>
      </c>
      <c r="O4" s="71">
        <v>1563</v>
      </c>
    </row>
    <row r="5" spans="1:15" x14ac:dyDescent="0.2">
      <c r="A5" s="74" t="s">
        <v>427</v>
      </c>
      <c r="B5" s="71">
        <v>205.6</v>
      </c>
      <c r="C5" s="71">
        <v>213.4</v>
      </c>
      <c r="D5" s="71">
        <v>217.6</v>
      </c>
      <c r="E5" s="71">
        <v>278.39999999999998</v>
      </c>
      <c r="F5" s="71">
        <v>412.9</v>
      </c>
      <c r="G5" s="71">
        <v>460.5</v>
      </c>
      <c r="H5" s="71">
        <v>407</v>
      </c>
      <c r="I5" s="71">
        <v>403.726</v>
      </c>
      <c r="J5" s="73" t="s">
        <v>410</v>
      </c>
      <c r="K5" s="72">
        <v>424</v>
      </c>
      <c r="L5" s="71">
        <v>445.5</v>
      </c>
      <c r="M5" s="71">
        <v>475.5</v>
      </c>
      <c r="N5" s="71">
        <v>512</v>
      </c>
      <c r="O5" s="71">
        <v>546</v>
      </c>
    </row>
    <row r="6" spans="1:15" x14ac:dyDescent="0.2">
      <c r="A6" s="74" t="s">
        <v>428</v>
      </c>
      <c r="B6" s="71">
        <v>431.9</v>
      </c>
      <c r="C6" s="71">
        <v>455.8</v>
      </c>
      <c r="D6" s="71">
        <v>488.7</v>
      </c>
      <c r="E6" s="71">
        <v>602.90499999999997</v>
      </c>
      <c r="F6" s="71">
        <v>824.8</v>
      </c>
      <c r="G6" s="71">
        <v>900.6</v>
      </c>
      <c r="H6" s="71">
        <v>741</v>
      </c>
      <c r="I6" s="71">
        <v>781.70100000000002</v>
      </c>
      <c r="J6" s="73" t="s">
        <v>410</v>
      </c>
      <c r="K6" s="72">
        <v>782.33333000000005</v>
      </c>
      <c r="L6" s="71">
        <v>813</v>
      </c>
      <c r="M6" s="71">
        <v>866</v>
      </c>
      <c r="N6" s="71">
        <v>946</v>
      </c>
      <c r="O6" s="71">
        <v>1018</v>
      </c>
    </row>
    <row r="7" spans="1:15" x14ac:dyDescent="0.2">
      <c r="A7" s="74" t="s">
        <v>429</v>
      </c>
      <c r="B7" s="75">
        <v>0.67700000000000005</v>
      </c>
      <c r="C7" s="75">
        <v>0.68110000000000004</v>
      </c>
      <c r="D7" s="75">
        <v>0.69189999999999996</v>
      </c>
      <c r="E7" s="75">
        <v>0.68409999999999993</v>
      </c>
      <c r="F7" s="75">
        <v>0.66639999999999999</v>
      </c>
      <c r="G7" s="75">
        <v>0.66159999999999997</v>
      </c>
      <c r="H7" s="75">
        <v>0.64540000000000008</v>
      </c>
      <c r="I7" s="75">
        <v>0.65939999999999999</v>
      </c>
      <c r="J7" s="73" t="s">
        <v>410</v>
      </c>
      <c r="K7" s="76">
        <v>0.64945670000000011</v>
      </c>
      <c r="L7" s="75">
        <v>0.64780000000000004</v>
      </c>
      <c r="M7" s="75">
        <v>0.64739999999999998</v>
      </c>
      <c r="N7" s="75">
        <v>0.64599999999999991</v>
      </c>
      <c r="O7" s="75">
        <v>0.65</v>
      </c>
    </row>
    <row r="8" spans="1:15" x14ac:dyDescent="0.2">
      <c r="A8" s="411" t="s">
        <v>410</v>
      </c>
      <c r="B8" s="411"/>
      <c r="C8" s="411"/>
      <c r="D8" s="411"/>
      <c r="E8" s="411"/>
      <c r="F8" s="411"/>
      <c r="G8" s="411"/>
      <c r="H8" s="411"/>
      <c r="I8" s="411"/>
      <c r="J8" s="411"/>
      <c r="K8" s="411"/>
      <c r="L8" s="411"/>
      <c r="M8" s="411"/>
      <c r="N8" s="411"/>
      <c r="O8" s="411"/>
    </row>
    <row r="9" spans="1:15" x14ac:dyDescent="0.2">
      <c r="A9" s="74" t="s">
        <v>430</v>
      </c>
      <c r="B9" s="71">
        <v>43.6</v>
      </c>
      <c r="C9" s="71">
        <v>45.1</v>
      </c>
      <c r="D9" s="71">
        <v>41.752000000000002</v>
      </c>
      <c r="E9" s="71">
        <v>50.8</v>
      </c>
      <c r="F9" s="71">
        <v>70.099999999999994</v>
      </c>
      <c r="G9" s="71">
        <v>78.701999999999998</v>
      </c>
      <c r="H9" s="71">
        <v>69.09</v>
      </c>
      <c r="I9" s="71">
        <v>91.566999999999993</v>
      </c>
      <c r="J9" s="73" t="s">
        <v>410</v>
      </c>
      <c r="K9" s="72">
        <v>92</v>
      </c>
      <c r="L9" s="71">
        <v>95</v>
      </c>
      <c r="M9" s="71">
        <v>99</v>
      </c>
      <c r="N9" s="71">
        <v>106</v>
      </c>
      <c r="O9" s="71">
        <v>114</v>
      </c>
    </row>
    <row r="10" spans="1:15" x14ac:dyDescent="0.2">
      <c r="A10" s="74" t="s">
        <v>431</v>
      </c>
      <c r="B10" s="71">
        <v>123.2</v>
      </c>
      <c r="C10" s="71">
        <v>133.1</v>
      </c>
      <c r="D10" s="71">
        <v>142.80000000000001</v>
      </c>
      <c r="E10" s="71">
        <v>144.06399999999999</v>
      </c>
      <c r="F10" s="71">
        <v>211.3</v>
      </c>
      <c r="G10" s="71">
        <v>292.05</v>
      </c>
      <c r="H10" s="71">
        <v>286</v>
      </c>
      <c r="I10" s="71">
        <v>287.74799999999999</v>
      </c>
      <c r="J10" s="73" t="s">
        <v>410</v>
      </c>
      <c r="K10" s="72">
        <v>287</v>
      </c>
      <c r="L10" s="71">
        <v>296</v>
      </c>
      <c r="M10" s="71">
        <v>308</v>
      </c>
      <c r="N10" s="71">
        <v>330</v>
      </c>
      <c r="O10" s="71">
        <v>357</v>
      </c>
    </row>
    <row r="11" spans="1:15" x14ac:dyDescent="0.2">
      <c r="A11" s="74" t="s">
        <v>432</v>
      </c>
      <c r="B11" s="71">
        <v>64.7</v>
      </c>
      <c r="C11" s="71">
        <v>67.2</v>
      </c>
      <c r="D11" s="71">
        <v>69.599999999999994</v>
      </c>
      <c r="E11" s="71">
        <v>72.082999999999998</v>
      </c>
      <c r="F11" s="71">
        <v>93.299000000000007</v>
      </c>
      <c r="G11" s="71">
        <v>122.7</v>
      </c>
      <c r="H11" s="71">
        <v>129</v>
      </c>
      <c r="I11" s="71">
        <v>128.023</v>
      </c>
      <c r="J11" s="73" t="s">
        <v>410</v>
      </c>
      <c r="K11" s="72">
        <v>122</v>
      </c>
      <c r="L11" s="71">
        <v>123.5</v>
      </c>
      <c r="M11" s="71">
        <v>127</v>
      </c>
      <c r="N11" s="71">
        <v>132</v>
      </c>
      <c r="O11" s="71">
        <v>136</v>
      </c>
    </row>
    <row r="12" spans="1:15" x14ac:dyDescent="0.2">
      <c r="A12" s="74" t="s">
        <v>433</v>
      </c>
      <c r="B12" s="71">
        <v>187.9</v>
      </c>
      <c r="C12" s="71">
        <v>200.3</v>
      </c>
      <c r="D12" s="71">
        <v>205.328</v>
      </c>
      <c r="E12" s="71">
        <v>216.14699999999999</v>
      </c>
      <c r="F12" s="71">
        <v>304.60000000000002</v>
      </c>
      <c r="G12" s="71">
        <v>406.73700000000002</v>
      </c>
      <c r="H12" s="71" t="s">
        <v>434</v>
      </c>
      <c r="I12" s="71" t="s">
        <v>434</v>
      </c>
      <c r="J12" s="73" t="s">
        <v>410</v>
      </c>
      <c r="K12" s="72">
        <v>131</v>
      </c>
      <c r="L12" s="71">
        <v>133</v>
      </c>
      <c r="M12" s="71">
        <v>134</v>
      </c>
      <c r="N12" s="71" t="s">
        <v>434</v>
      </c>
      <c r="O12" s="71" t="s">
        <v>434</v>
      </c>
    </row>
    <row r="13" spans="1:15" x14ac:dyDescent="0.2">
      <c r="A13" s="411" t="s">
        <v>410</v>
      </c>
      <c r="B13" s="411"/>
      <c r="C13" s="411"/>
      <c r="D13" s="411"/>
      <c r="E13" s="411"/>
      <c r="F13" s="411"/>
      <c r="G13" s="411"/>
      <c r="H13" s="411"/>
      <c r="I13" s="411"/>
      <c r="J13" s="411"/>
      <c r="K13" s="411"/>
      <c r="L13" s="411"/>
      <c r="M13" s="411"/>
      <c r="N13" s="411"/>
      <c r="O13" s="411"/>
    </row>
    <row r="14" spans="1:15" x14ac:dyDescent="0.2">
      <c r="A14" s="74" t="s">
        <v>435</v>
      </c>
      <c r="B14" s="71">
        <v>237.922</v>
      </c>
      <c r="C14" s="71">
        <v>255.4</v>
      </c>
      <c r="D14" s="71">
        <v>276.8</v>
      </c>
      <c r="E14" s="71">
        <v>385.26</v>
      </c>
      <c r="F14" s="71">
        <v>543.1</v>
      </c>
      <c r="G14" s="71">
        <v>514.20000000000005</v>
      </c>
      <c r="H14" s="71">
        <v>375</v>
      </c>
      <c r="I14" s="71">
        <v>394</v>
      </c>
      <c r="J14" s="73" t="s">
        <v>410</v>
      </c>
      <c r="K14" s="72">
        <v>393.05853999999999</v>
      </c>
      <c r="L14" s="71">
        <v>426.75162</v>
      </c>
      <c r="M14" s="71">
        <v>469.09458000000001</v>
      </c>
      <c r="N14" s="71">
        <v>480</v>
      </c>
      <c r="O14" s="71">
        <v>546.5</v>
      </c>
    </row>
    <row r="15" spans="1:15" x14ac:dyDescent="0.2">
      <c r="A15" s="74" t="s">
        <v>436</v>
      </c>
      <c r="B15" s="75" t="s">
        <v>434</v>
      </c>
      <c r="C15" s="75" t="s">
        <v>434</v>
      </c>
      <c r="D15" s="75" t="s">
        <v>434</v>
      </c>
      <c r="E15" s="75" t="s">
        <v>434</v>
      </c>
      <c r="F15" s="75" t="s">
        <v>434</v>
      </c>
      <c r="G15" s="75" t="s">
        <v>434</v>
      </c>
      <c r="H15" s="75" t="s">
        <v>434</v>
      </c>
      <c r="I15" s="75">
        <v>0.33246999999999999</v>
      </c>
      <c r="J15" s="73" t="s">
        <v>410</v>
      </c>
      <c r="K15" s="76">
        <v>0.33400000000000002</v>
      </c>
      <c r="L15" s="75">
        <v>0.34</v>
      </c>
      <c r="M15" s="75">
        <v>0.34857140000000003</v>
      </c>
      <c r="N15" s="75">
        <v>0.35600000000000004</v>
      </c>
      <c r="O15" s="75">
        <v>0.35399999999999998</v>
      </c>
    </row>
    <row r="16" spans="1:15" x14ac:dyDescent="0.2">
      <c r="A16" s="74" t="s">
        <v>437</v>
      </c>
      <c r="B16" s="71" t="s">
        <v>434</v>
      </c>
      <c r="C16" s="71" t="s">
        <v>434</v>
      </c>
      <c r="D16" s="71" t="s">
        <v>434</v>
      </c>
      <c r="E16" s="71">
        <v>7.04</v>
      </c>
      <c r="F16" s="71">
        <v>9.43</v>
      </c>
      <c r="G16" s="71">
        <v>9.41</v>
      </c>
      <c r="H16" s="71">
        <v>7.04</v>
      </c>
      <c r="I16" s="71">
        <v>7.0490000000000004</v>
      </c>
      <c r="J16" s="73" t="s">
        <v>410</v>
      </c>
      <c r="K16" s="72">
        <v>6.6</v>
      </c>
      <c r="L16" s="71">
        <v>7.22</v>
      </c>
      <c r="M16" s="71">
        <v>7.8949999999999996</v>
      </c>
      <c r="N16" s="71">
        <v>8.6549999999999994</v>
      </c>
      <c r="O16" s="71">
        <v>10.28</v>
      </c>
    </row>
    <row r="17" spans="1:15" x14ac:dyDescent="0.2">
      <c r="A17" s="74" t="s">
        <v>438</v>
      </c>
      <c r="B17" s="71">
        <v>69.608999999999995</v>
      </c>
      <c r="C17" s="71">
        <v>50.826000000000001</v>
      </c>
      <c r="D17" s="71">
        <v>58.972000000000001</v>
      </c>
      <c r="E17" s="71">
        <v>61.033999999999999</v>
      </c>
      <c r="F17" s="71">
        <v>115.506</v>
      </c>
      <c r="G17" s="71">
        <v>137.54599999999999</v>
      </c>
      <c r="H17" s="71">
        <v>158.37100000000001</v>
      </c>
      <c r="I17" s="71">
        <v>148.79</v>
      </c>
      <c r="J17" s="73" t="s">
        <v>410</v>
      </c>
      <c r="K17" s="72">
        <v>133.35833</v>
      </c>
      <c r="L17" s="71">
        <v>137.34333000000001</v>
      </c>
      <c r="M17" s="71">
        <v>141.65167</v>
      </c>
      <c r="N17" s="71">
        <v>141.465</v>
      </c>
      <c r="O17" s="71">
        <v>140.5</v>
      </c>
    </row>
    <row r="18" spans="1:15" x14ac:dyDescent="0.2">
      <c r="A18" s="74" t="s">
        <v>439</v>
      </c>
      <c r="B18" s="71">
        <v>29.666</v>
      </c>
      <c r="C18" s="71">
        <v>28.97</v>
      </c>
      <c r="D18" s="71">
        <v>35.131999999999998</v>
      </c>
      <c r="E18" s="71">
        <v>33.558</v>
      </c>
      <c r="F18" s="71">
        <v>47.131</v>
      </c>
      <c r="G18" s="71">
        <v>60.404000000000003</v>
      </c>
      <c r="H18" s="71">
        <v>61.829000000000001</v>
      </c>
      <c r="I18" s="71">
        <v>53.871000000000002</v>
      </c>
      <c r="J18" s="73" t="s">
        <v>410</v>
      </c>
      <c r="K18" s="72">
        <v>78.702250000000006</v>
      </c>
      <c r="L18" s="71">
        <v>84.126999999999995</v>
      </c>
      <c r="M18" s="71">
        <v>91.305499999999995</v>
      </c>
      <c r="N18" s="71">
        <v>82.747500000000002</v>
      </c>
      <c r="O18" s="71">
        <v>77.013000000000005</v>
      </c>
    </row>
    <row r="19" spans="1:15" x14ac:dyDescent="0.2">
      <c r="A19" s="74" t="s">
        <v>440</v>
      </c>
      <c r="B19" s="71" t="s">
        <v>434</v>
      </c>
      <c r="C19" s="71">
        <v>21.855</v>
      </c>
      <c r="D19" s="71">
        <v>23.84</v>
      </c>
      <c r="E19" s="71">
        <v>27.475999999999999</v>
      </c>
      <c r="F19" s="71" t="s">
        <v>434</v>
      </c>
      <c r="G19" s="71">
        <v>40.142000000000003</v>
      </c>
      <c r="H19" s="71">
        <v>10.919</v>
      </c>
      <c r="I19" s="71">
        <v>94.918999999999997</v>
      </c>
      <c r="J19" s="73" t="s">
        <v>410</v>
      </c>
      <c r="K19" s="72">
        <v>88.882329999999996</v>
      </c>
      <c r="L19" s="71">
        <v>86.525999999999996</v>
      </c>
      <c r="M19" s="71">
        <v>86.447999999999993</v>
      </c>
      <c r="N19" s="71">
        <v>63.105499999999999</v>
      </c>
      <c r="O19" s="71">
        <v>61.133000000000003</v>
      </c>
    </row>
    <row r="20" spans="1:15" x14ac:dyDescent="0.2">
      <c r="A20" s="74" t="s">
        <v>441</v>
      </c>
      <c r="B20" s="71">
        <v>208.23599999999999</v>
      </c>
      <c r="C20" s="71">
        <v>226.35499999999999</v>
      </c>
      <c r="D20" s="71">
        <v>241.74</v>
      </c>
      <c r="E20" s="71">
        <v>351.702</v>
      </c>
      <c r="F20" s="71" t="s">
        <v>434</v>
      </c>
      <c r="G20" s="71">
        <v>457.16300000000001</v>
      </c>
      <c r="H20" s="71">
        <v>192</v>
      </c>
      <c r="I20" s="71" t="s">
        <v>434</v>
      </c>
      <c r="J20" s="73" t="s">
        <v>410</v>
      </c>
      <c r="K20" s="72">
        <v>276.5</v>
      </c>
      <c r="L20" s="71">
        <v>297.66667000000001</v>
      </c>
      <c r="M20" s="71">
        <v>333</v>
      </c>
      <c r="N20" s="71">
        <v>320</v>
      </c>
      <c r="O20" s="71" t="s">
        <v>434</v>
      </c>
    </row>
    <row r="21" spans="1:15" x14ac:dyDescent="0.2">
      <c r="A21" s="411" t="s">
        <v>410</v>
      </c>
      <c r="B21" s="411"/>
      <c r="C21" s="411"/>
      <c r="D21" s="411"/>
      <c r="E21" s="411"/>
      <c r="F21" s="411"/>
      <c r="G21" s="411"/>
      <c r="H21" s="411"/>
      <c r="I21" s="411"/>
      <c r="J21" s="411"/>
      <c r="K21" s="411"/>
      <c r="L21" s="411"/>
      <c r="M21" s="411"/>
      <c r="N21" s="411"/>
      <c r="O21" s="411"/>
    </row>
    <row r="22" spans="1:15" x14ac:dyDescent="0.2">
      <c r="A22" s="74" t="s">
        <v>442</v>
      </c>
      <c r="B22" s="71">
        <v>184.4</v>
      </c>
      <c r="C22" s="71">
        <v>204.5</v>
      </c>
      <c r="D22" s="71">
        <v>217.9</v>
      </c>
      <c r="E22" s="71">
        <v>324.226</v>
      </c>
      <c r="F22" s="71">
        <v>465.1</v>
      </c>
      <c r="G22" s="71">
        <v>417.02100000000002</v>
      </c>
      <c r="H22" s="71">
        <v>216</v>
      </c>
      <c r="I22" s="71">
        <v>258</v>
      </c>
      <c r="J22" s="73" t="s">
        <v>410</v>
      </c>
      <c r="K22" s="72">
        <v>275.15015</v>
      </c>
      <c r="L22" s="71">
        <v>303.63630999999998</v>
      </c>
      <c r="M22" s="71">
        <v>345.33931000000001</v>
      </c>
      <c r="N22" s="71">
        <v>357</v>
      </c>
      <c r="O22" s="71">
        <v>406</v>
      </c>
    </row>
    <row r="23" spans="1:15" x14ac:dyDescent="0.2">
      <c r="A23" s="74" t="s">
        <v>443</v>
      </c>
      <c r="B23" s="75" t="s">
        <v>434</v>
      </c>
      <c r="C23" s="75" t="s">
        <v>434</v>
      </c>
      <c r="D23" s="75" t="s">
        <v>434</v>
      </c>
      <c r="E23" s="75" t="s">
        <v>434</v>
      </c>
      <c r="F23" s="75" t="s">
        <v>434</v>
      </c>
      <c r="G23" s="75" t="s">
        <v>434</v>
      </c>
      <c r="H23" s="75" t="s">
        <v>434</v>
      </c>
      <c r="I23" s="75">
        <v>0.2177</v>
      </c>
      <c r="J23" s="73" t="s">
        <v>410</v>
      </c>
      <c r="K23" s="76">
        <v>0.2235</v>
      </c>
      <c r="L23" s="75">
        <v>0.2373333</v>
      </c>
      <c r="M23" s="75">
        <v>0.25066669999999996</v>
      </c>
      <c r="N23" s="75">
        <v>0.26400000000000001</v>
      </c>
      <c r="O23" s="75">
        <v>0.26550000000000001</v>
      </c>
    </row>
    <row r="24" spans="1:15" x14ac:dyDescent="0.2">
      <c r="A24" s="74" t="s">
        <v>444</v>
      </c>
      <c r="B24" s="71">
        <v>5.7</v>
      </c>
      <c r="C24" s="71">
        <v>0.2</v>
      </c>
      <c r="D24" s="71">
        <v>3.5169999999999999</v>
      </c>
      <c r="E24" s="71">
        <v>2.9</v>
      </c>
      <c r="F24" s="71">
        <v>20.2</v>
      </c>
      <c r="G24" s="71">
        <v>34.072000000000003</v>
      </c>
      <c r="H24" s="71">
        <v>15</v>
      </c>
      <c r="I24" s="71">
        <v>28.800999999999998</v>
      </c>
      <c r="J24" s="73" t="s">
        <v>410</v>
      </c>
      <c r="K24" s="72">
        <v>17</v>
      </c>
      <c r="L24" s="71">
        <v>15.26</v>
      </c>
      <c r="M24" s="71">
        <v>12.88</v>
      </c>
      <c r="N24" s="71">
        <v>10</v>
      </c>
      <c r="O24" s="71">
        <v>7</v>
      </c>
    </row>
    <row r="25" spans="1:15" x14ac:dyDescent="0.2">
      <c r="A25" s="74" t="s">
        <v>445</v>
      </c>
      <c r="B25" s="71" t="s">
        <v>434</v>
      </c>
      <c r="C25" s="71" t="s">
        <v>434</v>
      </c>
      <c r="D25" s="71" t="s">
        <v>434</v>
      </c>
      <c r="E25" s="71" t="s">
        <v>434</v>
      </c>
      <c r="F25" s="71" t="s">
        <v>434</v>
      </c>
      <c r="G25" s="71" t="s">
        <v>434</v>
      </c>
      <c r="H25" s="71" t="s">
        <v>434</v>
      </c>
      <c r="I25" s="71" t="s">
        <v>434</v>
      </c>
      <c r="J25" s="73" t="s">
        <v>410</v>
      </c>
      <c r="K25" s="72">
        <v>17</v>
      </c>
      <c r="L25" s="71">
        <v>18</v>
      </c>
      <c r="M25" s="71">
        <v>18</v>
      </c>
      <c r="N25" s="71">
        <v>17</v>
      </c>
      <c r="O25" s="71">
        <v>17</v>
      </c>
    </row>
    <row r="26" spans="1:15" x14ac:dyDescent="0.2">
      <c r="A26" s="411" t="s">
        <v>410</v>
      </c>
      <c r="B26" s="411"/>
      <c r="C26" s="411"/>
      <c r="D26" s="411"/>
      <c r="E26" s="411"/>
      <c r="F26" s="411"/>
      <c r="G26" s="411"/>
      <c r="H26" s="411"/>
      <c r="I26" s="411"/>
      <c r="J26" s="411"/>
      <c r="K26" s="411"/>
      <c r="L26" s="411"/>
      <c r="M26" s="411"/>
      <c r="N26" s="411"/>
      <c r="O26" s="411"/>
    </row>
    <row r="27" spans="1:15" x14ac:dyDescent="0.2">
      <c r="A27" s="74" t="s">
        <v>446</v>
      </c>
      <c r="B27" s="71">
        <v>178.7</v>
      </c>
      <c r="C27" s="71">
        <v>204.4</v>
      </c>
      <c r="D27" s="71">
        <v>216.3</v>
      </c>
      <c r="E27" s="71">
        <v>321.37299999999999</v>
      </c>
      <c r="F27" s="71">
        <v>399.3</v>
      </c>
      <c r="G27" s="71">
        <v>325.89999999999998</v>
      </c>
      <c r="H27" s="71">
        <v>201</v>
      </c>
      <c r="I27" s="71">
        <v>242.44800000000001</v>
      </c>
      <c r="J27" s="73" t="s">
        <v>410</v>
      </c>
      <c r="K27" s="72">
        <v>272.38578000000001</v>
      </c>
      <c r="L27" s="71">
        <v>289.99943999999999</v>
      </c>
      <c r="M27" s="71">
        <v>325.34699999999998</v>
      </c>
      <c r="N27" s="71">
        <v>342.5</v>
      </c>
      <c r="O27" s="71">
        <v>427</v>
      </c>
    </row>
    <row r="28" spans="1:15" x14ac:dyDescent="0.2">
      <c r="A28" s="74" t="s">
        <v>447</v>
      </c>
      <c r="B28" s="71">
        <v>38.799999999999997</v>
      </c>
      <c r="C28" s="71">
        <v>46.2</v>
      </c>
      <c r="D28" s="71">
        <v>40.6</v>
      </c>
      <c r="E28" s="71">
        <v>73.076999999999998</v>
      </c>
      <c r="F28" s="71">
        <v>88.6</v>
      </c>
      <c r="G28" s="71">
        <v>85.8</v>
      </c>
      <c r="H28" s="71">
        <v>42</v>
      </c>
      <c r="I28" s="71">
        <v>55.390999999999998</v>
      </c>
      <c r="J28" s="73" t="s">
        <v>410</v>
      </c>
      <c r="K28" s="72">
        <v>58.075000000000003</v>
      </c>
      <c r="L28" s="71">
        <v>67.349999999999994</v>
      </c>
      <c r="M28" s="71">
        <v>77.900000000000006</v>
      </c>
      <c r="N28" s="71">
        <v>87</v>
      </c>
      <c r="O28" s="71">
        <v>94.5</v>
      </c>
    </row>
    <row r="29" spans="1:15" x14ac:dyDescent="0.2">
      <c r="A29" s="74" t="s">
        <v>448</v>
      </c>
      <c r="B29" s="75">
        <v>0.2171237</v>
      </c>
      <c r="C29" s="75">
        <v>0.22589999999999999</v>
      </c>
      <c r="D29" s="75">
        <v>0.18770230000000002</v>
      </c>
      <c r="E29" s="75">
        <v>0.22744240000000002</v>
      </c>
      <c r="F29" s="75">
        <v>0.22188829999999998</v>
      </c>
      <c r="G29" s="75">
        <v>0.26327089999999997</v>
      </c>
      <c r="H29" s="75">
        <v>0.20895520000000001</v>
      </c>
      <c r="I29" s="75">
        <v>0.22727269999999999</v>
      </c>
      <c r="J29" s="73" t="s">
        <v>410</v>
      </c>
      <c r="K29" s="76">
        <v>0.24551429999999999</v>
      </c>
      <c r="L29" s="75">
        <v>0.24600000000000002</v>
      </c>
      <c r="M29" s="75">
        <v>0.24228570000000002</v>
      </c>
      <c r="N29" s="75">
        <v>0.23499999999999999</v>
      </c>
      <c r="O29" s="75">
        <v>0.25</v>
      </c>
    </row>
    <row r="30" spans="1:15" x14ac:dyDescent="0.2">
      <c r="A30" s="411" t="s">
        <v>410</v>
      </c>
      <c r="B30" s="411"/>
      <c r="C30" s="411"/>
      <c r="D30" s="411"/>
      <c r="E30" s="411"/>
      <c r="F30" s="411"/>
      <c r="G30" s="411"/>
      <c r="H30" s="411"/>
      <c r="I30" s="411"/>
      <c r="J30" s="411"/>
      <c r="K30" s="411"/>
      <c r="L30" s="411"/>
      <c r="M30" s="411"/>
      <c r="N30" s="411"/>
      <c r="O30" s="411"/>
    </row>
    <row r="31" spans="1:15" x14ac:dyDescent="0.2">
      <c r="A31" s="74" t="s">
        <v>449</v>
      </c>
      <c r="B31" s="71">
        <v>139.9</v>
      </c>
      <c r="C31" s="71">
        <v>158.1</v>
      </c>
      <c r="D31" s="71">
        <v>175.7</v>
      </c>
      <c r="E31" s="71">
        <v>248.3</v>
      </c>
      <c r="F31" s="71">
        <v>310.7</v>
      </c>
      <c r="G31" s="71">
        <v>240.1</v>
      </c>
      <c r="H31" s="71">
        <v>159</v>
      </c>
      <c r="I31" s="71">
        <v>187</v>
      </c>
      <c r="J31" s="73" t="s">
        <v>410</v>
      </c>
      <c r="K31" s="72">
        <v>210.03200000000001</v>
      </c>
      <c r="L31" s="71">
        <v>233.67567</v>
      </c>
      <c r="M31" s="71">
        <v>266.14949999999999</v>
      </c>
      <c r="N31" s="71">
        <v>281.33332999999999</v>
      </c>
      <c r="O31" s="71">
        <v>323</v>
      </c>
    </row>
    <row r="32" spans="1:15" x14ac:dyDescent="0.2">
      <c r="A32" s="74" t="s">
        <v>450</v>
      </c>
      <c r="B32" s="75" t="s">
        <v>434</v>
      </c>
      <c r="C32" s="75" t="s">
        <v>434</v>
      </c>
      <c r="D32" s="75" t="s">
        <v>434</v>
      </c>
      <c r="E32" s="75" t="s">
        <v>434</v>
      </c>
      <c r="F32" s="75" t="s">
        <v>434</v>
      </c>
      <c r="G32" s="75" t="s">
        <v>434</v>
      </c>
      <c r="H32" s="75" t="s">
        <v>434</v>
      </c>
      <c r="I32" s="75">
        <v>0.15698999999999999</v>
      </c>
      <c r="J32" s="73" t="s">
        <v>410</v>
      </c>
      <c r="K32" s="76">
        <v>0.17616669999999998</v>
      </c>
      <c r="L32" s="75">
        <v>0.18780000000000002</v>
      </c>
      <c r="M32" s="75">
        <v>0.2</v>
      </c>
      <c r="N32" s="75">
        <v>0.218</v>
      </c>
      <c r="O32" s="75">
        <v>0.20499999999999999</v>
      </c>
    </row>
    <row r="33" spans="1:15" x14ac:dyDescent="0.2">
      <c r="A33" s="411" t="s">
        <v>410</v>
      </c>
      <c r="B33" s="411"/>
      <c r="C33" s="411"/>
      <c r="D33" s="411"/>
      <c r="E33" s="411"/>
      <c r="F33" s="411"/>
      <c r="G33" s="411"/>
      <c r="H33" s="411"/>
      <c r="I33" s="411"/>
      <c r="J33" s="411"/>
      <c r="K33" s="411"/>
      <c r="L33" s="411"/>
      <c r="M33" s="411"/>
      <c r="N33" s="411"/>
      <c r="O33" s="411"/>
    </row>
    <row r="34" spans="1:15" x14ac:dyDescent="0.2">
      <c r="A34" s="74" t="s">
        <v>451</v>
      </c>
      <c r="B34" s="71">
        <v>2.54</v>
      </c>
      <c r="C34" s="71">
        <v>2.85</v>
      </c>
      <c r="D34" s="71">
        <v>3.2</v>
      </c>
      <c r="E34" s="71">
        <v>4.5</v>
      </c>
      <c r="F34" s="71">
        <v>5.4</v>
      </c>
      <c r="G34" s="71">
        <v>4.3920000000000003</v>
      </c>
      <c r="H34" s="71">
        <v>2.98</v>
      </c>
      <c r="I34" s="71">
        <v>3.3420000000000001</v>
      </c>
      <c r="J34" s="73" t="s">
        <v>410</v>
      </c>
      <c r="K34" s="72">
        <v>3.5505</v>
      </c>
      <c r="L34" s="71">
        <v>4.0372000000000003</v>
      </c>
      <c r="M34" s="71">
        <v>4.6483600000000003</v>
      </c>
      <c r="N34" s="71">
        <v>4.66</v>
      </c>
      <c r="O34" s="71">
        <v>5.3</v>
      </c>
    </row>
    <row r="35" spans="1:15" x14ac:dyDescent="0.2">
      <c r="A35" s="74" t="s">
        <v>452</v>
      </c>
      <c r="B35" s="71" t="s">
        <v>434</v>
      </c>
      <c r="C35" s="71" t="s">
        <v>434</v>
      </c>
      <c r="D35" s="71" t="s">
        <v>434</v>
      </c>
      <c r="E35" s="71" t="s">
        <v>434</v>
      </c>
      <c r="F35" s="71" t="s">
        <v>434</v>
      </c>
      <c r="G35" s="71" t="s">
        <v>434</v>
      </c>
      <c r="H35" s="71" t="s">
        <v>434</v>
      </c>
      <c r="I35" s="71">
        <v>6.01</v>
      </c>
      <c r="J35" s="73" t="s">
        <v>410</v>
      </c>
      <c r="K35" s="72">
        <v>5.7450000000000001</v>
      </c>
      <c r="L35" s="71">
        <v>6.1159999999999997</v>
      </c>
      <c r="M35" s="71">
        <v>6.5949999999999998</v>
      </c>
      <c r="N35" s="71" t="s">
        <v>434</v>
      </c>
      <c r="O35" s="71" t="s">
        <v>434</v>
      </c>
    </row>
    <row r="36" spans="1:15" x14ac:dyDescent="0.2">
      <c r="A36" s="74" t="s">
        <v>453</v>
      </c>
      <c r="B36" s="71">
        <v>237.922</v>
      </c>
      <c r="C36" s="71">
        <v>255.4</v>
      </c>
      <c r="D36" s="71">
        <v>276.8</v>
      </c>
      <c r="E36" s="71">
        <v>385.26</v>
      </c>
      <c r="F36" s="71">
        <v>556.90700000000004</v>
      </c>
      <c r="G36" s="71">
        <v>536.54200000000003</v>
      </c>
      <c r="H36" s="71">
        <v>375</v>
      </c>
      <c r="I36" s="71">
        <v>387.36599999999999</v>
      </c>
      <c r="J36" s="73" t="s">
        <v>410</v>
      </c>
      <c r="K36" s="72">
        <v>389.74666999999999</v>
      </c>
      <c r="L36" s="71">
        <v>426.08832999999998</v>
      </c>
      <c r="M36" s="71">
        <v>475.54</v>
      </c>
      <c r="N36" s="71">
        <v>497.34</v>
      </c>
      <c r="O36" s="71">
        <v>546.5</v>
      </c>
    </row>
    <row r="37" spans="1:15" x14ac:dyDescent="0.2">
      <c r="A37" s="74" t="s">
        <v>454</v>
      </c>
      <c r="B37" s="71">
        <v>178.7</v>
      </c>
      <c r="C37" s="71">
        <v>204.4</v>
      </c>
      <c r="D37" s="71">
        <v>216.3</v>
      </c>
      <c r="E37" s="71">
        <v>321.37299999999999</v>
      </c>
      <c r="F37" s="71">
        <v>399.3</v>
      </c>
      <c r="G37" s="71">
        <v>325.89999999999998</v>
      </c>
      <c r="H37" s="71">
        <v>201</v>
      </c>
      <c r="I37" s="71">
        <v>242.44800000000001</v>
      </c>
      <c r="J37" s="73" t="s">
        <v>410</v>
      </c>
      <c r="K37" s="72">
        <v>250.55449999999999</v>
      </c>
      <c r="L37" s="71">
        <v>282.39474999999999</v>
      </c>
      <c r="M37" s="71">
        <v>325.73950000000002</v>
      </c>
      <c r="N37" s="71">
        <v>350</v>
      </c>
      <c r="O37" s="71">
        <v>387</v>
      </c>
    </row>
    <row r="38" spans="1:15" x14ac:dyDescent="0.2">
      <c r="A38" s="74" t="s">
        <v>455</v>
      </c>
      <c r="B38" s="71">
        <v>139.9</v>
      </c>
      <c r="C38" s="71">
        <v>158.1</v>
      </c>
      <c r="D38" s="71">
        <v>175.7</v>
      </c>
      <c r="E38" s="71">
        <v>248.3</v>
      </c>
      <c r="F38" s="71">
        <v>310.7</v>
      </c>
      <c r="G38" s="71">
        <v>240.1</v>
      </c>
      <c r="H38" s="71">
        <v>159</v>
      </c>
      <c r="I38" s="71">
        <v>187</v>
      </c>
      <c r="J38" s="73" t="s">
        <v>410</v>
      </c>
      <c r="K38" s="72">
        <v>177.32570999999999</v>
      </c>
      <c r="L38" s="71">
        <v>207.82257000000001</v>
      </c>
      <c r="M38" s="71">
        <v>243.33443</v>
      </c>
      <c r="N38" s="71">
        <v>262</v>
      </c>
      <c r="O38" s="71">
        <v>290</v>
      </c>
    </row>
    <row r="39" spans="1:15" x14ac:dyDescent="0.2">
      <c r="A39" s="74" t="s">
        <v>456</v>
      </c>
      <c r="B39" s="71">
        <v>2.54</v>
      </c>
      <c r="C39" s="71">
        <v>2.85</v>
      </c>
      <c r="D39" s="71">
        <v>3.2</v>
      </c>
      <c r="E39" s="71">
        <v>4.5</v>
      </c>
      <c r="F39" s="71">
        <v>5.4</v>
      </c>
      <c r="G39" s="71">
        <v>4.3920000000000003</v>
      </c>
      <c r="H39" s="71">
        <v>2.98</v>
      </c>
      <c r="I39" s="71">
        <v>3.3420000000000001</v>
      </c>
      <c r="J39" s="73" t="s">
        <v>410</v>
      </c>
      <c r="K39" s="72">
        <v>3.31711</v>
      </c>
      <c r="L39" s="71">
        <v>3.9298999999999999</v>
      </c>
      <c r="M39" s="71">
        <v>4.4858900000000004</v>
      </c>
      <c r="N39" s="71">
        <v>4.79</v>
      </c>
      <c r="O39" s="71">
        <v>5.3</v>
      </c>
    </row>
    <row r="40" spans="1:15" x14ac:dyDescent="0.2">
      <c r="A40" s="74" t="s">
        <v>457</v>
      </c>
      <c r="B40" s="71">
        <v>0.85</v>
      </c>
      <c r="C40" s="71">
        <v>0.9</v>
      </c>
      <c r="D40" s="71">
        <v>0.9</v>
      </c>
      <c r="E40" s="71">
        <v>0.95</v>
      </c>
      <c r="F40" s="71">
        <v>1.05</v>
      </c>
      <c r="G40" s="71">
        <v>1.1000000000000001</v>
      </c>
      <c r="H40" s="71">
        <v>1.1499999999999999</v>
      </c>
      <c r="I40" s="71">
        <v>1.1499999999999999</v>
      </c>
      <c r="J40" s="73" t="s">
        <v>410</v>
      </c>
      <c r="K40" s="72">
        <v>1.2023999999999999</v>
      </c>
      <c r="L40" s="71">
        <v>1.2833300000000001</v>
      </c>
      <c r="M40" s="71">
        <v>1.3685</v>
      </c>
      <c r="N40" s="71">
        <v>1.4766699999999999</v>
      </c>
      <c r="O40" s="71">
        <v>1.5349999999999999</v>
      </c>
    </row>
    <row r="41" spans="1:15" x14ac:dyDescent="0.2">
      <c r="A41" s="74" t="s">
        <v>458</v>
      </c>
      <c r="B41" s="71">
        <v>53.568359999999998</v>
      </c>
      <c r="C41" s="71">
        <v>55.513109999999998</v>
      </c>
      <c r="D41" s="71">
        <v>54.712000000000003</v>
      </c>
      <c r="E41" s="71">
        <v>54.758000000000003</v>
      </c>
      <c r="F41" s="71">
        <v>57.586669999999998</v>
      </c>
      <c r="G41" s="71">
        <v>54.664999999999999</v>
      </c>
      <c r="H41" s="71">
        <v>53.289000000000001</v>
      </c>
      <c r="I41" s="71">
        <v>55.86871</v>
      </c>
      <c r="J41" s="73" t="s">
        <v>410</v>
      </c>
      <c r="K41" s="72">
        <v>55.78</v>
      </c>
      <c r="L41" s="71">
        <v>55.066000000000003</v>
      </c>
      <c r="M41" s="71">
        <v>55.066000000000003</v>
      </c>
      <c r="N41" s="71">
        <v>53.69</v>
      </c>
      <c r="O41" s="71">
        <v>55</v>
      </c>
    </row>
    <row r="42" spans="1:15" x14ac:dyDescent="0.2">
      <c r="A42" s="74" t="s">
        <v>459</v>
      </c>
      <c r="B42" s="71" t="s">
        <v>434</v>
      </c>
      <c r="C42" s="71" t="s">
        <v>434</v>
      </c>
      <c r="D42" s="71" t="s">
        <v>434</v>
      </c>
      <c r="E42" s="71" t="s">
        <v>434</v>
      </c>
      <c r="F42" s="71" t="s">
        <v>434</v>
      </c>
      <c r="G42" s="71" t="s">
        <v>434</v>
      </c>
      <c r="H42" s="71" t="s">
        <v>434</v>
      </c>
      <c r="I42" s="71" t="s">
        <v>434</v>
      </c>
      <c r="J42" s="73" t="s">
        <v>410</v>
      </c>
      <c r="K42" s="72">
        <v>14</v>
      </c>
      <c r="L42" s="71">
        <v>10</v>
      </c>
      <c r="M42" s="71">
        <v>6</v>
      </c>
      <c r="N42" s="71">
        <v>2</v>
      </c>
      <c r="O42" s="71">
        <v>7</v>
      </c>
    </row>
    <row r="43" spans="1:15" x14ac:dyDescent="0.2">
      <c r="A43" s="411" t="s">
        <v>410</v>
      </c>
      <c r="B43" s="411"/>
      <c r="C43" s="411"/>
      <c r="D43" s="411"/>
      <c r="E43" s="411"/>
      <c r="F43" s="411"/>
      <c r="G43" s="411"/>
      <c r="H43" s="411"/>
      <c r="I43" s="411"/>
      <c r="J43" s="411"/>
      <c r="K43" s="411"/>
      <c r="L43" s="411"/>
      <c r="M43" s="411"/>
      <c r="N43" s="411"/>
      <c r="O43" s="411"/>
    </row>
    <row r="44" spans="1:15" x14ac:dyDescent="0.2">
      <c r="K44" s="70">
        <f>K50/I50-1</f>
        <v>1.4850586398460486E-2</v>
      </c>
      <c r="L44" s="70">
        <f>L50/K50-1</f>
        <v>4.0399522957662581E-2</v>
      </c>
      <c r="M44" s="70">
        <f t="shared" ref="M44:O44" si="0">M50/L50-1</f>
        <v>4.8431007307637275E-2</v>
      </c>
      <c r="N44" s="70">
        <f t="shared" si="0"/>
        <v>8.7011972119721559E-3</v>
      </c>
      <c r="O44" s="70">
        <f t="shared" si="0"/>
        <v>7.7138470849190233E-2</v>
      </c>
    </row>
    <row r="45" spans="1:15" x14ac:dyDescent="0.2">
      <c r="A45" s="85" t="s">
        <v>410</v>
      </c>
      <c r="B45" s="86" t="s">
        <v>413</v>
      </c>
      <c r="C45" s="86" t="s">
        <v>414</v>
      </c>
      <c r="D45" s="86" t="s">
        <v>415</v>
      </c>
      <c r="E45" s="86" t="s">
        <v>416</v>
      </c>
      <c r="F45" s="86" t="s">
        <v>417</v>
      </c>
      <c r="G45" s="86" t="s">
        <v>418</v>
      </c>
      <c r="H45" s="86" t="s">
        <v>419</v>
      </c>
      <c r="I45" s="86" t="s">
        <v>420</v>
      </c>
      <c r="J45" s="87" t="s">
        <v>410</v>
      </c>
      <c r="K45" s="88" t="s">
        <v>421</v>
      </c>
      <c r="L45" s="89" t="s">
        <v>422</v>
      </c>
      <c r="M45" s="89" t="s">
        <v>423</v>
      </c>
      <c r="N45" s="89" t="s">
        <v>424</v>
      </c>
      <c r="O45" s="89" t="s">
        <v>425</v>
      </c>
    </row>
    <row r="46" spans="1:15" x14ac:dyDescent="0.2">
      <c r="A46" s="90" t="s">
        <v>460</v>
      </c>
      <c r="B46" s="91">
        <v>159.34</v>
      </c>
      <c r="C46" s="91">
        <v>73.099999999999994</v>
      </c>
      <c r="D46" s="91">
        <v>157.55199999999999</v>
      </c>
      <c r="E46" s="91">
        <v>339.88099999999997</v>
      </c>
      <c r="F46" s="91">
        <v>403.02</v>
      </c>
      <c r="G46" s="91">
        <v>241.77600000000001</v>
      </c>
      <c r="H46" s="91">
        <v>280.31400000000002</v>
      </c>
      <c r="I46" s="91">
        <v>344.27</v>
      </c>
      <c r="J46" s="87" t="s">
        <v>410</v>
      </c>
      <c r="K46" s="92">
        <v>423</v>
      </c>
      <c r="L46" s="91">
        <v>560.5</v>
      </c>
      <c r="M46" s="91">
        <v>720.75</v>
      </c>
      <c r="N46" s="91">
        <v>735.66666999999995</v>
      </c>
      <c r="O46" s="91">
        <v>1006</v>
      </c>
    </row>
    <row r="47" spans="1:15" x14ac:dyDescent="0.2">
      <c r="A47" s="90" t="s">
        <v>461</v>
      </c>
      <c r="B47" s="91">
        <v>142.80199999999999</v>
      </c>
      <c r="C47" s="91">
        <v>160.39599999999999</v>
      </c>
      <c r="D47" s="91">
        <v>171.12700000000001</v>
      </c>
      <c r="E47" s="91">
        <v>191.23400000000001</v>
      </c>
      <c r="F47" s="91">
        <v>298.04899999999998</v>
      </c>
      <c r="G47" s="91">
        <v>306.50299999999999</v>
      </c>
      <c r="H47" s="91">
        <v>315.5</v>
      </c>
      <c r="I47" s="91">
        <v>344.04300000000001</v>
      </c>
      <c r="J47" s="87" t="s">
        <v>410</v>
      </c>
      <c r="K47" s="92">
        <v>319</v>
      </c>
      <c r="L47" s="91">
        <v>340.25</v>
      </c>
      <c r="M47" s="91">
        <v>365.25</v>
      </c>
      <c r="N47" s="91">
        <v>388</v>
      </c>
      <c r="O47" s="91">
        <v>409.5</v>
      </c>
    </row>
    <row r="48" spans="1:15" x14ac:dyDescent="0.2">
      <c r="A48" s="90" t="s">
        <v>462</v>
      </c>
      <c r="B48" s="91">
        <v>481.24099999999999</v>
      </c>
      <c r="C48" s="91">
        <v>414.86</v>
      </c>
      <c r="D48" s="91">
        <v>530.76099999999997</v>
      </c>
      <c r="E48" s="91">
        <v>713.91700000000003</v>
      </c>
      <c r="F48" s="91">
        <v>958.29100000000005</v>
      </c>
      <c r="G48" s="91">
        <v>1028.94</v>
      </c>
      <c r="H48" s="91">
        <v>982.69200000000001</v>
      </c>
      <c r="I48" s="91">
        <v>967.18100000000004</v>
      </c>
      <c r="J48" s="87" t="s">
        <v>410</v>
      </c>
      <c r="K48" s="92">
        <v>1039</v>
      </c>
      <c r="L48" s="91">
        <v>1178.6666700000001</v>
      </c>
      <c r="M48" s="91">
        <v>1355.3333299999999</v>
      </c>
      <c r="N48" s="91">
        <v>1260.5</v>
      </c>
      <c r="O48" s="91">
        <v>1344</v>
      </c>
    </row>
    <row r="49" spans="1:15" x14ac:dyDescent="0.2">
      <c r="A49" s="231" t="s">
        <v>463</v>
      </c>
      <c r="B49" s="232">
        <v>150.744</v>
      </c>
      <c r="C49" s="232">
        <v>162.61600000000001</v>
      </c>
      <c r="D49" s="232">
        <v>164.68100000000001</v>
      </c>
      <c r="E49" s="232">
        <v>154.774</v>
      </c>
      <c r="F49" s="232">
        <v>1E-3</v>
      </c>
      <c r="G49" s="232">
        <v>1995</v>
      </c>
      <c r="H49" s="232">
        <v>1E-3</v>
      </c>
      <c r="I49" s="232">
        <v>846.86</v>
      </c>
      <c r="J49" s="233" t="s">
        <v>410</v>
      </c>
      <c r="K49" s="232">
        <v>846.96500000000003</v>
      </c>
      <c r="L49" s="232">
        <v>846.96500000000003</v>
      </c>
      <c r="M49" s="232">
        <v>846.96500000000003</v>
      </c>
      <c r="N49" s="232">
        <v>847</v>
      </c>
      <c r="O49" s="232">
        <v>847</v>
      </c>
    </row>
    <row r="50" spans="1:15" x14ac:dyDescent="0.2">
      <c r="A50" s="90" t="s">
        <v>464</v>
      </c>
      <c r="B50" s="91">
        <v>945.72299999999996</v>
      </c>
      <c r="C50" s="91">
        <v>905.94</v>
      </c>
      <c r="D50" s="91">
        <v>1063.5519999999999</v>
      </c>
      <c r="E50" s="91">
        <v>1246.4459999999999</v>
      </c>
      <c r="F50" s="91">
        <v>3231.152</v>
      </c>
      <c r="G50" s="91">
        <v>3408.0819999999999</v>
      </c>
      <c r="H50" s="91">
        <v>3211.4389999999999</v>
      </c>
      <c r="I50" s="91">
        <v>3304.92</v>
      </c>
      <c r="J50" s="87" t="s">
        <v>410</v>
      </c>
      <c r="K50" s="92">
        <v>3354</v>
      </c>
      <c r="L50" s="91">
        <v>3489.5</v>
      </c>
      <c r="M50" s="91">
        <v>3658.5</v>
      </c>
      <c r="N50" s="91">
        <v>3690.3333299999999</v>
      </c>
      <c r="O50" s="91">
        <v>3975</v>
      </c>
    </row>
    <row r="51" spans="1:15" x14ac:dyDescent="0.2">
      <c r="A51" s="90" t="s">
        <v>465</v>
      </c>
      <c r="B51" s="91">
        <v>141.12</v>
      </c>
      <c r="C51" s="91">
        <v>138.452</v>
      </c>
      <c r="D51" s="91">
        <v>122.479</v>
      </c>
      <c r="E51" s="91">
        <v>160.21299999999999</v>
      </c>
      <c r="F51" s="91">
        <v>298.22899999999998</v>
      </c>
      <c r="G51" s="91">
        <v>341.31400000000002</v>
      </c>
      <c r="H51" s="91">
        <v>320.11700000000002</v>
      </c>
      <c r="I51" s="91">
        <v>275.29899999999998</v>
      </c>
      <c r="J51" s="87" t="s">
        <v>410</v>
      </c>
      <c r="K51" s="92">
        <v>267.66667000000001</v>
      </c>
      <c r="L51" s="91">
        <v>275.33332999999999</v>
      </c>
      <c r="M51" s="91">
        <v>288</v>
      </c>
      <c r="N51" s="91">
        <v>299.5</v>
      </c>
      <c r="O51" s="91">
        <v>315</v>
      </c>
    </row>
    <row r="52" spans="1:15" x14ac:dyDescent="0.2">
      <c r="A52" s="90" t="s">
        <v>466</v>
      </c>
      <c r="B52" s="91" t="s">
        <v>434</v>
      </c>
      <c r="C52" s="91" t="s">
        <v>434</v>
      </c>
      <c r="D52" s="91" t="s">
        <v>434</v>
      </c>
      <c r="E52" s="91" t="s">
        <v>434</v>
      </c>
      <c r="F52" s="91" t="s">
        <v>434</v>
      </c>
      <c r="G52" s="91">
        <v>1842</v>
      </c>
      <c r="H52" s="91" t="s">
        <v>434</v>
      </c>
      <c r="I52" s="91">
        <v>1505.8979999999999</v>
      </c>
      <c r="J52" s="87" t="s">
        <v>410</v>
      </c>
      <c r="K52" s="92">
        <v>1453.05</v>
      </c>
      <c r="L52" s="91">
        <v>1437.075</v>
      </c>
      <c r="M52" s="91">
        <v>1425.5</v>
      </c>
      <c r="N52" s="91">
        <v>1295</v>
      </c>
      <c r="O52" s="91">
        <v>1319</v>
      </c>
    </row>
    <row r="53" spans="1:15" x14ac:dyDescent="0.2">
      <c r="A53" s="90" t="s">
        <v>467</v>
      </c>
      <c r="B53" s="91">
        <v>742</v>
      </c>
      <c r="C53" s="91">
        <v>704.7</v>
      </c>
      <c r="D53" s="91">
        <v>848.6</v>
      </c>
      <c r="E53" s="91">
        <v>954.678</v>
      </c>
      <c r="F53" s="91">
        <v>1366.377</v>
      </c>
      <c r="G53" s="91">
        <v>1518.989</v>
      </c>
      <c r="H53" s="91">
        <v>1538.6110000000001</v>
      </c>
      <c r="I53" s="91">
        <v>1800.9179999999999</v>
      </c>
      <c r="J53" s="87" t="s">
        <v>410</v>
      </c>
      <c r="K53" s="92">
        <v>1893.9562900000001</v>
      </c>
      <c r="L53" s="91">
        <v>2040.0895700000001</v>
      </c>
      <c r="M53" s="91">
        <v>2215.3850000000002</v>
      </c>
      <c r="N53" s="91">
        <v>2626.3333299999999</v>
      </c>
      <c r="O53" s="91">
        <v>2658</v>
      </c>
    </row>
    <row r="54" spans="1:15" x14ac:dyDescent="0.2">
      <c r="A54" s="90" t="s">
        <v>468</v>
      </c>
      <c r="B54" s="91" t="s">
        <v>434</v>
      </c>
      <c r="C54" s="91" t="s">
        <v>434</v>
      </c>
      <c r="D54" s="91" t="s">
        <v>434</v>
      </c>
      <c r="E54" s="91">
        <v>34.659999999999997</v>
      </c>
      <c r="F54" s="91" t="s">
        <v>434</v>
      </c>
      <c r="G54" s="91" t="s">
        <v>434</v>
      </c>
      <c r="H54" s="91" t="s">
        <v>434</v>
      </c>
      <c r="I54" s="91">
        <v>1076.7070000000001</v>
      </c>
      <c r="J54" s="87" t="s">
        <v>410</v>
      </c>
      <c r="K54" s="92">
        <v>1015</v>
      </c>
      <c r="L54" s="91">
        <v>1015</v>
      </c>
      <c r="M54" s="91">
        <v>1015</v>
      </c>
      <c r="N54" s="91">
        <v>1015</v>
      </c>
      <c r="O54" s="91">
        <v>1015</v>
      </c>
    </row>
    <row r="55" spans="1:15" x14ac:dyDescent="0.2">
      <c r="A55" s="90" t="s">
        <v>469</v>
      </c>
      <c r="B55" s="91">
        <v>-149.30000000000001</v>
      </c>
      <c r="C55" s="91">
        <v>-75.3</v>
      </c>
      <c r="D55" s="91">
        <v>-128.274</v>
      </c>
      <c r="E55" s="91">
        <v>-305.221</v>
      </c>
      <c r="F55" s="91">
        <v>985.9</v>
      </c>
      <c r="G55" s="91">
        <v>906.61099999999999</v>
      </c>
      <c r="H55" s="91" t="s">
        <v>434</v>
      </c>
      <c r="I55" s="91">
        <v>732.43700000000001</v>
      </c>
      <c r="J55" s="87" t="s">
        <v>410</v>
      </c>
      <c r="K55" s="92">
        <v>540.27615000000003</v>
      </c>
      <c r="L55" s="91">
        <v>382.96807999999999</v>
      </c>
      <c r="M55" s="91">
        <v>258.78982000000002</v>
      </c>
      <c r="N55" s="91">
        <v>457.33332999999999</v>
      </c>
      <c r="O55" s="91" t="s">
        <v>434</v>
      </c>
    </row>
    <row r="56" spans="1:15" x14ac:dyDescent="0.2">
      <c r="A56" s="90" t="s">
        <v>470</v>
      </c>
      <c r="B56" s="91">
        <v>742</v>
      </c>
      <c r="C56" s="91">
        <v>704.7</v>
      </c>
      <c r="D56" s="91">
        <v>848.6</v>
      </c>
      <c r="E56" s="91">
        <v>956.31899999999996</v>
      </c>
      <c r="F56" s="91">
        <v>1367.9</v>
      </c>
      <c r="G56" s="91">
        <v>1519.8</v>
      </c>
      <c r="H56" s="91">
        <v>1538</v>
      </c>
      <c r="I56" s="91">
        <v>1799.0219999999999</v>
      </c>
      <c r="J56" s="87" t="s">
        <v>410</v>
      </c>
      <c r="K56" s="92">
        <v>1875.88571</v>
      </c>
      <c r="L56" s="91">
        <v>1994.7</v>
      </c>
      <c r="M56" s="91">
        <v>2170.2714299999998</v>
      </c>
      <c r="N56" s="91">
        <v>2530</v>
      </c>
      <c r="O56" s="91">
        <v>2777</v>
      </c>
    </row>
    <row r="57" spans="1:15" x14ac:dyDescent="0.2">
      <c r="A57" s="90" t="s">
        <v>471</v>
      </c>
      <c r="B57" s="91">
        <v>13.38312</v>
      </c>
      <c r="C57" s="91">
        <v>12.89368</v>
      </c>
      <c r="D57" s="91">
        <v>15.48846</v>
      </c>
      <c r="E57" s="91">
        <v>17.43</v>
      </c>
      <c r="F57" s="91">
        <v>24.958359999999999</v>
      </c>
      <c r="G57" s="91">
        <v>28.385480000000001</v>
      </c>
      <c r="H57" s="91">
        <v>28.83455</v>
      </c>
      <c r="I57" s="91">
        <v>33.417189999999998</v>
      </c>
      <c r="J57" s="87" t="s">
        <v>410</v>
      </c>
      <c r="K57" s="92">
        <v>32.501800000000003</v>
      </c>
      <c r="L57" s="91">
        <v>34.333300000000001</v>
      </c>
      <c r="M57" s="91">
        <v>36.9056</v>
      </c>
      <c r="N57" s="91">
        <v>40.69</v>
      </c>
      <c r="O57" s="91">
        <v>45.78</v>
      </c>
    </row>
    <row r="58" spans="1:15" x14ac:dyDescent="0.2">
      <c r="A58" s="90" t="s">
        <v>472</v>
      </c>
      <c r="B58" s="91">
        <v>3950.2559999999999</v>
      </c>
      <c r="C58" s="91">
        <v>3880.2420000000002</v>
      </c>
      <c r="D58" s="91" t="s">
        <v>434</v>
      </c>
      <c r="E58" s="91">
        <v>9010.7559999999994</v>
      </c>
      <c r="F58" s="91" t="s">
        <v>434</v>
      </c>
      <c r="G58" s="91">
        <v>8616</v>
      </c>
      <c r="H58" s="91" t="s">
        <v>434</v>
      </c>
      <c r="I58" s="91">
        <v>6203.52</v>
      </c>
      <c r="J58" s="87" t="s">
        <v>410</v>
      </c>
      <c r="K58" s="92">
        <v>4381.6729999999998</v>
      </c>
      <c r="L58" s="91">
        <v>4167.1136299999998</v>
      </c>
      <c r="M58" s="91">
        <v>3992.6271299999999</v>
      </c>
      <c r="N58" s="91">
        <v>4253.5</v>
      </c>
      <c r="O58" s="91">
        <v>4016</v>
      </c>
    </row>
    <row r="59" spans="1:15" x14ac:dyDescent="0.2">
      <c r="A59" s="412" t="s">
        <v>410</v>
      </c>
      <c r="B59" s="412"/>
      <c r="C59" s="412"/>
      <c r="D59" s="412"/>
      <c r="E59" s="412"/>
      <c r="F59" s="412"/>
      <c r="G59" s="412"/>
      <c r="H59" s="412"/>
      <c r="I59" s="412"/>
      <c r="J59" s="412"/>
      <c r="K59" s="412"/>
      <c r="L59" s="412"/>
      <c r="M59" s="412"/>
      <c r="N59" s="412"/>
      <c r="O59" s="412"/>
    </row>
  </sheetData>
  <mergeCells count="9">
    <mergeCell ref="K2:O2"/>
    <mergeCell ref="A8:O8"/>
    <mergeCell ref="A13:O13"/>
    <mergeCell ref="A59:O59"/>
    <mergeCell ref="A21:O21"/>
    <mergeCell ref="A26:O26"/>
    <mergeCell ref="A30:O30"/>
    <mergeCell ref="A33:O33"/>
    <mergeCell ref="A43:O4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82969-3BFE-7444-94D0-2E84036ED5A1}">
  <sheetPr>
    <outlinePr summaryBelow="0" summaryRight="0"/>
  </sheetPr>
  <dimension ref="A1:M129"/>
  <sheetViews>
    <sheetView topLeftCell="A108" zoomScale="136" workbookViewId="0">
      <selection activeCell="E34" sqref="E34"/>
    </sheetView>
  </sheetViews>
  <sheetFormatPr baseColWidth="10" defaultColWidth="9.1640625" defaultRowHeight="15" customHeight="1" outlineLevelRow="3" x14ac:dyDescent="0.15"/>
  <cols>
    <col min="1" max="1" width="46.33203125" style="94" customWidth="1"/>
    <col min="2" max="10" width="9.1640625" style="94"/>
    <col min="11" max="20" width="8" style="94" customWidth="1"/>
    <col min="21" max="16384" width="9.1640625" style="94"/>
  </cols>
  <sheetData>
    <row r="1" spans="1:11" ht="15" customHeight="1" x14ac:dyDescent="0.15">
      <c r="A1" s="119" t="s">
        <v>473</v>
      </c>
    </row>
    <row r="2" spans="1:11" ht="15" customHeight="1" x14ac:dyDescent="0.15">
      <c r="A2" s="117"/>
      <c r="B2" s="117" t="s">
        <v>474</v>
      </c>
      <c r="C2" s="117" t="s">
        <v>475</v>
      </c>
      <c r="D2" s="117" t="s">
        <v>476</v>
      </c>
      <c r="E2" s="117" t="s">
        <v>477</v>
      </c>
      <c r="F2" s="117" t="s">
        <v>478</v>
      </c>
      <c r="G2" s="117" t="s">
        <v>479</v>
      </c>
      <c r="H2" s="117" t="s">
        <v>480</v>
      </c>
      <c r="I2" s="117" t="s">
        <v>481</v>
      </c>
      <c r="J2" s="117" t="s">
        <v>482</v>
      </c>
      <c r="K2" s="117" t="s">
        <v>483</v>
      </c>
    </row>
    <row r="3" spans="1:11" ht="15" customHeight="1" x14ac:dyDescent="0.15">
      <c r="A3" s="125" t="s">
        <v>484</v>
      </c>
      <c r="B3" s="110">
        <v>499.18099999999998</v>
      </c>
      <c r="C3" s="110">
        <v>569.31200000000001</v>
      </c>
      <c r="D3" s="110">
        <v>637.48699999999997</v>
      </c>
      <c r="E3" s="110">
        <v>669.197</v>
      </c>
      <c r="F3" s="110">
        <v>706.31899999999996</v>
      </c>
      <c r="G3" s="110">
        <v>881.30499999999995</v>
      </c>
      <c r="H3" s="110">
        <v>1237.654</v>
      </c>
      <c r="I3" s="110">
        <v>1361.1379999999999</v>
      </c>
      <c r="J3" s="110">
        <v>1148.21</v>
      </c>
      <c r="K3" s="110">
        <v>1185.4269999999999</v>
      </c>
    </row>
    <row r="4" spans="1:11" ht="15" customHeight="1" outlineLevel="1" x14ac:dyDescent="0.15">
      <c r="A4" s="123" t="s">
        <v>485</v>
      </c>
      <c r="B4" s="112">
        <v>165.67400000000001</v>
      </c>
      <c r="C4" s="112">
        <v>198.72900000000001</v>
      </c>
      <c r="D4" s="112">
        <v>225.09399999999999</v>
      </c>
      <c r="E4" s="112">
        <v>234.95599999999999</v>
      </c>
      <c r="F4" s="112">
        <v>244.16300000000001</v>
      </c>
      <c r="G4" s="112">
        <v>298.93200000000002</v>
      </c>
      <c r="H4" s="112">
        <v>455.58699999999999</v>
      </c>
      <c r="I4" s="112">
        <v>534.63199999999995</v>
      </c>
      <c r="J4" s="112">
        <v>479.12700000000001</v>
      </c>
      <c r="K4" s="112">
        <v>477.90899999999999</v>
      </c>
    </row>
    <row r="5" spans="1:11" ht="15" customHeight="1" outlineLevel="2" x14ac:dyDescent="0.15">
      <c r="A5" s="122" t="s">
        <v>486</v>
      </c>
      <c r="B5" s="101">
        <v>132.69</v>
      </c>
      <c r="C5" s="101">
        <v>154.02199999999999</v>
      </c>
      <c r="D5" s="101">
        <v>179.24299999999999</v>
      </c>
      <c r="E5" s="101">
        <v>189.58099999999999</v>
      </c>
      <c r="F5" s="101">
        <v>191.387</v>
      </c>
      <c r="G5" s="101">
        <v>240.119</v>
      </c>
      <c r="H5" s="101">
        <v>372.18099999999998</v>
      </c>
      <c r="I5" s="101">
        <v>415.28800000000001</v>
      </c>
      <c r="J5" s="101">
        <v>364.101</v>
      </c>
      <c r="K5" s="101">
        <v>348.86799999999999</v>
      </c>
    </row>
    <row r="6" spans="1:11" ht="15" customHeight="1" outlineLevel="2" x14ac:dyDescent="0.15">
      <c r="A6" s="120" t="s">
        <v>487</v>
      </c>
      <c r="B6" s="112">
        <v>32.984000000000002</v>
      </c>
      <c r="C6" s="112">
        <v>44.707000000000001</v>
      </c>
      <c r="D6" s="112">
        <v>45.850999999999999</v>
      </c>
      <c r="E6" s="112">
        <v>45.375</v>
      </c>
      <c r="F6" s="112">
        <v>52.776000000000003</v>
      </c>
      <c r="G6" s="112">
        <v>58.813000000000002</v>
      </c>
      <c r="H6" s="112">
        <v>83.406000000000006</v>
      </c>
      <c r="I6" s="112">
        <v>119.34399999999999</v>
      </c>
      <c r="J6" s="112">
        <v>115.026</v>
      </c>
      <c r="K6" s="112">
        <v>129.041</v>
      </c>
    </row>
    <row r="7" spans="1:11" ht="15" customHeight="1" outlineLevel="3" x14ac:dyDescent="0.15">
      <c r="A7" s="121" t="s">
        <v>488</v>
      </c>
      <c r="B7" s="101">
        <v>24.875</v>
      </c>
      <c r="C7" s="101">
        <v>27.140999999999998</v>
      </c>
      <c r="D7" s="101">
        <v>29.666</v>
      </c>
      <c r="E7" s="101">
        <v>28.530999999999999</v>
      </c>
      <c r="F7" s="101">
        <v>35.131999999999998</v>
      </c>
      <c r="G7" s="101">
        <v>33.558</v>
      </c>
      <c r="H7" s="101">
        <v>47.131</v>
      </c>
      <c r="I7" s="101">
        <v>60.404000000000003</v>
      </c>
      <c r="J7" s="101">
        <v>61.829000000000001</v>
      </c>
      <c r="K7" s="101">
        <v>53.871000000000002</v>
      </c>
    </row>
    <row r="8" spans="1:11" ht="15" customHeight="1" outlineLevel="3" x14ac:dyDescent="0.15">
      <c r="A8" s="121" t="s">
        <v>489</v>
      </c>
      <c r="B8" s="102">
        <v>8.109</v>
      </c>
      <c r="C8" s="102">
        <v>17.565999999999999</v>
      </c>
      <c r="D8" s="102">
        <v>16.184999999999999</v>
      </c>
      <c r="E8" s="102">
        <v>16.844000000000001</v>
      </c>
      <c r="F8" s="102">
        <v>17.643999999999998</v>
      </c>
      <c r="G8" s="102">
        <v>25.254999999999999</v>
      </c>
      <c r="H8" s="102">
        <v>36.274999999999999</v>
      </c>
      <c r="I8" s="102">
        <v>58.94</v>
      </c>
      <c r="J8" s="102">
        <v>53.197000000000003</v>
      </c>
      <c r="K8" s="102">
        <v>75.17</v>
      </c>
    </row>
    <row r="9" spans="1:11" ht="15" customHeight="1" x14ac:dyDescent="0.15">
      <c r="A9" s="113" t="s">
        <v>490</v>
      </c>
      <c r="B9" s="110">
        <v>333.50700000000001</v>
      </c>
      <c r="C9" s="110">
        <v>370.58300000000003</v>
      </c>
      <c r="D9" s="110">
        <v>412.39299999999997</v>
      </c>
      <c r="E9" s="110">
        <v>434.24099999999999</v>
      </c>
      <c r="F9" s="110">
        <v>462.15600000000001</v>
      </c>
      <c r="G9" s="110">
        <v>582.37300000000005</v>
      </c>
      <c r="H9" s="110">
        <v>782.06700000000001</v>
      </c>
      <c r="I9" s="110">
        <v>826.50599999999997</v>
      </c>
      <c r="J9" s="110">
        <v>669.08299999999997</v>
      </c>
      <c r="K9" s="110">
        <v>707.51800000000003</v>
      </c>
    </row>
    <row r="10" spans="1:11" ht="15" customHeight="1" outlineLevel="1" x14ac:dyDescent="0.15">
      <c r="A10" s="123" t="s">
        <v>491</v>
      </c>
      <c r="B10" s="112">
        <v>175.13399999999999</v>
      </c>
      <c r="C10" s="112">
        <v>189.56700000000001</v>
      </c>
      <c r="D10" s="112">
        <v>211.99700000000001</v>
      </c>
      <c r="E10" s="112">
        <v>223.828</v>
      </c>
      <c r="F10" s="112">
        <v>233.51599999999999</v>
      </c>
      <c r="G10" s="112">
        <v>247.62799999999999</v>
      </c>
      <c r="H10" s="112">
        <v>332.827</v>
      </c>
      <c r="I10" s="112">
        <v>438.59899999999999</v>
      </c>
      <c r="J10" s="112">
        <v>433.17500000000001</v>
      </c>
      <c r="K10" s="112">
        <v>426.76400000000001</v>
      </c>
    </row>
    <row r="11" spans="1:11" ht="15" customHeight="1" outlineLevel="2" x14ac:dyDescent="0.15">
      <c r="A11" s="122" t="s">
        <v>492</v>
      </c>
      <c r="B11" s="101">
        <v>23.888999999999999</v>
      </c>
      <c r="C11" s="101">
        <v>31.518999999999998</v>
      </c>
      <c r="D11" s="101">
        <v>41.999000000000002</v>
      </c>
      <c r="E11" s="101">
        <v>42.542000000000002</v>
      </c>
      <c r="F11" s="101">
        <v>45.616</v>
      </c>
      <c r="G11" s="101">
        <v>50.8</v>
      </c>
      <c r="H11" s="101">
        <v>63.384999999999998</v>
      </c>
      <c r="I11" s="101">
        <v>93.146000000000001</v>
      </c>
      <c r="J11" s="101">
        <v>89.71</v>
      </c>
      <c r="K11" s="101">
        <v>68.457999999999998</v>
      </c>
    </row>
    <row r="12" spans="1:11" ht="15" customHeight="1" outlineLevel="2" x14ac:dyDescent="0.15">
      <c r="A12" s="122" t="s">
        <v>493</v>
      </c>
      <c r="B12" s="102">
        <v>151.245</v>
      </c>
      <c r="C12" s="102">
        <v>158.048</v>
      </c>
      <c r="D12" s="102">
        <v>169.99799999999999</v>
      </c>
      <c r="E12" s="102">
        <v>181.286</v>
      </c>
      <c r="F12" s="102">
        <v>187.9</v>
      </c>
      <c r="G12" s="102">
        <v>196.828</v>
      </c>
      <c r="H12" s="102">
        <v>269.44200000000001</v>
      </c>
      <c r="I12" s="102">
        <v>345.45299999999997</v>
      </c>
      <c r="J12" s="102">
        <v>343.46499999999997</v>
      </c>
      <c r="K12" s="102">
        <v>358.30599999999998</v>
      </c>
    </row>
    <row r="13" spans="1:11" ht="15" customHeight="1" outlineLevel="1" x14ac:dyDescent="0.15">
      <c r="A13" s="99" t="s">
        <v>68</v>
      </c>
      <c r="B13" s="101">
        <v>2.008</v>
      </c>
      <c r="C13" s="101">
        <v>5.3369999999999997</v>
      </c>
      <c r="D13" s="101">
        <v>2.2080000000000002</v>
      </c>
      <c r="E13" s="101">
        <v>1.861</v>
      </c>
      <c r="F13" s="101">
        <v>2.3170000000000002</v>
      </c>
      <c r="G13" s="101">
        <v>1.667</v>
      </c>
      <c r="H13" s="101">
        <v>4.7069999999999999</v>
      </c>
      <c r="I13" s="101">
        <v>5.6909999999999998</v>
      </c>
      <c r="J13" s="101">
        <v>0.12</v>
      </c>
      <c r="K13" s="101">
        <v>3.1019999999999999</v>
      </c>
    </row>
    <row r="14" spans="1:11" ht="15" customHeight="1" x14ac:dyDescent="0.15">
      <c r="A14" s="100" t="s">
        <v>494</v>
      </c>
      <c r="B14" s="112">
        <v>156.36500000000001</v>
      </c>
      <c r="C14" s="112">
        <v>175.679</v>
      </c>
      <c r="D14" s="112">
        <v>198.18799999999999</v>
      </c>
      <c r="E14" s="112">
        <v>208.55199999999999</v>
      </c>
      <c r="F14" s="112">
        <v>226.32300000000001</v>
      </c>
      <c r="G14" s="112">
        <v>333.07799999999997</v>
      </c>
      <c r="H14" s="112">
        <v>444.53300000000002</v>
      </c>
      <c r="I14" s="112">
        <v>382.21600000000001</v>
      </c>
      <c r="J14" s="112">
        <v>235.78800000000001</v>
      </c>
      <c r="K14" s="112">
        <v>277.65199999999999</v>
      </c>
    </row>
    <row r="15" spans="1:11" ht="15" customHeight="1" outlineLevel="1" x14ac:dyDescent="0.15">
      <c r="A15" s="123" t="s">
        <v>495</v>
      </c>
      <c r="B15" s="110">
        <v>-1.4419999999999999</v>
      </c>
      <c r="C15" s="110">
        <v>1.603</v>
      </c>
      <c r="D15" s="110">
        <v>-2.923</v>
      </c>
      <c r="E15" s="110">
        <v>1.9830000000000001</v>
      </c>
      <c r="F15" s="110">
        <v>-1.3420000000000001</v>
      </c>
      <c r="G15" s="110">
        <v>-2.391</v>
      </c>
      <c r="H15" s="110">
        <v>-1.482</v>
      </c>
      <c r="I15" s="110">
        <v>-1.8240000000000001</v>
      </c>
      <c r="J15" s="110">
        <v>6.61</v>
      </c>
      <c r="K15" s="110">
        <v>-1.173</v>
      </c>
    </row>
    <row r="16" spans="1:11" ht="15" customHeight="1" outlineLevel="2" x14ac:dyDescent="0.15">
      <c r="A16" s="122" t="s">
        <v>496</v>
      </c>
      <c r="B16" s="126">
        <v>1.778</v>
      </c>
      <c r="C16" s="102">
        <v>1.071</v>
      </c>
      <c r="D16" s="102">
        <v>1.2230000000000001</v>
      </c>
      <c r="E16" s="102">
        <v>1.5149999999999999</v>
      </c>
      <c r="F16" s="102">
        <v>2.8330000000000002</v>
      </c>
      <c r="G16" s="102">
        <v>2.0049999999999999</v>
      </c>
      <c r="H16" s="102">
        <v>0.28399999999999997</v>
      </c>
      <c r="I16" s="102">
        <v>5.6079999999999997</v>
      </c>
      <c r="J16" s="102">
        <v>13.930999999999999</v>
      </c>
      <c r="K16" s="102">
        <v>12.923999999999999</v>
      </c>
    </row>
    <row r="17" spans="1:11" ht="15" customHeight="1" outlineLevel="2" x14ac:dyDescent="0.15">
      <c r="A17" s="122" t="s">
        <v>497</v>
      </c>
      <c r="B17" s="104">
        <v>-3.22</v>
      </c>
      <c r="C17" s="101">
        <v>0.53200000000000003</v>
      </c>
      <c r="D17" s="104">
        <v>-4.1459999999999999</v>
      </c>
      <c r="E17" s="101">
        <v>0.46800000000000003</v>
      </c>
      <c r="F17" s="104">
        <v>-4.1749999999999998</v>
      </c>
      <c r="G17" s="104">
        <v>-4.3959999999999999</v>
      </c>
      <c r="H17" s="104">
        <v>-1.766</v>
      </c>
      <c r="I17" s="104">
        <v>-7.4320000000000004</v>
      </c>
      <c r="J17" s="104">
        <v>-7.3209999999999997</v>
      </c>
      <c r="K17" s="104">
        <v>-14.097</v>
      </c>
    </row>
    <row r="18" spans="1:11" ht="15" customHeight="1" outlineLevel="1" x14ac:dyDescent="0.15">
      <c r="A18" s="123" t="s">
        <v>194</v>
      </c>
      <c r="B18" s="130">
        <v>2.282</v>
      </c>
      <c r="C18" s="112">
        <v>3.105</v>
      </c>
      <c r="D18" s="112">
        <v>4.133</v>
      </c>
      <c r="E18" s="112">
        <v>4.3179999999999996</v>
      </c>
      <c r="F18" s="112">
        <v>3.964</v>
      </c>
      <c r="G18" s="112">
        <v>3.4289999999999998</v>
      </c>
      <c r="H18" s="112">
        <v>21.814</v>
      </c>
      <c r="I18" s="112">
        <v>34.427</v>
      </c>
      <c r="J18" s="112">
        <v>29.367999999999999</v>
      </c>
      <c r="K18" s="112">
        <v>27.64</v>
      </c>
    </row>
    <row r="19" spans="1:11" ht="15" customHeight="1" outlineLevel="2" x14ac:dyDescent="0.15">
      <c r="A19" s="122" t="s">
        <v>498</v>
      </c>
      <c r="B19" s="126">
        <v>2.282</v>
      </c>
      <c r="C19" s="101">
        <v>3.105</v>
      </c>
      <c r="D19" s="101">
        <v>4.133</v>
      </c>
      <c r="E19" s="101">
        <v>4.3179999999999996</v>
      </c>
      <c r="F19" s="101">
        <v>3.964</v>
      </c>
      <c r="G19" s="101">
        <v>3.4289999999999998</v>
      </c>
      <c r="H19" s="101">
        <v>21.814</v>
      </c>
      <c r="I19" s="101">
        <v>34.427</v>
      </c>
      <c r="J19" s="101">
        <v>29.367999999999999</v>
      </c>
      <c r="K19" s="101">
        <v>27.64</v>
      </c>
    </row>
    <row r="20" spans="1:11" ht="15" customHeight="1" outlineLevel="1" x14ac:dyDescent="0.15">
      <c r="A20" s="123" t="s">
        <v>499</v>
      </c>
      <c r="B20" s="130">
        <v>2.1080000000000001</v>
      </c>
      <c r="C20" s="112">
        <v>5.4260000000000002</v>
      </c>
      <c r="D20" s="112">
        <v>12.022</v>
      </c>
      <c r="E20" s="112">
        <v>1.7090000000000001</v>
      </c>
      <c r="F20" s="112">
        <v>4.6150000000000002</v>
      </c>
      <c r="G20" s="112">
        <v>5.8849999999999998</v>
      </c>
      <c r="H20" s="112">
        <v>21.902000000000001</v>
      </c>
      <c r="I20" s="112">
        <v>20.024999999999999</v>
      </c>
      <c r="J20" s="112">
        <v>11.814</v>
      </c>
      <c r="K20" s="112">
        <v>6.391</v>
      </c>
    </row>
    <row r="21" spans="1:11" ht="15" customHeight="1" outlineLevel="2" x14ac:dyDescent="0.15">
      <c r="A21" s="120" t="s">
        <v>500</v>
      </c>
      <c r="B21" s="113"/>
      <c r="C21" s="113"/>
      <c r="D21" s="113"/>
      <c r="E21" s="113"/>
      <c r="F21" s="113"/>
      <c r="G21" s="110">
        <v>2.222</v>
      </c>
      <c r="H21" s="110">
        <v>0</v>
      </c>
      <c r="I21" s="110">
        <v>9.0389999999999997</v>
      </c>
      <c r="J21" s="110">
        <v>4.4039999999999999</v>
      </c>
      <c r="K21" s="110">
        <v>0</v>
      </c>
    </row>
    <row r="22" spans="1:11" ht="15" customHeight="1" outlineLevel="3" x14ac:dyDescent="0.15">
      <c r="A22" s="121" t="s">
        <v>501</v>
      </c>
      <c r="B22" s="108"/>
      <c r="C22" s="108"/>
      <c r="D22" s="102">
        <v>0</v>
      </c>
      <c r="E22" s="102">
        <v>0</v>
      </c>
      <c r="F22" s="102">
        <v>0</v>
      </c>
      <c r="G22" s="102">
        <v>0</v>
      </c>
      <c r="H22" s="102">
        <v>0</v>
      </c>
      <c r="I22" s="102">
        <v>9.0389999999999997</v>
      </c>
      <c r="J22" s="102">
        <v>4.4039999999999999</v>
      </c>
      <c r="K22" s="102">
        <v>0</v>
      </c>
    </row>
    <row r="23" spans="1:11" ht="15" customHeight="1" outlineLevel="3" x14ac:dyDescent="0.15">
      <c r="A23" s="121" t="s">
        <v>502</v>
      </c>
      <c r="B23" s="116"/>
      <c r="C23" s="116"/>
      <c r="D23" s="116"/>
      <c r="E23" s="116"/>
      <c r="F23" s="116"/>
      <c r="G23" s="101">
        <v>2.222</v>
      </c>
      <c r="H23" s="101">
        <v>0</v>
      </c>
      <c r="I23" s="116"/>
      <c r="J23" s="116"/>
      <c r="K23" s="116"/>
    </row>
    <row r="24" spans="1:11" ht="15" customHeight="1" outlineLevel="2" x14ac:dyDescent="0.15">
      <c r="A24" s="122" t="s">
        <v>503</v>
      </c>
      <c r="B24" s="102">
        <v>2.1080000000000001</v>
      </c>
      <c r="C24" s="102">
        <v>5.4260000000000002</v>
      </c>
      <c r="D24" s="102">
        <v>12.022</v>
      </c>
      <c r="E24" s="102">
        <v>0</v>
      </c>
      <c r="F24" s="102">
        <v>0</v>
      </c>
      <c r="G24" s="102">
        <v>0</v>
      </c>
      <c r="H24" s="102">
        <v>21.902000000000001</v>
      </c>
      <c r="I24" s="102">
        <v>15.023</v>
      </c>
      <c r="J24" s="102">
        <v>8.8469999999999995</v>
      </c>
      <c r="K24" s="102">
        <v>6.391</v>
      </c>
    </row>
    <row r="25" spans="1:11" ht="15" customHeight="1" outlineLevel="2" x14ac:dyDescent="0.15">
      <c r="A25" s="120" t="s">
        <v>504</v>
      </c>
      <c r="B25" s="113"/>
      <c r="C25" s="113"/>
      <c r="D25" s="113"/>
      <c r="E25" s="110">
        <v>2.4300000000000002</v>
      </c>
      <c r="F25" s="110">
        <v>0</v>
      </c>
      <c r="G25" s="113"/>
      <c r="H25" s="113"/>
      <c r="I25" s="110">
        <v>4.0369999999999999</v>
      </c>
      <c r="J25" s="110">
        <v>1.4370000000000001</v>
      </c>
      <c r="K25" s="113"/>
    </row>
    <row r="26" spans="1:11" ht="15" customHeight="1" outlineLevel="3" x14ac:dyDescent="0.15">
      <c r="A26" s="121" t="s">
        <v>505</v>
      </c>
      <c r="B26" s="108"/>
      <c r="C26" s="108"/>
      <c r="D26" s="108"/>
      <c r="E26" s="108"/>
      <c r="F26" s="108"/>
      <c r="G26" s="108"/>
      <c r="H26" s="108"/>
      <c r="I26" s="102">
        <v>4.0369999999999999</v>
      </c>
      <c r="J26" s="102">
        <v>1.4370000000000001</v>
      </c>
      <c r="K26" s="108"/>
    </row>
    <row r="27" spans="1:11" ht="15" customHeight="1" outlineLevel="3" x14ac:dyDescent="0.15">
      <c r="A27" s="121" t="s">
        <v>501</v>
      </c>
      <c r="B27" s="116"/>
      <c r="C27" s="116"/>
      <c r="D27" s="116"/>
      <c r="E27" s="101">
        <v>2.4300000000000002</v>
      </c>
      <c r="F27" s="101">
        <v>0</v>
      </c>
      <c r="G27" s="116"/>
      <c r="H27" s="116"/>
      <c r="I27" s="116"/>
      <c r="J27" s="116"/>
      <c r="K27" s="116"/>
    </row>
    <row r="28" spans="1:11" ht="15" customHeight="1" outlineLevel="2" x14ac:dyDescent="0.15">
      <c r="A28" s="120" t="s">
        <v>506</v>
      </c>
      <c r="B28" s="100"/>
      <c r="C28" s="100"/>
      <c r="D28" s="100"/>
      <c r="E28" s="112">
        <v>4.1390000000000002</v>
      </c>
      <c r="F28" s="112">
        <v>4.6150000000000002</v>
      </c>
      <c r="G28" s="112">
        <v>3.6629999999999998</v>
      </c>
      <c r="H28" s="100"/>
      <c r="I28" s="100"/>
      <c r="J28" s="100"/>
      <c r="K28" s="100"/>
    </row>
    <row r="29" spans="1:11" ht="15" customHeight="1" outlineLevel="3" x14ac:dyDescent="0.15">
      <c r="A29" s="121" t="s">
        <v>507</v>
      </c>
      <c r="B29" s="101">
        <v>2.1080000000000001</v>
      </c>
      <c r="C29" s="116"/>
      <c r="D29" s="116"/>
      <c r="E29" s="101">
        <v>4.1390000000000002</v>
      </c>
      <c r="F29" s="101">
        <v>4.6150000000000002</v>
      </c>
      <c r="G29" s="101">
        <v>3.6629999999999998</v>
      </c>
      <c r="H29" s="116"/>
      <c r="I29" s="116"/>
      <c r="J29" s="116"/>
      <c r="K29" s="116"/>
    </row>
    <row r="30" spans="1:11" ht="15" customHeight="1" x14ac:dyDescent="0.15">
      <c r="A30" s="100" t="s">
        <v>508</v>
      </c>
      <c r="B30" s="112">
        <v>150.53299999999999</v>
      </c>
      <c r="C30" s="112">
        <v>168.751</v>
      </c>
      <c r="D30" s="112">
        <v>179.11</v>
      </c>
      <c r="E30" s="112">
        <v>204.50800000000001</v>
      </c>
      <c r="F30" s="112">
        <v>216.40199999999999</v>
      </c>
      <c r="G30" s="112">
        <v>321.37299999999999</v>
      </c>
      <c r="H30" s="112">
        <v>399.33499999999998</v>
      </c>
      <c r="I30" s="112">
        <v>325.94</v>
      </c>
      <c r="J30" s="112">
        <v>201.21600000000001</v>
      </c>
      <c r="K30" s="112">
        <v>242.44800000000001</v>
      </c>
    </row>
    <row r="31" spans="1:11" ht="15" customHeight="1" outlineLevel="1" x14ac:dyDescent="0.15">
      <c r="A31" s="123" t="s">
        <v>90</v>
      </c>
      <c r="B31" s="110">
        <v>49.554000000000002</v>
      </c>
      <c r="C31" s="110">
        <v>55.578000000000003</v>
      </c>
      <c r="D31" s="110">
        <v>38.828000000000003</v>
      </c>
      <c r="E31" s="110">
        <v>46.234999999999999</v>
      </c>
      <c r="F31" s="110">
        <v>40.552</v>
      </c>
      <c r="G31" s="110">
        <v>73.076999999999998</v>
      </c>
      <c r="H31" s="110">
        <v>88.602999999999994</v>
      </c>
      <c r="I31" s="110">
        <v>85.83</v>
      </c>
      <c r="J31" s="110">
        <v>42.707999999999998</v>
      </c>
      <c r="K31" s="110">
        <v>55.390999999999998</v>
      </c>
    </row>
    <row r="32" spans="1:11" ht="15" customHeight="1" outlineLevel="2" x14ac:dyDescent="0.15">
      <c r="A32" s="122" t="s">
        <v>509</v>
      </c>
      <c r="B32" s="102">
        <v>50.462000000000003</v>
      </c>
      <c r="C32" s="102">
        <v>57.557000000000002</v>
      </c>
      <c r="D32" s="102">
        <v>37.575000000000003</v>
      </c>
      <c r="E32" s="102">
        <v>43.033999999999999</v>
      </c>
      <c r="F32" s="102">
        <v>48.856999999999999</v>
      </c>
      <c r="G32" s="102">
        <v>71.355000000000004</v>
      </c>
      <c r="H32" s="102">
        <v>90.200999999999993</v>
      </c>
      <c r="I32" s="102">
        <v>62.841999999999999</v>
      </c>
      <c r="J32" s="102">
        <v>55.695</v>
      </c>
      <c r="K32" s="102">
        <v>63.332000000000001</v>
      </c>
    </row>
    <row r="33" spans="1:11" ht="15" customHeight="1" outlineLevel="2" x14ac:dyDescent="0.15">
      <c r="A33" s="122" t="s">
        <v>510</v>
      </c>
      <c r="B33" s="104">
        <v>-0.90800000000000003</v>
      </c>
      <c r="C33" s="104">
        <v>-1.9790000000000001</v>
      </c>
      <c r="D33" s="101">
        <v>1.2529999999999999</v>
      </c>
      <c r="E33" s="101">
        <v>3.2010000000000001</v>
      </c>
      <c r="F33" s="104">
        <v>-8.3049999999999997</v>
      </c>
      <c r="G33" s="101">
        <v>1.722</v>
      </c>
      <c r="H33" s="104">
        <v>-1.5980000000000001</v>
      </c>
      <c r="I33" s="101">
        <v>22.988</v>
      </c>
      <c r="J33" s="104">
        <v>-12.987</v>
      </c>
      <c r="K33" s="104">
        <v>-7.9409999999999998</v>
      </c>
    </row>
    <row r="34" spans="1:11" ht="15" customHeight="1" outlineLevel="1" x14ac:dyDescent="0.15">
      <c r="A34" s="124" t="s">
        <v>511</v>
      </c>
      <c r="B34" s="107">
        <v>-0.43099999999999999</v>
      </c>
      <c r="C34" s="107">
        <v>-0.55500000000000005</v>
      </c>
      <c r="D34" s="107">
        <v>-0.40400000000000003</v>
      </c>
      <c r="E34" s="107">
        <v>-0.14299999999999999</v>
      </c>
      <c r="F34" s="107">
        <v>-0.115</v>
      </c>
      <c r="G34" s="108"/>
      <c r="H34" s="108"/>
      <c r="I34" s="108"/>
      <c r="J34" s="108"/>
      <c r="K34" s="102">
        <v>0</v>
      </c>
    </row>
    <row r="35" spans="1:11" ht="15" customHeight="1" x14ac:dyDescent="0.15">
      <c r="A35" s="113" t="s">
        <v>512</v>
      </c>
      <c r="B35" s="110">
        <v>100.548</v>
      </c>
      <c r="C35" s="110">
        <v>112.61799999999999</v>
      </c>
      <c r="D35" s="110">
        <v>139.87799999999999</v>
      </c>
      <c r="E35" s="110">
        <v>158.13</v>
      </c>
      <c r="F35" s="110">
        <v>175.73500000000001</v>
      </c>
      <c r="G35" s="110">
        <v>248.29599999999999</v>
      </c>
      <c r="H35" s="110">
        <v>310.73200000000003</v>
      </c>
      <c r="I35" s="110">
        <v>240.11</v>
      </c>
      <c r="J35" s="110">
        <v>158.50800000000001</v>
      </c>
      <c r="K35" s="110">
        <v>187.05699999999999</v>
      </c>
    </row>
    <row r="36" spans="1:11" ht="15" customHeight="1" outlineLevel="1" x14ac:dyDescent="0.15">
      <c r="A36" s="97" t="s">
        <v>99</v>
      </c>
      <c r="B36" s="102">
        <v>0.128</v>
      </c>
      <c r="C36" s="102">
        <v>0.23499999999999999</v>
      </c>
      <c r="D36" s="102">
        <v>0</v>
      </c>
      <c r="E36" s="102">
        <v>2E-3</v>
      </c>
      <c r="F36" s="102">
        <v>0</v>
      </c>
      <c r="G36" s="102">
        <v>0.42499999999999999</v>
      </c>
      <c r="H36" s="107">
        <v>-0.23599999999999999</v>
      </c>
      <c r="I36" s="107">
        <v>-0.79700000000000004</v>
      </c>
      <c r="J36" s="107">
        <v>-1.341</v>
      </c>
      <c r="K36" s="107">
        <v>-1.048</v>
      </c>
    </row>
    <row r="37" spans="1:11" ht="15" customHeight="1" x14ac:dyDescent="0.15">
      <c r="A37" s="113" t="s">
        <v>101</v>
      </c>
      <c r="B37" s="110">
        <v>100.42</v>
      </c>
      <c r="C37" s="110">
        <v>112.383</v>
      </c>
      <c r="D37" s="110">
        <v>139.87799999999999</v>
      </c>
      <c r="E37" s="110">
        <v>158.12799999999999</v>
      </c>
      <c r="F37" s="110">
        <v>175.73500000000001</v>
      </c>
      <c r="G37" s="110">
        <v>247.87100000000001</v>
      </c>
      <c r="H37" s="110">
        <v>310.96800000000002</v>
      </c>
      <c r="I37" s="110">
        <v>240.90700000000001</v>
      </c>
      <c r="J37" s="110">
        <v>159.84899999999999</v>
      </c>
      <c r="K37" s="110">
        <v>188.10499999999999</v>
      </c>
    </row>
    <row r="38" spans="1:11" ht="15" customHeight="1" outlineLevel="1" x14ac:dyDescent="0.15">
      <c r="A38" s="97" t="s">
        <v>513</v>
      </c>
      <c r="B38" s="102">
        <v>100.42</v>
      </c>
      <c r="C38" s="102">
        <v>112.383</v>
      </c>
      <c r="D38" s="102">
        <v>139.87799999999999</v>
      </c>
      <c r="E38" s="102">
        <v>158.12799999999999</v>
      </c>
      <c r="F38" s="102">
        <v>175.73500000000001</v>
      </c>
      <c r="G38" s="102">
        <v>247.87100000000001</v>
      </c>
      <c r="H38" s="102">
        <v>310.96800000000002</v>
      </c>
      <c r="I38" s="102">
        <v>240.90700000000001</v>
      </c>
      <c r="J38" s="102">
        <v>159.84899999999999</v>
      </c>
      <c r="K38" s="102">
        <v>188.10499999999999</v>
      </c>
    </row>
    <row r="39" spans="1:11" ht="15" customHeight="1" x14ac:dyDescent="0.15">
      <c r="A39" s="113" t="s">
        <v>514</v>
      </c>
      <c r="B39" s="113"/>
      <c r="C39" s="113"/>
      <c r="D39" s="113"/>
      <c r="E39" s="113"/>
      <c r="F39" s="113"/>
      <c r="G39" s="113"/>
      <c r="H39" s="113"/>
      <c r="I39" s="113"/>
      <c r="J39" s="113"/>
      <c r="K39" s="113"/>
    </row>
    <row r="40" spans="1:11" ht="15" customHeight="1" outlineLevel="1" x14ac:dyDescent="0.15">
      <c r="A40" s="97" t="s">
        <v>515</v>
      </c>
      <c r="B40" s="96">
        <v>1.856579</v>
      </c>
      <c r="C40" s="96">
        <v>2.108946</v>
      </c>
      <c r="D40" s="96">
        <v>2.6963699999999999</v>
      </c>
      <c r="E40" s="96">
        <v>2.8700299999999999</v>
      </c>
      <c r="F40" s="96">
        <v>3.2588249999999999</v>
      </c>
      <c r="G40" s="96">
        <v>4.5747879999999999</v>
      </c>
      <c r="H40" s="96">
        <v>5.6662319999999999</v>
      </c>
      <c r="I40" s="96">
        <v>4.3914730000000004</v>
      </c>
      <c r="J40" s="96">
        <v>3.0158040000000002</v>
      </c>
      <c r="K40" s="96">
        <v>3.4296730000000002</v>
      </c>
    </row>
    <row r="41" spans="1:11" ht="15" customHeight="1" outlineLevel="1" x14ac:dyDescent="0.15">
      <c r="A41" s="114" t="s">
        <v>516</v>
      </c>
      <c r="B41" s="115">
        <v>1.83</v>
      </c>
      <c r="C41" s="115">
        <v>2.0499999999999998</v>
      </c>
      <c r="D41" s="115">
        <v>2.54</v>
      </c>
      <c r="E41" s="115">
        <v>2.8485</v>
      </c>
      <c r="F41" s="115">
        <v>3.2120000000000002</v>
      </c>
      <c r="G41" s="115">
        <v>4.5266999999999999</v>
      </c>
      <c r="H41" s="115">
        <v>5.4443000000000001</v>
      </c>
      <c r="I41" s="115">
        <v>4.1715</v>
      </c>
      <c r="J41" s="115">
        <v>2.8675000000000002</v>
      </c>
      <c r="K41" s="115">
        <v>3.3668999999999998</v>
      </c>
    </row>
    <row r="42" spans="1:11" ht="15" customHeight="1" outlineLevel="2" x14ac:dyDescent="0.15">
      <c r="A42" s="103" t="s">
        <v>517</v>
      </c>
      <c r="B42" s="96">
        <v>54.883529000000003</v>
      </c>
      <c r="C42" s="96">
        <v>54.849893000000002</v>
      </c>
      <c r="D42" s="96">
        <v>54.997425</v>
      </c>
      <c r="E42" s="96">
        <v>55.513112999999997</v>
      </c>
      <c r="F42" s="96">
        <v>54.711843999999999</v>
      </c>
      <c r="G42" s="96">
        <v>54.757637000000003</v>
      </c>
      <c r="H42" s="96">
        <v>57.117998</v>
      </c>
      <c r="I42" s="96">
        <v>57.75085</v>
      </c>
      <c r="J42" s="96">
        <v>55.745935000000003</v>
      </c>
      <c r="K42" s="96">
        <v>55.868709000000003</v>
      </c>
    </row>
    <row r="43" spans="1:11" ht="15" customHeight="1" outlineLevel="2" x14ac:dyDescent="0.15">
      <c r="A43" s="105" t="s">
        <v>518</v>
      </c>
      <c r="B43" s="98">
        <v>54.978307000000001</v>
      </c>
      <c r="C43" s="98">
        <v>54.758307000000002</v>
      </c>
      <c r="D43" s="98">
        <v>55.3994</v>
      </c>
      <c r="E43" s="98">
        <v>54.657249999999998</v>
      </c>
      <c r="F43" s="98">
        <v>54.790655999999998</v>
      </c>
      <c r="G43" s="98">
        <v>54.722144999999998</v>
      </c>
      <c r="H43" s="98">
        <v>54.746257</v>
      </c>
      <c r="I43" s="98">
        <v>53.512884999999997</v>
      </c>
      <c r="J43" s="98">
        <v>53.359979000000003</v>
      </c>
      <c r="K43" s="98">
        <v>53.891959</v>
      </c>
    </row>
    <row r="44" spans="1:11" ht="15" customHeight="1" outlineLevel="1" x14ac:dyDescent="0.15">
      <c r="A44" s="111" t="s">
        <v>519</v>
      </c>
      <c r="B44" s="118">
        <v>1.83</v>
      </c>
      <c r="C44" s="118">
        <v>2.04</v>
      </c>
      <c r="D44" s="118">
        <v>2.54</v>
      </c>
      <c r="E44" s="118">
        <v>2.8485</v>
      </c>
      <c r="F44" s="118">
        <v>3.2</v>
      </c>
      <c r="G44" s="118">
        <v>4.5</v>
      </c>
      <c r="H44" s="118">
        <v>5.4</v>
      </c>
      <c r="I44" s="118">
        <v>4.1500000000000004</v>
      </c>
      <c r="J44" s="118">
        <v>2.8675000000000002</v>
      </c>
      <c r="K44" s="118">
        <v>3.35</v>
      </c>
    </row>
    <row r="45" spans="1:11" ht="15" customHeight="1" outlineLevel="2" x14ac:dyDescent="0.15">
      <c r="A45" s="105" t="s">
        <v>520</v>
      </c>
      <c r="B45" s="98">
        <v>54.883529000000003</v>
      </c>
      <c r="C45" s="98">
        <v>55.089706</v>
      </c>
      <c r="D45" s="98">
        <v>54.997425</v>
      </c>
      <c r="E45" s="98">
        <v>55.513112999999997</v>
      </c>
      <c r="F45" s="98">
        <v>54.917186999999998</v>
      </c>
      <c r="G45" s="98">
        <v>55.082444000000002</v>
      </c>
      <c r="H45" s="98">
        <v>57.586666999999998</v>
      </c>
      <c r="I45" s="98">
        <v>58.049880000000002</v>
      </c>
      <c r="J45" s="98">
        <v>55.745935000000003</v>
      </c>
      <c r="K45" s="98">
        <v>56.150745999999998</v>
      </c>
    </row>
    <row r="46" spans="1:11" ht="15" customHeight="1" outlineLevel="2" x14ac:dyDescent="0.15">
      <c r="A46" s="103" t="s">
        <v>518</v>
      </c>
      <c r="B46" s="96">
        <v>54.978307000000001</v>
      </c>
      <c r="C46" s="96">
        <v>54.758307000000002</v>
      </c>
      <c r="D46" s="96">
        <v>55.3994</v>
      </c>
      <c r="E46" s="96">
        <v>54.657249999999998</v>
      </c>
      <c r="F46" s="96">
        <v>54.790655999999998</v>
      </c>
      <c r="G46" s="96">
        <v>54.722144999999998</v>
      </c>
      <c r="H46" s="96">
        <v>54.746257</v>
      </c>
      <c r="I46" s="96">
        <v>53.512884999999997</v>
      </c>
      <c r="J46" s="96">
        <v>53.359979000000003</v>
      </c>
      <c r="K46" s="96">
        <v>53.891959</v>
      </c>
    </row>
    <row r="47" spans="1:11" ht="15" customHeight="1" outlineLevel="1" x14ac:dyDescent="0.15">
      <c r="A47" s="99" t="s">
        <v>521</v>
      </c>
      <c r="B47" s="98">
        <v>94.683999999999997</v>
      </c>
      <c r="C47" s="98">
        <v>62.331000000000003</v>
      </c>
      <c r="D47" s="98">
        <v>89.566000000000003</v>
      </c>
      <c r="E47" s="98">
        <v>89.311000000000007</v>
      </c>
      <c r="F47" s="98">
        <v>90.311000000000007</v>
      </c>
      <c r="G47" s="98">
        <v>91.637</v>
      </c>
      <c r="H47" s="98">
        <v>48.34</v>
      </c>
      <c r="I47" s="98">
        <v>90.290999999999997</v>
      </c>
      <c r="J47" s="98">
        <v>88.492000000000004</v>
      </c>
      <c r="K47" s="98">
        <v>89.394000000000005</v>
      </c>
    </row>
    <row r="48" spans="1:11" ht="15" customHeight="1" outlineLevel="1" x14ac:dyDescent="0.15">
      <c r="A48" s="111" t="s">
        <v>522</v>
      </c>
      <c r="B48" s="118">
        <v>0.65</v>
      </c>
      <c r="C48" s="118">
        <v>0.8</v>
      </c>
      <c r="D48" s="118">
        <v>0.85</v>
      </c>
      <c r="E48" s="118">
        <v>0.9</v>
      </c>
      <c r="F48" s="118">
        <v>0.95</v>
      </c>
      <c r="G48" s="118">
        <v>1</v>
      </c>
      <c r="H48" s="118">
        <v>1.05</v>
      </c>
      <c r="I48" s="118">
        <v>1.1000000000000001</v>
      </c>
      <c r="J48" s="118">
        <v>1.1499999999999999</v>
      </c>
      <c r="K48" s="118">
        <v>1.2</v>
      </c>
    </row>
    <row r="49" spans="1:11" ht="15" customHeight="1" outlineLevel="2" x14ac:dyDescent="0.15">
      <c r="A49" s="105" t="s">
        <v>523</v>
      </c>
      <c r="B49" s="98">
        <v>35.519126</v>
      </c>
      <c r="C49" s="98">
        <v>39.024389999999997</v>
      </c>
      <c r="D49" s="98">
        <v>33.464567000000002</v>
      </c>
      <c r="E49" s="98">
        <v>31.595576999999999</v>
      </c>
      <c r="F49" s="98">
        <v>29.576588000000001</v>
      </c>
      <c r="G49" s="98">
        <v>22.091148</v>
      </c>
      <c r="H49" s="98">
        <v>19.286225999999999</v>
      </c>
      <c r="I49" s="98">
        <v>26.369410999999999</v>
      </c>
      <c r="J49" s="98">
        <v>40.104621000000002</v>
      </c>
      <c r="K49" s="98">
        <v>35.641094000000002</v>
      </c>
    </row>
    <row r="50" spans="1:11" ht="15" customHeight="1" x14ac:dyDescent="0.15">
      <c r="A50" s="100" t="s">
        <v>435</v>
      </c>
      <c r="B50" s="100"/>
      <c r="C50" s="100"/>
      <c r="D50" s="100"/>
      <c r="E50" s="100"/>
      <c r="F50" s="100"/>
      <c r="G50" s="100"/>
      <c r="H50" s="100"/>
      <c r="I50" s="100"/>
      <c r="J50" s="100"/>
      <c r="K50" s="100"/>
    </row>
    <row r="51" spans="1:11" ht="15" customHeight="1" outlineLevel="1" x14ac:dyDescent="0.15">
      <c r="A51" s="114" t="s">
        <v>435</v>
      </c>
      <c r="B51" s="110">
        <v>189.34899999999999</v>
      </c>
      <c r="C51" s="110">
        <v>220.386</v>
      </c>
      <c r="D51" s="110">
        <v>244.03899999999999</v>
      </c>
      <c r="E51" s="110">
        <v>253.92699999999999</v>
      </c>
      <c r="F51" s="110">
        <v>279.09899999999999</v>
      </c>
      <c r="G51" s="110">
        <v>391.89100000000002</v>
      </c>
      <c r="H51" s="110">
        <v>527.93899999999996</v>
      </c>
      <c r="I51" s="110">
        <v>501.56</v>
      </c>
      <c r="J51" s="110">
        <v>350.81400000000002</v>
      </c>
      <c r="K51" s="110">
        <v>406.69299999999998</v>
      </c>
    </row>
    <row r="52" spans="1:11" ht="15" customHeight="1" outlineLevel="2" x14ac:dyDescent="0.15">
      <c r="A52" s="103" t="s">
        <v>442</v>
      </c>
      <c r="B52" s="102">
        <v>156.36500000000001</v>
      </c>
      <c r="C52" s="102">
        <v>175.679</v>
      </c>
      <c r="D52" s="102">
        <v>198.18799999999999</v>
      </c>
      <c r="E52" s="102">
        <v>208.55199999999999</v>
      </c>
      <c r="F52" s="102">
        <v>226.32300000000001</v>
      </c>
      <c r="G52" s="102">
        <v>333.07799999999997</v>
      </c>
      <c r="H52" s="102">
        <v>444.53300000000002</v>
      </c>
      <c r="I52" s="102">
        <v>382.21600000000001</v>
      </c>
      <c r="J52" s="102">
        <v>235.78800000000001</v>
      </c>
      <c r="K52" s="102">
        <v>277.65199999999999</v>
      </c>
    </row>
    <row r="53" spans="1:11" ht="15" customHeight="1" outlineLevel="2" x14ac:dyDescent="0.15">
      <c r="A53" s="105" t="s">
        <v>487</v>
      </c>
      <c r="B53" s="101">
        <v>32.984000000000002</v>
      </c>
      <c r="C53" s="101">
        <v>44.707000000000001</v>
      </c>
      <c r="D53" s="101">
        <v>45.850999999999999</v>
      </c>
      <c r="E53" s="101">
        <v>45.375</v>
      </c>
      <c r="F53" s="101">
        <v>52.776000000000003</v>
      </c>
      <c r="G53" s="101">
        <v>58.813000000000002</v>
      </c>
      <c r="H53" s="101">
        <v>83.406000000000006</v>
      </c>
      <c r="I53" s="101">
        <v>119.34399999999999</v>
      </c>
      <c r="J53" s="101">
        <v>115.026</v>
      </c>
      <c r="K53" s="101">
        <v>129.041</v>
      </c>
    </row>
    <row r="54" spans="1:11" ht="15" customHeight="1" x14ac:dyDescent="0.15">
      <c r="A54" s="95" t="s">
        <v>524</v>
      </c>
    </row>
    <row r="56" spans="1:11" ht="15" customHeight="1" x14ac:dyDescent="0.15">
      <c r="A56" s="117"/>
      <c r="B56" s="117" t="s">
        <v>474</v>
      </c>
      <c r="C56" s="117" t="s">
        <v>475</v>
      </c>
      <c r="D56" s="117" t="s">
        <v>476</v>
      </c>
      <c r="E56" s="117" t="s">
        <v>477</v>
      </c>
      <c r="F56" s="117" t="s">
        <v>478</v>
      </c>
      <c r="G56" s="117" t="s">
        <v>479</v>
      </c>
      <c r="H56" s="117" t="s">
        <v>480</v>
      </c>
      <c r="I56" s="117" t="s">
        <v>481</v>
      </c>
      <c r="J56" s="117" t="s">
        <v>482</v>
      </c>
      <c r="K56" s="117" t="s">
        <v>483</v>
      </c>
    </row>
    <row r="57" spans="1:11" ht="15" customHeight="1" x14ac:dyDescent="0.15">
      <c r="A57" s="113" t="s">
        <v>525</v>
      </c>
      <c r="B57" s="113"/>
      <c r="C57" s="113"/>
      <c r="D57" s="113"/>
      <c r="E57" s="113"/>
      <c r="F57" s="113"/>
      <c r="G57" s="113"/>
      <c r="H57" s="113"/>
      <c r="I57" s="113"/>
      <c r="J57" s="113"/>
      <c r="K57" s="113"/>
    </row>
    <row r="58" spans="1:11" ht="15" customHeight="1" x14ac:dyDescent="0.15">
      <c r="A58" s="123" t="s">
        <v>200</v>
      </c>
      <c r="B58" s="130">
        <v>270.35700000000003</v>
      </c>
      <c r="C58" s="110">
        <v>130.46799999999999</v>
      </c>
      <c r="D58" s="110">
        <v>173.31399999999999</v>
      </c>
      <c r="E58" s="110">
        <v>96.525000000000006</v>
      </c>
      <c r="F58" s="110">
        <v>202.14</v>
      </c>
      <c r="G58" s="110">
        <v>340.00700000000001</v>
      </c>
      <c r="H58" s="110">
        <v>403.02</v>
      </c>
      <c r="I58" s="110">
        <v>413.21800000000002</v>
      </c>
      <c r="J58" s="110">
        <v>403.38900000000001</v>
      </c>
      <c r="K58" s="110">
        <v>393.26799999999997</v>
      </c>
    </row>
    <row r="59" spans="1:11" ht="15" customHeight="1" x14ac:dyDescent="0.15">
      <c r="A59" s="122" t="s">
        <v>526</v>
      </c>
      <c r="B59" s="126">
        <v>212.178</v>
      </c>
      <c r="C59" s="101">
        <v>130.46799999999999</v>
      </c>
      <c r="D59" s="101">
        <v>159.34</v>
      </c>
      <c r="E59" s="101">
        <v>73.102999999999994</v>
      </c>
      <c r="F59" s="101">
        <v>157.55199999999999</v>
      </c>
      <c r="G59" s="101">
        <v>339.88099999999997</v>
      </c>
      <c r="H59" s="101">
        <v>403.02</v>
      </c>
      <c r="I59" s="101">
        <v>241.77600000000001</v>
      </c>
      <c r="J59" s="101">
        <v>280.31400000000002</v>
      </c>
      <c r="K59" s="101">
        <v>344.27</v>
      </c>
    </row>
    <row r="60" spans="1:11" ht="15" customHeight="1" x14ac:dyDescent="0.15">
      <c r="A60" s="122" t="s">
        <v>527</v>
      </c>
      <c r="B60" s="126">
        <v>58.179000000000002</v>
      </c>
      <c r="C60" s="101">
        <v>0</v>
      </c>
      <c r="D60" s="101">
        <v>13.974</v>
      </c>
      <c r="E60" s="101">
        <v>23.422000000000001</v>
      </c>
      <c r="F60" s="101">
        <v>44.588000000000001</v>
      </c>
      <c r="G60" s="101">
        <v>0.126</v>
      </c>
      <c r="H60" s="101">
        <v>0</v>
      </c>
      <c r="I60" s="101">
        <v>171.44200000000001</v>
      </c>
      <c r="J60" s="101">
        <v>123.075</v>
      </c>
      <c r="K60" s="101">
        <v>48.997999999999998</v>
      </c>
    </row>
    <row r="61" spans="1:11" ht="15" customHeight="1" x14ac:dyDescent="0.15">
      <c r="A61" s="114" t="s">
        <v>528</v>
      </c>
      <c r="B61" s="110">
        <v>105.60899999999999</v>
      </c>
      <c r="C61" s="110">
        <v>120.261</v>
      </c>
      <c r="D61" s="110">
        <v>147.24</v>
      </c>
      <c r="E61" s="110">
        <v>136.244</v>
      </c>
      <c r="F61" s="110">
        <v>140.5</v>
      </c>
      <c r="G61" s="110">
        <v>166.68700000000001</v>
      </c>
      <c r="H61" s="110">
        <v>226.249</v>
      </c>
      <c r="I61" s="110">
        <v>241.35300000000001</v>
      </c>
      <c r="J61" s="110">
        <v>228.71100000000001</v>
      </c>
      <c r="K61" s="110">
        <v>204.11099999999999</v>
      </c>
    </row>
    <row r="62" spans="1:11" ht="15" customHeight="1" x14ac:dyDescent="0.15">
      <c r="A62" s="120" t="s">
        <v>529</v>
      </c>
      <c r="B62" s="110">
        <v>105.60899999999999</v>
      </c>
      <c r="C62" s="110">
        <v>120.261</v>
      </c>
      <c r="D62" s="110">
        <v>128.822</v>
      </c>
      <c r="E62" s="110">
        <v>131.09200000000001</v>
      </c>
      <c r="F62" s="110">
        <v>132.51300000000001</v>
      </c>
      <c r="G62" s="110">
        <v>165.678</v>
      </c>
      <c r="H62" s="110">
        <v>217.58799999999999</v>
      </c>
      <c r="I62" s="110">
        <v>220.035</v>
      </c>
      <c r="J62" s="110">
        <v>198.56</v>
      </c>
      <c r="K62" s="110">
        <v>194.696</v>
      </c>
    </row>
    <row r="63" spans="1:11" ht="15" customHeight="1" x14ac:dyDescent="0.15">
      <c r="A63" s="121" t="s">
        <v>530</v>
      </c>
      <c r="B63" s="101">
        <v>115.43</v>
      </c>
      <c r="C63" s="101">
        <v>130.876</v>
      </c>
      <c r="D63" s="101">
        <v>138.43700000000001</v>
      </c>
      <c r="E63" s="101">
        <v>139.97399999999999</v>
      </c>
      <c r="F63" s="101">
        <v>141.13300000000001</v>
      </c>
      <c r="G63" s="101">
        <v>174.41499999999999</v>
      </c>
      <c r="H63" s="101">
        <v>229.55699999999999</v>
      </c>
      <c r="I63" s="101">
        <v>233.53899999999999</v>
      </c>
      <c r="J63" s="101">
        <v>209.80699999999999</v>
      </c>
      <c r="K63" s="101">
        <v>206.12200000000001</v>
      </c>
    </row>
    <row r="64" spans="1:11" ht="15" customHeight="1" x14ac:dyDescent="0.15">
      <c r="A64" s="121" t="s">
        <v>531</v>
      </c>
      <c r="B64" s="104">
        <v>-9.8209999999999997</v>
      </c>
      <c r="C64" s="104">
        <v>-10.615</v>
      </c>
      <c r="D64" s="104">
        <v>-9.6150000000000002</v>
      </c>
      <c r="E64" s="104">
        <v>-8.8819999999999997</v>
      </c>
      <c r="F64" s="104">
        <v>-8.6199999999999992</v>
      </c>
      <c r="G64" s="104">
        <v>-8.7370000000000001</v>
      </c>
      <c r="H64" s="104">
        <v>-11.968999999999999</v>
      </c>
      <c r="I64" s="104">
        <v>-13.504</v>
      </c>
      <c r="J64" s="104">
        <v>-11.247</v>
      </c>
      <c r="K64" s="104">
        <v>-11.426</v>
      </c>
    </row>
    <row r="65" spans="1:13" ht="15" customHeight="1" x14ac:dyDescent="0.15">
      <c r="A65" s="105" t="s">
        <v>532</v>
      </c>
      <c r="B65" s="101">
        <v>0</v>
      </c>
      <c r="C65" s="101">
        <v>0</v>
      </c>
      <c r="D65" s="101">
        <v>18.417999999999999</v>
      </c>
      <c r="E65" s="101">
        <v>5.1520000000000001</v>
      </c>
      <c r="F65" s="101">
        <v>7.9870000000000001</v>
      </c>
      <c r="G65" s="101">
        <v>1.0089999999999999</v>
      </c>
      <c r="H65" s="101">
        <v>8.6609999999999996</v>
      </c>
      <c r="I65" s="101">
        <v>21.318000000000001</v>
      </c>
      <c r="J65" s="101">
        <v>30.151</v>
      </c>
      <c r="K65" s="101">
        <v>9.4149999999999991</v>
      </c>
    </row>
    <row r="66" spans="1:13" ht="15" customHeight="1" x14ac:dyDescent="0.15">
      <c r="A66" s="123" t="s">
        <v>533</v>
      </c>
      <c r="B66" s="130">
        <v>106.193</v>
      </c>
      <c r="C66" s="110">
        <v>128.87</v>
      </c>
      <c r="D66" s="110">
        <v>142.80199999999999</v>
      </c>
      <c r="E66" s="110">
        <v>160.39599999999999</v>
      </c>
      <c r="F66" s="110">
        <v>171.12700000000001</v>
      </c>
      <c r="G66" s="110">
        <v>191.23400000000001</v>
      </c>
      <c r="H66" s="110">
        <v>298.04899999999998</v>
      </c>
      <c r="I66" s="110">
        <v>306.50299999999999</v>
      </c>
      <c r="J66" s="110">
        <v>315.5</v>
      </c>
      <c r="K66" s="110">
        <v>344.04300000000001</v>
      </c>
    </row>
    <row r="67" spans="1:13" ht="15" customHeight="1" x14ac:dyDescent="0.15">
      <c r="A67" s="122" t="s">
        <v>534</v>
      </c>
      <c r="B67" s="126">
        <v>35.988</v>
      </c>
      <c r="C67" s="101">
        <v>49.280999999999999</v>
      </c>
      <c r="D67" s="101">
        <v>57.134999999999998</v>
      </c>
      <c r="E67" s="101">
        <v>66.975999999999999</v>
      </c>
      <c r="F67" s="101">
        <v>71.457999999999998</v>
      </c>
      <c r="G67" s="101">
        <v>71.275999999999996</v>
      </c>
      <c r="H67" s="101">
        <v>73.010999999999996</v>
      </c>
      <c r="I67" s="101">
        <v>95.040999999999997</v>
      </c>
      <c r="J67" s="101">
        <v>103.19</v>
      </c>
      <c r="K67" s="101">
        <v>103.69199999999999</v>
      </c>
    </row>
    <row r="68" spans="1:13" ht="15" customHeight="1" x14ac:dyDescent="0.15">
      <c r="A68" s="122" t="s">
        <v>535</v>
      </c>
      <c r="B68" s="126">
        <v>37.664000000000001</v>
      </c>
      <c r="C68" s="101">
        <v>42.28</v>
      </c>
      <c r="D68" s="101">
        <v>45.335000000000001</v>
      </c>
      <c r="E68" s="101">
        <v>47.387</v>
      </c>
      <c r="F68" s="101">
        <v>49.904000000000003</v>
      </c>
      <c r="G68" s="101">
        <v>52.472000000000001</v>
      </c>
      <c r="H68" s="101">
        <v>75.605999999999995</v>
      </c>
      <c r="I68" s="101">
        <v>74.840999999999994</v>
      </c>
      <c r="J68" s="101">
        <v>76.393000000000001</v>
      </c>
      <c r="K68" s="101">
        <v>82.338999999999999</v>
      </c>
    </row>
    <row r="69" spans="1:13" ht="15" customHeight="1" x14ac:dyDescent="0.15">
      <c r="A69" s="122" t="s">
        <v>536</v>
      </c>
      <c r="B69" s="126">
        <v>32.540999999999997</v>
      </c>
      <c r="C69" s="101">
        <v>37.308999999999997</v>
      </c>
      <c r="D69" s="101">
        <v>40.332000000000001</v>
      </c>
      <c r="E69" s="101">
        <v>46.033000000000001</v>
      </c>
      <c r="F69" s="101">
        <v>49.765000000000001</v>
      </c>
      <c r="G69" s="101">
        <v>67.486000000000004</v>
      </c>
      <c r="H69" s="101">
        <v>149.43199999999999</v>
      </c>
      <c r="I69" s="101">
        <v>136.62100000000001</v>
      </c>
      <c r="J69" s="101">
        <v>135.917</v>
      </c>
      <c r="K69" s="101">
        <v>158.012</v>
      </c>
    </row>
    <row r="70" spans="1:13" ht="15" customHeight="1" x14ac:dyDescent="0.15">
      <c r="A70" s="122" t="s">
        <v>217</v>
      </c>
      <c r="B70" s="130">
        <v>12.173</v>
      </c>
      <c r="C70" s="110">
        <v>15.784000000000001</v>
      </c>
      <c r="D70" s="110">
        <v>17.885000000000002</v>
      </c>
      <c r="E70" s="110">
        <v>21.695</v>
      </c>
      <c r="F70" s="110">
        <v>16.994</v>
      </c>
      <c r="G70" s="110">
        <v>15.989000000000001</v>
      </c>
      <c r="H70" s="110">
        <v>30.972999999999999</v>
      </c>
      <c r="I70" s="110">
        <v>67.866</v>
      </c>
      <c r="J70" s="110">
        <v>35.091999999999999</v>
      </c>
      <c r="K70" s="110">
        <v>25.759</v>
      </c>
    </row>
    <row r="71" spans="1:13" ht="15" customHeight="1" x14ac:dyDescent="0.15">
      <c r="A71" s="105" t="s">
        <v>537</v>
      </c>
      <c r="B71" s="116"/>
      <c r="C71" s="116"/>
      <c r="D71" s="101">
        <v>3.2229999999999999</v>
      </c>
      <c r="E71" s="101">
        <v>3.86</v>
      </c>
      <c r="F71" s="116"/>
      <c r="G71" s="116"/>
      <c r="H71" s="116"/>
      <c r="I71" s="101">
        <v>10.958</v>
      </c>
      <c r="J71" s="116"/>
      <c r="K71" s="116"/>
    </row>
    <row r="72" spans="1:13" ht="15" customHeight="1" x14ac:dyDescent="0.15">
      <c r="A72" s="105" t="s">
        <v>538</v>
      </c>
      <c r="B72" s="101">
        <v>12.173</v>
      </c>
      <c r="C72" s="101">
        <v>15.784000000000001</v>
      </c>
      <c r="D72" s="101">
        <v>14.662000000000001</v>
      </c>
      <c r="E72" s="101">
        <v>17.835000000000001</v>
      </c>
      <c r="F72" s="101">
        <v>16.994</v>
      </c>
      <c r="G72" s="101">
        <v>15.989000000000001</v>
      </c>
      <c r="H72" s="101">
        <v>30.972999999999999</v>
      </c>
      <c r="I72" s="101">
        <v>56.908000000000001</v>
      </c>
      <c r="J72" s="101">
        <v>35.091999999999999</v>
      </c>
      <c r="K72" s="101">
        <v>25.759</v>
      </c>
    </row>
    <row r="73" spans="1:13" ht="15" customHeight="1" x14ac:dyDescent="0.15">
      <c r="A73" s="105" t="s">
        <v>218</v>
      </c>
      <c r="B73" s="101">
        <v>494.33199999999999</v>
      </c>
      <c r="C73" s="101">
        <v>395.38299999999998</v>
      </c>
      <c r="D73" s="101">
        <v>481.24099999999999</v>
      </c>
      <c r="E73" s="101">
        <v>414.86</v>
      </c>
      <c r="F73" s="101">
        <v>530.76099999999997</v>
      </c>
      <c r="G73" s="101">
        <v>713.91700000000003</v>
      </c>
      <c r="H73" s="101">
        <v>958.29100000000005</v>
      </c>
      <c r="I73" s="101">
        <v>1028.94</v>
      </c>
      <c r="J73" s="101">
        <v>982.69200000000001</v>
      </c>
      <c r="K73" s="101">
        <v>967.18100000000004</v>
      </c>
    </row>
    <row r="74" spans="1:13" ht="15" customHeight="1" x14ac:dyDescent="0.15">
      <c r="A74" s="114" t="s">
        <v>539</v>
      </c>
      <c r="B74" s="110">
        <v>74.492999999999995</v>
      </c>
      <c r="C74" s="110">
        <v>92.134</v>
      </c>
      <c r="D74" s="110">
        <v>92.331999999999994</v>
      </c>
      <c r="E74" s="110">
        <v>94.980999999999995</v>
      </c>
      <c r="F74" s="110">
        <v>128.38499999999999</v>
      </c>
      <c r="G74" s="110">
        <v>140.49700000000001</v>
      </c>
      <c r="H74" s="110">
        <v>276.197</v>
      </c>
      <c r="I74" s="110">
        <v>268.44799999999998</v>
      </c>
      <c r="J74" s="110">
        <v>256.286</v>
      </c>
      <c r="K74" s="110">
        <v>271.35899999999998</v>
      </c>
    </row>
    <row r="75" spans="1:13" ht="15" customHeight="1" x14ac:dyDescent="0.15">
      <c r="A75" s="128" t="s">
        <v>540</v>
      </c>
      <c r="B75" s="110">
        <v>227.35599999999999</v>
      </c>
      <c r="C75" s="110">
        <v>258.77600000000001</v>
      </c>
      <c r="D75" s="110">
        <v>268.04399999999998</v>
      </c>
      <c r="E75" s="110">
        <v>281.65699999999998</v>
      </c>
      <c r="F75" s="110">
        <v>330.774</v>
      </c>
      <c r="G75" s="110">
        <v>347.88400000000001</v>
      </c>
      <c r="H75" s="110">
        <v>524.31299999999999</v>
      </c>
      <c r="I75" s="110">
        <v>555.26900000000001</v>
      </c>
      <c r="J75" s="110">
        <v>598.45899999999995</v>
      </c>
      <c r="K75" s="110">
        <v>644.85299999999995</v>
      </c>
    </row>
    <row r="76" spans="1:13" ht="15" customHeight="1" x14ac:dyDescent="0.15">
      <c r="A76" s="106" t="s">
        <v>541</v>
      </c>
      <c r="B76" s="101">
        <v>20.024000000000001</v>
      </c>
      <c r="C76" s="101">
        <v>20.597000000000001</v>
      </c>
      <c r="D76" s="101">
        <v>22.221</v>
      </c>
      <c r="E76" s="101">
        <v>23.635000000000002</v>
      </c>
      <c r="F76" s="101">
        <v>25.565000000000001</v>
      </c>
      <c r="G76" s="101">
        <v>27.635000000000002</v>
      </c>
      <c r="H76" s="101">
        <v>35.555</v>
      </c>
      <c r="I76" s="101">
        <v>42.631999999999998</v>
      </c>
      <c r="J76" s="101">
        <v>47.594000000000001</v>
      </c>
      <c r="K76" s="101">
        <v>58.713999999999999</v>
      </c>
    </row>
    <row r="77" spans="1:13" ht="15" customHeight="1" x14ac:dyDescent="0.15">
      <c r="A77" s="106" t="s">
        <v>542</v>
      </c>
      <c r="B77" s="101">
        <v>2.375</v>
      </c>
      <c r="C77" s="101">
        <v>2.3849999999999998</v>
      </c>
      <c r="D77" s="101">
        <v>2.3479999999999999</v>
      </c>
      <c r="E77" s="101">
        <v>2.3610000000000002</v>
      </c>
      <c r="F77" s="101">
        <v>2.3660000000000001</v>
      </c>
      <c r="G77" s="101">
        <v>2.3420000000000001</v>
      </c>
      <c r="H77" s="101">
        <v>4.9820000000000002</v>
      </c>
      <c r="I77" s="101">
        <v>5.1609999999999996</v>
      </c>
      <c r="J77" s="101">
        <v>5.0529999999999999</v>
      </c>
      <c r="K77" s="101">
        <v>5.242</v>
      </c>
      <c r="M77" s="127">
        <f>SUM(B76:B82)</f>
        <v>227.35600000000002</v>
      </c>
    </row>
    <row r="78" spans="1:13" ht="15" customHeight="1" x14ac:dyDescent="0.15">
      <c r="A78" s="106" t="s">
        <v>543</v>
      </c>
      <c r="B78" s="101">
        <v>183.54400000000001</v>
      </c>
      <c r="C78" s="101">
        <v>204.65199999999999</v>
      </c>
      <c r="D78" s="101">
        <v>206.16499999999999</v>
      </c>
      <c r="E78" s="101">
        <v>216.178</v>
      </c>
      <c r="F78" s="101">
        <v>225.51400000000001</v>
      </c>
      <c r="G78" s="101">
        <v>228.69900000000001</v>
      </c>
      <c r="H78" s="101">
        <v>301.065</v>
      </c>
      <c r="I78" s="101">
        <v>318.49700000000001</v>
      </c>
      <c r="J78" s="101">
        <v>337.36599999999999</v>
      </c>
      <c r="K78" s="101">
        <v>351.79</v>
      </c>
    </row>
    <row r="79" spans="1:13" ht="15" customHeight="1" x14ac:dyDescent="0.15">
      <c r="A79" s="106" t="s">
        <v>544</v>
      </c>
      <c r="B79" s="101">
        <v>3.9180000000000001</v>
      </c>
      <c r="C79" s="101">
        <v>7.069</v>
      </c>
      <c r="D79" s="101">
        <v>12.756</v>
      </c>
      <c r="E79" s="101">
        <v>10.353</v>
      </c>
      <c r="F79" s="101">
        <v>14.301</v>
      </c>
      <c r="G79" s="101">
        <v>15.656000000000001</v>
      </c>
      <c r="H79" s="101">
        <v>27.606999999999999</v>
      </c>
      <c r="I79" s="101">
        <v>34.381999999999998</v>
      </c>
      <c r="J79" s="101">
        <v>30.164999999999999</v>
      </c>
      <c r="K79" s="101">
        <v>33.935000000000002</v>
      </c>
    </row>
    <row r="80" spans="1:13" ht="15" customHeight="1" x14ac:dyDescent="0.15">
      <c r="A80" s="106" t="s">
        <v>545</v>
      </c>
      <c r="B80" s="116"/>
      <c r="C80" s="116"/>
      <c r="D80" s="116"/>
      <c r="E80" s="116"/>
      <c r="F80" s="101">
        <v>34.042999999999999</v>
      </c>
      <c r="G80" s="101">
        <v>43.654000000000003</v>
      </c>
      <c r="H80" s="101">
        <v>90.447999999999993</v>
      </c>
      <c r="I80" s="101">
        <v>82.32</v>
      </c>
      <c r="J80" s="101">
        <v>97.850999999999999</v>
      </c>
      <c r="K80" s="101">
        <v>101.858</v>
      </c>
    </row>
    <row r="81" spans="1:11" ht="15" customHeight="1" x14ac:dyDescent="0.15">
      <c r="A81" s="106" t="s">
        <v>546</v>
      </c>
      <c r="B81" s="101">
        <v>17.495000000000001</v>
      </c>
      <c r="C81" s="101">
        <v>24.073</v>
      </c>
      <c r="D81" s="101">
        <v>24.553999999999998</v>
      </c>
      <c r="E81" s="101">
        <v>29.13</v>
      </c>
      <c r="F81" s="101">
        <v>28.984999999999999</v>
      </c>
      <c r="G81" s="101">
        <v>29.898</v>
      </c>
      <c r="H81" s="101">
        <v>64.656000000000006</v>
      </c>
      <c r="I81" s="101">
        <v>72.277000000000001</v>
      </c>
      <c r="J81" s="101">
        <v>80.430000000000007</v>
      </c>
      <c r="K81" s="101">
        <v>93.313999999999993</v>
      </c>
    </row>
    <row r="82" spans="1:11" ht="15" customHeight="1" x14ac:dyDescent="0.15">
      <c r="A82" s="106" t="s">
        <v>547</v>
      </c>
      <c r="B82" s="116"/>
      <c r="C82" s="116"/>
      <c r="D82" s="116"/>
      <c r="E82" s="116"/>
      <c r="F82" s="101">
        <v>28.63</v>
      </c>
      <c r="G82" s="101">
        <v>33.36</v>
      </c>
      <c r="H82" s="101">
        <v>72.584000000000003</v>
      </c>
      <c r="I82" s="101">
        <v>62.851999999999997</v>
      </c>
      <c r="J82" s="101">
        <v>67.016999999999996</v>
      </c>
      <c r="K82" s="101">
        <v>69.307000000000002</v>
      </c>
    </row>
    <row r="83" spans="1:11" ht="15" customHeight="1" x14ac:dyDescent="0.15">
      <c r="A83" s="128" t="s">
        <v>548</v>
      </c>
      <c r="B83" s="110">
        <v>152.863</v>
      </c>
      <c r="C83" s="110">
        <v>166.642</v>
      </c>
      <c r="D83" s="110">
        <v>175.71199999999999</v>
      </c>
      <c r="E83" s="110">
        <v>186.67599999999999</v>
      </c>
      <c r="F83" s="110">
        <v>202.38900000000001</v>
      </c>
      <c r="G83" s="110">
        <v>207.387</v>
      </c>
      <c r="H83" s="110">
        <v>248.11600000000001</v>
      </c>
      <c r="I83" s="110">
        <v>286.82100000000003</v>
      </c>
      <c r="J83" s="110">
        <v>342.173</v>
      </c>
      <c r="K83" s="110">
        <v>373.49400000000003</v>
      </c>
    </row>
    <row r="84" spans="1:11" ht="15" customHeight="1" x14ac:dyDescent="0.15">
      <c r="A84" s="106" t="s">
        <v>541</v>
      </c>
      <c r="B84" s="101">
        <v>15.487</v>
      </c>
      <c r="C84" s="101">
        <v>16.206</v>
      </c>
      <c r="D84" s="101">
        <v>15.972</v>
      </c>
      <c r="E84" s="101">
        <v>16.776</v>
      </c>
      <c r="F84" s="101">
        <v>17.02</v>
      </c>
      <c r="G84" s="101">
        <v>17.335999999999999</v>
      </c>
      <c r="H84" s="101">
        <v>18.937999999999999</v>
      </c>
      <c r="I84" s="101">
        <v>20.756</v>
      </c>
      <c r="J84" s="101">
        <v>22.006</v>
      </c>
      <c r="K84" s="101">
        <v>24.943000000000001</v>
      </c>
    </row>
    <row r="85" spans="1:11" ht="15" customHeight="1" x14ac:dyDescent="0.15">
      <c r="A85" s="106" t="s">
        <v>543</v>
      </c>
      <c r="B85" s="101">
        <v>126.919</v>
      </c>
      <c r="C85" s="101">
        <v>138.72800000000001</v>
      </c>
      <c r="D85" s="101">
        <v>144.57</v>
      </c>
      <c r="E85" s="101">
        <v>152.815</v>
      </c>
      <c r="F85" s="101">
        <v>163.435</v>
      </c>
      <c r="G85" s="101">
        <v>161.72300000000001</v>
      </c>
      <c r="H85" s="101">
        <v>187.095</v>
      </c>
      <c r="I85" s="101">
        <v>213.691</v>
      </c>
      <c r="J85" s="101">
        <v>251.821</v>
      </c>
      <c r="K85" s="101">
        <v>270.529</v>
      </c>
    </row>
    <row r="86" spans="1:11" ht="15" customHeight="1" x14ac:dyDescent="0.15">
      <c r="A86" s="106" t="s">
        <v>545</v>
      </c>
      <c r="B86" s="116"/>
      <c r="C86" s="116"/>
      <c r="D86" s="116"/>
      <c r="E86" s="116"/>
      <c r="F86" s="101">
        <v>5.4130000000000003</v>
      </c>
      <c r="G86" s="101">
        <v>10.294</v>
      </c>
      <c r="H86" s="101">
        <v>17.864000000000001</v>
      </c>
      <c r="I86" s="101">
        <v>19.468</v>
      </c>
      <c r="J86" s="101">
        <v>30.834</v>
      </c>
      <c r="K86" s="101">
        <v>32.551000000000002</v>
      </c>
    </row>
    <row r="87" spans="1:11" ht="15" customHeight="1" x14ac:dyDescent="0.15">
      <c r="A87" s="106" t="s">
        <v>546</v>
      </c>
      <c r="B87" s="101">
        <v>10.457000000000001</v>
      </c>
      <c r="C87" s="101">
        <v>11.708</v>
      </c>
      <c r="D87" s="101">
        <v>15.17</v>
      </c>
      <c r="E87" s="101">
        <v>17.085000000000001</v>
      </c>
      <c r="F87" s="101">
        <v>16.521000000000001</v>
      </c>
      <c r="G87" s="101">
        <v>18.033999999999999</v>
      </c>
      <c r="H87" s="101">
        <v>24.219000000000001</v>
      </c>
      <c r="I87" s="101">
        <v>32.905999999999999</v>
      </c>
      <c r="J87" s="101">
        <v>37.512</v>
      </c>
      <c r="K87" s="101">
        <v>45.470999999999997</v>
      </c>
    </row>
    <row r="88" spans="1:11" ht="15" customHeight="1" x14ac:dyDescent="0.15">
      <c r="A88" s="114" t="s">
        <v>549</v>
      </c>
      <c r="B88" s="110">
        <v>0.219</v>
      </c>
      <c r="C88" s="110">
        <v>2.7E-2</v>
      </c>
      <c r="D88" s="110">
        <v>2.7E-2</v>
      </c>
      <c r="E88" s="110">
        <v>2.7E-2</v>
      </c>
      <c r="F88" s="110">
        <v>2.7E-2</v>
      </c>
      <c r="G88" s="110">
        <v>2.5999999999999999E-2</v>
      </c>
      <c r="H88" s="110">
        <v>10.742000000000001</v>
      </c>
      <c r="I88" s="110">
        <v>32.182000000000002</v>
      </c>
      <c r="J88" s="110">
        <v>12.917</v>
      </c>
      <c r="K88" s="110">
        <v>3.589</v>
      </c>
    </row>
    <row r="89" spans="1:11" ht="15" customHeight="1" x14ac:dyDescent="0.15">
      <c r="A89" s="105" t="s">
        <v>550</v>
      </c>
      <c r="B89" s="101">
        <v>0.219</v>
      </c>
      <c r="C89" s="101">
        <v>2.7E-2</v>
      </c>
      <c r="D89" s="101">
        <v>2.7E-2</v>
      </c>
      <c r="E89" s="101">
        <v>2.7E-2</v>
      </c>
      <c r="F89" s="101">
        <v>2.7E-2</v>
      </c>
      <c r="G89" s="101">
        <v>2.5999999999999999E-2</v>
      </c>
      <c r="H89" s="101">
        <v>2.5999999999999999E-2</v>
      </c>
      <c r="I89" s="101">
        <v>2.5999999999999999E-2</v>
      </c>
      <c r="J89" s="101">
        <v>2.5999999999999999E-2</v>
      </c>
      <c r="K89" s="101">
        <v>2.5999999999999999E-2</v>
      </c>
    </row>
    <row r="90" spans="1:11" ht="15" customHeight="1" x14ac:dyDescent="0.15">
      <c r="A90" s="105" t="s">
        <v>551</v>
      </c>
      <c r="B90" s="101">
        <v>0</v>
      </c>
      <c r="C90" s="101">
        <v>0</v>
      </c>
      <c r="D90" s="101">
        <v>0</v>
      </c>
      <c r="E90" s="101">
        <v>0</v>
      </c>
      <c r="F90" s="101">
        <v>0</v>
      </c>
      <c r="G90" s="101">
        <v>0</v>
      </c>
      <c r="H90" s="101">
        <v>10.715999999999999</v>
      </c>
      <c r="I90" s="101">
        <v>32.155999999999999</v>
      </c>
      <c r="J90" s="101">
        <v>12.891</v>
      </c>
      <c r="K90" s="101">
        <v>3.5630000000000002</v>
      </c>
    </row>
    <row r="91" spans="1:11" ht="15" customHeight="1" x14ac:dyDescent="0.15">
      <c r="A91" s="114" t="s">
        <v>552</v>
      </c>
      <c r="B91" s="110">
        <v>117.90600000000001</v>
      </c>
      <c r="C91" s="110">
        <v>357.08600000000001</v>
      </c>
      <c r="D91" s="110">
        <v>344.35</v>
      </c>
      <c r="E91" s="110">
        <v>373.084</v>
      </c>
      <c r="F91" s="110">
        <v>370.279</v>
      </c>
      <c r="G91" s="110">
        <v>356.73700000000002</v>
      </c>
      <c r="H91" s="110">
        <v>1943.3689999999999</v>
      </c>
      <c r="I91" s="110">
        <v>1995.0630000000001</v>
      </c>
      <c r="J91" s="110">
        <v>1924.97</v>
      </c>
      <c r="K91" s="110">
        <v>2028.4860000000001</v>
      </c>
    </row>
    <row r="92" spans="1:11" ht="15" customHeight="1" x14ac:dyDescent="0.15">
      <c r="A92" s="105" t="s">
        <v>553</v>
      </c>
      <c r="B92" s="101">
        <v>68.501999999999995</v>
      </c>
      <c r="C92" s="101">
        <v>163.20400000000001</v>
      </c>
      <c r="D92" s="101">
        <v>150.744</v>
      </c>
      <c r="E92" s="101">
        <v>162.61600000000001</v>
      </c>
      <c r="F92" s="101">
        <v>164.68100000000001</v>
      </c>
      <c r="G92" s="101">
        <v>154.774</v>
      </c>
      <c r="H92" s="101">
        <v>789.63099999999997</v>
      </c>
      <c r="I92" s="101">
        <v>826.35199999999998</v>
      </c>
      <c r="J92" s="101">
        <v>799.36500000000001</v>
      </c>
      <c r="K92" s="101">
        <v>846.86</v>
      </c>
    </row>
    <row r="93" spans="1:11" ht="15" customHeight="1" x14ac:dyDescent="0.15">
      <c r="A93" s="105" t="s">
        <v>554</v>
      </c>
      <c r="B93" s="101">
        <v>49.404000000000003</v>
      </c>
      <c r="C93" s="101">
        <v>193.88200000000001</v>
      </c>
      <c r="D93" s="101">
        <v>193.60599999999999</v>
      </c>
      <c r="E93" s="101">
        <v>210.46799999999999</v>
      </c>
      <c r="F93" s="101">
        <v>205.59800000000001</v>
      </c>
      <c r="G93" s="101">
        <v>201.96299999999999</v>
      </c>
      <c r="H93" s="101">
        <v>1153.7380000000001</v>
      </c>
      <c r="I93" s="101">
        <v>1168.711</v>
      </c>
      <c r="J93" s="101">
        <v>1125.605</v>
      </c>
      <c r="K93" s="101">
        <v>1181.626</v>
      </c>
    </row>
    <row r="94" spans="1:11" ht="15" customHeight="1" x14ac:dyDescent="0.15">
      <c r="A94" s="124" t="s">
        <v>555</v>
      </c>
      <c r="B94" s="126">
        <v>20.198</v>
      </c>
      <c r="C94" s="101">
        <v>22.989000000000001</v>
      </c>
      <c r="D94" s="101">
        <v>22.170999999999999</v>
      </c>
      <c r="E94" s="101">
        <v>20.957999999999998</v>
      </c>
      <c r="F94" s="101">
        <v>31.646999999999998</v>
      </c>
      <c r="G94" s="101">
        <v>33.08</v>
      </c>
      <c r="H94" s="101">
        <v>38.229999999999997</v>
      </c>
      <c r="I94" s="101">
        <v>34.459000000000003</v>
      </c>
      <c r="J94" s="101">
        <v>31.812999999999999</v>
      </c>
      <c r="K94" s="101">
        <v>31.603999999999999</v>
      </c>
    </row>
    <row r="95" spans="1:11" ht="15" customHeight="1" x14ac:dyDescent="0.15">
      <c r="A95" s="114" t="s">
        <v>556</v>
      </c>
      <c r="B95" s="110">
        <v>0.75800000000000001</v>
      </c>
      <c r="C95" s="110">
        <v>0.999</v>
      </c>
      <c r="D95" s="110">
        <v>5.6020000000000003</v>
      </c>
      <c r="E95" s="110">
        <v>2.0299999999999998</v>
      </c>
      <c r="F95" s="110">
        <v>2.4529999999999998</v>
      </c>
      <c r="G95" s="110">
        <v>2.1890000000000001</v>
      </c>
      <c r="H95" s="110">
        <v>4.3230000000000004</v>
      </c>
      <c r="I95" s="110">
        <v>48.99</v>
      </c>
      <c r="J95" s="110">
        <v>2.7610000000000001</v>
      </c>
      <c r="K95" s="110">
        <v>2.7010000000000001</v>
      </c>
    </row>
    <row r="96" spans="1:11" ht="15" customHeight="1" x14ac:dyDescent="0.15">
      <c r="A96" s="105" t="s">
        <v>557</v>
      </c>
      <c r="B96" s="101">
        <v>0.75800000000000001</v>
      </c>
      <c r="C96" s="101">
        <v>0.999</v>
      </c>
      <c r="D96" s="101">
        <v>5.6020000000000003</v>
      </c>
      <c r="E96" s="101">
        <v>2.0299999999999998</v>
      </c>
      <c r="F96" s="101">
        <v>2.4529999999999998</v>
      </c>
      <c r="G96" s="101">
        <v>2.1890000000000001</v>
      </c>
      <c r="H96" s="101">
        <v>4.3230000000000004</v>
      </c>
      <c r="I96" s="101">
        <v>48.99</v>
      </c>
      <c r="J96" s="101">
        <v>2.7610000000000001</v>
      </c>
      <c r="K96" s="101">
        <v>2.7010000000000001</v>
      </c>
    </row>
    <row r="97" spans="1:11" ht="15" customHeight="1" x14ac:dyDescent="0.15">
      <c r="A97" s="99" t="s">
        <v>280</v>
      </c>
      <c r="B97" s="101">
        <v>707.90599999999995</v>
      </c>
      <c r="C97" s="101">
        <v>868.61800000000005</v>
      </c>
      <c r="D97" s="101">
        <v>945.72299999999996</v>
      </c>
      <c r="E97" s="101">
        <v>905.94</v>
      </c>
      <c r="F97" s="101">
        <v>1063.5519999999999</v>
      </c>
      <c r="G97" s="101">
        <v>1246.4459999999999</v>
      </c>
      <c r="H97" s="101">
        <v>3231.152</v>
      </c>
      <c r="I97" s="101">
        <v>3408.0819999999999</v>
      </c>
      <c r="J97" s="101">
        <v>3211.4389999999999</v>
      </c>
      <c r="K97" s="101">
        <v>3304.92</v>
      </c>
    </row>
    <row r="98" spans="1:11" ht="15" customHeight="1" x14ac:dyDescent="0.15">
      <c r="A98" s="113" t="s">
        <v>558</v>
      </c>
      <c r="B98" s="113"/>
      <c r="C98" s="113"/>
      <c r="D98" s="113"/>
      <c r="E98" s="113"/>
      <c r="F98" s="113"/>
      <c r="G98" s="113"/>
      <c r="H98" s="113"/>
      <c r="I98" s="113"/>
      <c r="J98" s="113"/>
      <c r="K98" s="113"/>
    </row>
    <row r="99" spans="1:11" ht="15" customHeight="1" x14ac:dyDescent="0.15">
      <c r="A99" s="114" t="s">
        <v>559</v>
      </c>
      <c r="B99" s="113"/>
      <c r="C99" s="113"/>
      <c r="D99" s="113"/>
      <c r="E99" s="113"/>
      <c r="F99" s="113"/>
      <c r="G99" s="113"/>
      <c r="H99" s="113"/>
      <c r="I99" s="113"/>
      <c r="J99" s="113"/>
      <c r="K99" s="113"/>
    </row>
    <row r="100" spans="1:11" ht="15" customHeight="1" x14ac:dyDescent="0.15">
      <c r="A100" s="105" t="s">
        <v>560</v>
      </c>
      <c r="B100" s="98">
        <v>2.2999999999999998</v>
      </c>
      <c r="C100" s="98">
        <v>26.512</v>
      </c>
      <c r="D100" s="98">
        <v>23.91</v>
      </c>
      <c r="E100" s="98">
        <v>20.600999999999999</v>
      </c>
      <c r="F100" s="98">
        <v>4.8120000000000003</v>
      </c>
      <c r="G100" s="98">
        <v>4.2089999999999996</v>
      </c>
      <c r="H100" s="98">
        <v>100.411</v>
      </c>
      <c r="I100" s="98">
        <v>120.02</v>
      </c>
      <c r="J100" s="98">
        <v>109.649</v>
      </c>
      <c r="K100" s="98">
        <v>47.783999999999999</v>
      </c>
    </row>
    <row r="101" spans="1:11" ht="15" customHeight="1" x14ac:dyDescent="0.15">
      <c r="A101" s="122" t="s">
        <v>561</v>
      </c>
      <c r="B101" s="98">
        <v>40.774999999999999</v>
      </c>
      <c r="C101" s="98">
        <v>47.673999999999999</v>
      </c>
      <c r="D101" s="98">
        <v>62.331000000000003</v>
      </c>
      <c r="E101" s="98">
        <v>57.286000000000001</v>
      </c>
      <c r="F101" s="98">
        <v>55.732999999999997</v>
      </c>
      <c r="G101" s="98">
        <v>65.484999999999999</v>
      </c>
      <c r="H101" s="98">
        <v>84.772999999999996</v>
      </c>
      <c r="I101" s="98">
        <v>104.20399999999999</v>
      </c>
      <c r="J101" s="98">
        <v>100.706</v>
      </c>
      <c r="K101" s="98">
        <v>99.52</v>
      </c>
    </row>
    <row r="102" spans="1:11" ht="15" customHeight="1" x14ac:dyDescent="0.15">
      <c r="A102" s="131" t="s">
        <v>562</v>
      </c>
      <c r="B102" s="98">
        <v>6.3840000000000003</v>
      </c>
      <c r="C102" s="96">
        <v>10.324999999999999</v>
      </c>
      <c r="D102" s="96">
        <v>5.19</v>
      </c>
      <c r="E102" s="96">
        <v>9.5129999999999999</v>
      </c>
      <c r="F102" s="96">
        <v>10.8</v>
      </c>
      <c r="G102" s="96">
        <v>29.831</v>
      </c>
      <c r="H102" s="96">
        <v>6.2549999999999999</v>
      </c>
      <c r="I102" s="96">
        <v>13.786</v>
      </c>
      <c r="J102" s="96">
        <v>9.3989999999999991</v>
      </c>
      <c r="K102" s="96">
        <v>18.068999999999999</v>
      </c>
    </row>
    <row r="103" spans="1:11" ht="15" customHeight="1" x14ac:dyDescent="0.15">
      <c r="A103" s="120" t="s">
        <v>294</v>
      </c>
      <c r="B103" s="115">
        <v>32.981000000000002</v>
      </c>
      <c r="C103" s="115">
        <v>47.372</v>
      </c>
      <c r="D103" s="115">
        <v>49.689</v>
      </c>
      <c r="E103" s="115">
        <v>51.052</v>
      </c>
      <c r="F103" s="115">
        <v>51.134</v>
      </c>
      <c r="G103" s="115">
        <v>60.688000000000002</v>
      </c>
      <c r="H103" s="115">
        <v>106.79</v>
      </c>
      <c r="I103" s="115">
        <v>103.304</v>
      </c>
      <c r="J103" s="115">
        <v>100.363</v>
      </c>
      <c r="K103" s="115">
        <v>109.926</v>
      </c>
    </row>
    <row r="104" spans="1:11" ht="15" customHeight="1" x14ac:dyDescent="0.15">
      <c r="A104" s="121" t="s">
        <v>563</v>
      </c>
      <c r="B104" s="98">
        <v>22.544</v>
      </c>
      <c r="C104" s="96">
        <v>28.361000000000001</v>
      </c>
      <c r="D104" s="96">
        <v>28.748999999999999</v>
      </c>
      <c r="E104" s="96">
        <v>30.3</v>
      </c>
      <c r="F104" s="96">
        <v>34.665999999999997</v>
      </c>
      <c r="G104" s="96">
        <v>41.026000000000003</v>
      </c>
      <c r="H104" s="96">
        <v>46.146000000000001</v>
      </c>
      <c r="I104" s="96">
        <v>47.512</v>
      </c>
      <c r="J104" s="96">
        <v>44.372999999999998</v>
      </c>
      <c r="K104" s="96">
        <v>51.308</v>
      </c>
    </row>
    <row r="105" spans="1:11" ht="15" customHeight="1" x14ac:dyDescent="0.15">
      <c r="A105" s="121" t="s">
        <v>564</v>
      </c>
      <c r="B105" s="98">
        <v>10.436999999999999</v>
      </c>
      <c r="C105" s="98">
        <v>19.010999999999999</v>
      </c>
      <c r="D105" s="98">
        <v>20.94</v>
      </c>
      <c r="E105" s="98">
        <v>20.751999999999999</v>
      </c>
      <c r="F105" s="98">
        <v>16.468</v>
      </c>
      <c r="G105" s="98">
        <v>19.661999999999999</v>
      </c>
      <c r="H105" s="98">
        <v>60.643999999999998</v>
      </c>
      <c r="I105" s="98">
        <v>55.792000000000002</v>
      </c>
      <c r="J105" s="98">
        <v>55.99</v>
      </c>
      <c r="K105" s="98">
        <v>58.618000000000002</v>
      </c>
    </row>
    <row r="106" spans="1:11" ht="15" customHeight="1" x14ac:dyDescent="0.15">
      <c r="A106" s="122" t="s">
        <v>295</v>
      </c>
      <c r="B106" s="98">
        <v>82.44</v>
      </c>
      <c r="C106" s="96">
        <v>131.88300000000001</v>
      </c>
      <c r="D106" s="96">
        <v>141.12</v>
      </c>
      <c r="E106" s="96">
        <v>138.452</v>
      </c>
      <c r="F106" s="96">
        <v>122.479</v>
      </c>
      <c r="G106" s="96">
        <v>160.21299999999999</v>
      </c>
      <c r="H106" s="96">
        <v>298.22899999999998</v>
      </c>
      <c r="I106" s="96">
        <v>341.31400000000002</v>
      </c>
      <c r="J106" s="96">
        <v>320.11700000000002</v>
      </c>
      <c r="K106" s="96">
        <v>275.29899999999998</v>
      </c>
    </row>
    <row r="107" spans="1:11" ht="15" customHeight="1" x14ac:dyDescent="0.15">
      <c r="A107" s="114" t="s">
        <v>565</v>
      </c>
      <c r="B107" s="129"/>
      <c r="C107" s="113"/>
      <c r="D107" s="113"/>
      <c r="E107" s="113"/>
      <c r="F107" s="113"/>
      <c r="G107" s="113"/>
      <c r="H107" s="113"/>
      <c r="I107" s="113"/>
      <c r="J107" s="113"/>
      <c r="K107" s="113"/>
    </row>
    <row r="108" spans="1:11" ht="15" customHeight="1" x14ac:dyDescent="0.15">
      <c r="A108" s="128" t="s">
        <v>566</v>
      </c>
      <c r="B108" s="110">
        <v>0</v>
      </c>
      <c r="C108" s="112">
        <v>23.888000000000002</v>
      </c>
      <c r="D108" s="112">
        <v>0.10199999999999999</v>
      </c>
      <c r="E108" s="112">
        <v>8.1000000000000003E-2</v>
      </c>
      <c r="F108" s="112">
        <v>24.466000000000001</v>
      </c>
      <c r="G108" s="112">
        <v>30.451000000000001</v>
      </c>
      <c r="H108" s="112">
        <v>1294.7470000000001</v>
      </c>
      <c r="I108" s="112">
        <v>1231.9649999999999</v>
      </c>
      <c r="J108" s="112">
        <v>1083.0050000000001</v>
      </c>
      <c r="K108" s="112">
        <v>966.78099999999995</v>
      </c>
    </row>
    <row r="109" spans="1:11" ht="15" customHeight="1" x14ac:dyDescent="0.15">
      <c r="A109" s="106" t="s">
        <v>567</v>
      </c>
      <c r="B109" s="101">
        <v>0</v>
      </c>
      <c r="C109" s="101">
        <v>23.888000000000002</v>
      </c>
      <c r="D109" s="101">
        <v>0</v>
      </c>
      <c r="E109" s="101">
        <v>0</v>
      </c>
      <c r="F109" s="101">
        <v>0</v>
      </c>
      <c r="G109" s="101">
        <v>0</v>
      </c>
      <c r="H109" s="101">
        <v>1228.269</v>
      </c>
      <c r="I109" s="101">
        <v>1170.961</v>
      </c>
      <c r="J109" s="101">
        <v>1020.915</v>
      </c>
      <c r="K109" s="101">
        <v>899.41899999999998</v>
      </c>
    </row>
    <row r="110" spans="1:11" ht="15" customHeight="1" x14ac:dyDescent="0.15">
      <c r="A110" s="106" t="s">
        <v>568</v>
      </c>
      <c r="B110" s="101">
        <v>0</v>
      </c>
      <c r="C110" s="102">
        <v>0</v>
      </c>
      <c r="D110" s="102">
        <v>0.10199999999999999</v>
      </c>
      <c r="E110" s="102">
        <v>8.1000000000000003E-2</v>
      </c>
      <c r="F110" s="102">
        <v>24.466000000000001</v>
      </c>
      <c r="G110" s="102">
        <v>30.451000000000001</v>
      </c>
      <c r="H110" s="102">
        <v>66.477999999999994</v>
      </c>
      <c r="I110" s="102">
        <v>61.003999999999998</v>
      </c>
      <c r="J110" s="102">
        <v>62.09</v>
      </c>
      <c r="K110" s="102">
        <v>67.361999999999995</v>
      </c>
    </row>
    <row r="111" spans="1:11" ht="15" customHeight="1" x14ac:dyDescent="0.15">
      <c r="A111" s="131" t="s">
        <v>569</v>
      </c>
      <c r="B111" s="101">
        <v>35.021000000000001</v>
      </c>
      <c r="C111" s="101">
        <v>41.584000000000003</v>
      </c>
      <c r="D111" s="101">
        <v>32.531999999999996</v>
      </c>
      <c r="E111" s="101">
        <v>32.658999999999999</v>
      </c>
      <c r="F111" s="101">
        <v>36.262999999999998</v>
      </c>
      <c r="G111" s="101">
        <v>41.241999999999997</v>
      </c>
      <c r="H111" s="101">
        <v>40.917000000000002</v>
      </c>
      <c r="I111" s="101">
        <v>62.753</v>
      </c>
      <c r="J111" s="101">
        <v>60.014000000000003</v>
      </c>
      <c r="K111" s="101">
        <v>54.662999999999997</v>
      </c>
    </row>
    <row r="112" spans="1:11" ht="15" customHeight="1" x14ac:dyDescent="0.15">
      <c r="A112" s="122" t="s">
        <v>570</v>
      </c>
      <c r="B112" s="126">
        <v>2.0489999999999999</v>
      </c>
      <c r="C112" s="102">
        <v>1.401</v>
      </c>
      <c r="D112" s="102">
        <v>1.899</v>
      </c>
      <c r="E112" s="102">
        <v>5.05</v>
      </c>
      <c r="F112" s="102">
        <v>7.1349999999999998</v>
      </c>
      <c r="G112" s="102">
        <v>10.066000000000001</v>
      </c>
      <c r="H112" s="102">
        <v>185.33699999999999</v>
      </c>
      <c r="I112" s="102">
        <v>229.31</v>
      </c>
      <c r="J112" s="102">
        <v>199.596</v>
      </c>
      <c r="K112" s="102">
        <v>199.57300000000001</v>
      </c>
    </row>
    <row r="113" spans="1:11" ht="15" customHeight="1" x14ac:dyDescent="0.15">
      <c r="A113" s="128" t="s">
        <v>571</v>
      </c>
      <c r="B113" s="110">
        <v>1.238</v>
      </c>
      <c r="C113" s="110">
        <v>6.4770000000000003</v>
      </c>
      <c r="D113" s="110">
        <v>28.114999999999998</v>
      </c>
      <c r="E113" s="110">
        <v>24.963000000000001</v>
      </c>
      <c r="F113" s="110">
        <v>24.585999999999999</v>
      </c>
      <c r="G113" s="110">
        <v>48.155000000000001</v>
      </c>
      <c r="H113" s="110">
        <v>43.982999999999997</v>
      </c>
      <c r="I113" s="110">
        <v>22.99</v>
      </c>
      <c r="J113" s="110">
        <v>10.739000000000001</v>
      </c>
      <c r="K113" s="110">
        <v>9.5820000000000007</v>
      </c>
    </row>
    <row r="114" spans="1:11" ht="15" customHeight="1" x14ac:dyDescent="0.15">
      <c r="A114" s="132" t="s">
        <v>572</v>
      </c>
      <c r="B114" s="101">
        <v>1.238</v>
      </c>
      <c r="C114" s="102">
        <v>6.4770000000000003</v>
      </c>
      <c r="D114" s="102">
        <v>28.114999999999998</v>
      </c>
      <c r="E114" s="102">
        <v>24.963000000000001</v>
      </c>
      <c r="F114" s="102">
        <v>24.585999999999999</v>
      </c>
      <c r="G114" s="102">
        <v>48.155000000000001</v>
      </c>
      <c r="H114" s="102">
        <v>43.982999999999997</v>
      </c>
      <c r="I114" s="102">
        <v>22.99</v>
      </c>
      <c r="J114" s="102">
        <v>10.739000000000001</v>
      </c>
      <c r="K114" s="102">
        <v>9.5820000000000007</v>
      </c>
    </row>
    <row r="115" spans="1:11" ht="15" customHeight="1" x14ac:dyDescent="0.15">
      <c r="A115" s="105" t="s">
        <v>312</v>
      </c>
      <c r="B115" s="101">
        <v>120.748</v>
      </c>
      <c r="C115" s="101">
        <v>205.233</v>
      </c>
      <c r="D115" s="101">
        <v>203.768</v>
      </c>
      <c r="E115" s="101">
        <v>201.20500000000001</v>
      </c>
      <c r="F115" s="101">
        <v>214.929</v>
      </c>
      <c r="G115" s="101">
        <v>290.12700000000001</v>
      </c>
      <c r="H115" s="101">
        <v>1863.213</v>
      </c>
      <c r="I115" s="101">
        <v>1888.3320000000001</v>
      </c>
      <c r="J115" s="101">
        <v>1673.471</v>
      </c>
      <c r="K115" s="101">
        <v>1505.8979999999999</v>
      </c>
    </row>
    <row r="116" spans="1:11" ht="15" customHeight="1" x14ac:dyDescent="0.15">
      <c r="A116" s="114" t="s">
        <v>573</v>
      </c>
      <c r="B116" s="176">
        <f>SUM(B118:B125)</f>
        <v>586.81400000000008</v>
      </c>
      <c r="C116" s="100"/>
      <c r="D116" s="100"/>
      <c r="E116" s="100"/>
      <c r="F116" s="100"/>
      <c r="G116" s="100"/>
      <c r="H116" s="100"/>
      <c r="I116" s="100"/>
      <c r="J116" s="100"/>
      <c r="K116" s="100"/>
    </row>
    <row r="117" spans="1:11" ht="15" customHeight="1" x14ac:dyDescent="0.15">
      <c r="A117" s="128" t="s">
        <v>574</v>
      </c>
      <c r="B117" s="110">
        <v>586.81399999999996</v>
      </c>
      <c r="C117" s="110">
        <v>662.81700000000001</v>
      </c>
      <c r="D117" s="110">
        <v>741.41700000000003</v>
      </c>
      <c r="E117" s="110">
        <v>704.73299999999995</v>
      </c>
      <c r="F117" s="110">
        <v>848.62300000000005</v>
      </c>
      <c r="G117" s="110">
        <v>954.678</v>
      </c>
      <c r="H117" s="110">
        <v>1366.377</v>
      </c>
      <c r="I117" s="110">
        <v>1518.989</v>
      </c>
      <c r="J117" s="110">
        <v>1538.6110000000001</v>
      </c>
      <c r="K117" s="110">
        <v>1800.9179999999999</v>
      </c>
    </row>
    <row r="118" spans="1:11" ht="15" customHeight="1" x14ac:dyDescent="0.15">
      <c r="A118" s="106" t="s">
        <v>575</v>
      </c>
      <c r="B118" s="101">
        <v>55.948</v>
      </c>
      <c r="C118" s="102">
        <v>55.948</v>
      </c>
      <c r="D118" s="102">
        <v>55.948</v>
      </c>
      <c r="E118" s="102">
        <v>55.948</v>
      </c>
      <c r="F118" s="102">
        <v>55.948</v>
      </c>
      <c r="G118" s="102">
        <v>55.948</v>
      </c>
      <c r="H118" s="102">
        <v>55.948</v>
      </c>
      <c r="I118" s="102">
        <v>55.948</v>
      </c>
      <c r="J118" s="102">
        <v>55.948</v>
      </c>
      <c r="K118" s="102">
        <v>55.948</v>
      </c>
    </row>
    <row r="119" spans="1:11" ht="15" customHeight="1" x14ac:dyDescent="0.15">
      <c r="A119" s="106" t="s">
        <v>576</v>
      </c>
      <c r="B119" s="101">
        <v>18.155000000000001</v>
      </c>
      <c r="C119" s="101">
        <v>18.155000000000001</v>
      </c>
      <c r="D119" s="101">
        <v>18.155000000000001</v>
      </c>
      <c r="E119" s="101">
        <v>18.155000000000001</v>
      </c>
      <c r="F119" s="101">
        <v>18.155000000000001</v>
      </c>
      <c r="G119" s="101">
        <v>18.155000000000001</v>
      </c>
      <c r="H119" s="101">
        <v>18.155000000000001</v>
      </c>
      <c r="I119" s="101">
        <v>18.155000000000001</v>
      </c>
      <c r="J119" s="101">
        <v>18.155000000000001</v>
      </c>
      <c r="K119" s="101">
        <v>18.155000000000001</v>
      </c>
    </row>
    <row r="120" spans="1:11" ht="15" customHeight="1" x14ac:dyDescent="0.15">
      <c r="A120" s="106" t="s">
        <v>577</v>
      </c>
      <c r="B120" s="101">
        <v>480.61200000000002</v>
      </c>
      <c r="C120" s="102">
        <v>544.72199999999998</v>
      </c>
      <c r="D120" s="102">
        <v>664.81600000000003</v>
      </c>
      <c r="E120" s="102">
        <v>611.96</v>
      </c>
      <c r="F120" s="102">
        <v>747.33299999999997</v>
      </c>
      <c r="G120" s="102">
        <v>899.68299999999999</v>
      </c>
      <c r="H120" s="102">
        <v>1165.3779999999999</v>
      </c>
      <c r="I120" s="102">
        <v>1293.739</v>
      </c>
      <c r="J120" s="102">
        <v>1449.9480000000001</v>
      </c>
      <c r="K120" s="102">
        <v>1579.8869999999999</v>
      </c>
    </row>
    <row r="121" spans="1:11" ht="15" customHeight="1" x14ac:dyDescent="0.15">
      <c r="A121" s="106" t="s">
        <v>578</v>
      </c>
      <c r="B121" s="101">
        <v>28.544</v>
      </c>
      <c r="C121" s="101">
        <v>40.64</v>
      </c>
      <c r="D121" s="101">
        <v>0.73699999999999999</v>
      </c>
      <c r="E121" s="101">
        <v>13.472</v>
      </c>
      <c r="F121" s="101">
        <v>21.611000000000001</v>
      </c>
      <c r="G121" s="104">
        <v>-26.986999999999998</v>
      </c>
      <c r="H121" s="101">
        <v>46.207999999999998</v>
      </c>
      <c r="I121" s="101">
        <v>121</v>
      </c>
      <c r="J121" s="101">
        <v>67.572000000000003</v>
      </c>
      <c r="K121" s="101">
        <v>168.63300000000001</v>
      </c>
    </row>
    <row r="122" spans="1:11" ht="15" customHeight="1" x14ac:dyDescent="0.15">
      <c r="A122" s="109" t="s">
        <v>579</v>
      </c>
      <c r="B122" s="108"/>
      <c r="C122" s="108"/>
      <c r="D122" s="102">
        <v>0</v>
      </c>
      <c r="E122" s="107">
        <v>-5.2999999999999999E-2</v>
      </c>
      <c r="F122" s="102">
        <v>6.0999999999999999E-2</v>
      </c>
      <c r="G122" s="102">
        <v>0</v>
      </c>
      <c r="H122" s="102">
        <v>0</v>
      </c>
      <c r="I122" s="102">
        <v>0</v>
      </c>
      <c r="J122" s="102">
        <v>0</v>
      </c>
      <c r="K122" s="102">
        <v>0</v>
      </c>
    </row>
    <row r="123" spans="1:11" ht="15" customHeight="1" x14ac:dyDescent="0.15">
      <c r="A123" s="106" t="s">
        <v>580</v>
      </c>
      <c r="B123" s="101">
        <v>29.792000000000002</v>
      </c>
      <c r="C123" s="101">
        <v>42.271999999999998</v>
      </c>
      <c r="D123" s="101">
        <v>26.988</v>
      </c>
      <c r="E123" s="101">
        <v>93.034999999999997</v>
      </c>
      <c r="F123" s="101">
        <v>87.364000000000004</v>
      </c>
      <c r="G123" s="101">
        <v>117.425</v>
      </c>
      <c r="H123" s="101">
        <v>200.71</v>
      </c>
      <c r="I123" s="101">
        <v>311.42399999999998</v>
      </c>
      <c r="J123" s="101">
        <v>331.11599999999999</v>
      </c>
      <c r="K123" s="101">
        <v>280.68099999999998</v>
      </c>
    </row>
    <row r="124" spans="1:11" ht="15" customHeight="1" x14ac:dyDescent="0.15">
      <c r="A124" s="109" t="s">
        <v>581</v>
      </c>
      <c r="B124" s="107">
        <v>-0.77800000000000002</v>
      </c>
      <c r="C124" s="107">
        <v>-0.89500000000000002</v>
      </c>
      <c r="D124" s="107">
        <v>-3.044</v>
      </c>
      <c r="E124" s="108"/>
      <c r="F124" s="108"/>
      <c r="G124" s="108"/>
      <c r="H124" s="108"/>
      <c r="I124" s="108"/>
      <c r="J124" s="107">
        <v>-87.331000000000003</v>
      </c>
      <c r="K124" s="107">
        <v>-50.603000000000002</v>
      </c>
    </row>
    <row r="125" spans="1:11" ht="15" customHeight="1" x14ac:dyDescent="0.15">
      <c r="A125" s="106" t="s">
        <v>582</v>
      </c>
      <c r="B125" s="104">
        <v>-25.459</v>
      </c>
      <c r="C125" s="104">
        <v>-38.024999999999999</v>
      </c>
      <c r="D125" s="104">
        <v>-22.183</v>
      </c>
      <c r="E125" s="104">
        <v>-87.784000000000006</v>
      </c>
      <c r="F125" s="104">
        <v>-81.849000000000004</v>
      </c>
      <c r="G125" s="104">
        <v>-109.54600000000001</v>
      </c>
      <c r="H125" s="104">
        <v>-120.02200000000001</v>
      </c>
      <c r="I125" s="104">
        <v>-281.27699999999999</v>
      </c>
      <c r="J125" s="104">
        <v>-296.79700000000003</v>
      </c>
      <c r="K125" s="104">
        <v>-251.78299999999999</v>
      </c>
    </row>
    <row r="126" spans="1:11" ht="15" customHeight="1" x14ac:dyDescent="0.15">
      <c r="A126" s="103" t="s">
        <v>327</v>
      </c>
      <c r="B126" s="102">
        <v>586.81399999999996</v>
      </c>
      <c r="C126" s="102">
        <v>662.81700000000001</v>
      </c>
      <c r="D126" s="102">
        <v>741.41700000000003</v>
      </c>
      <c r="E126" s="102">
        <v>704.73299999999995</v>
      </c>
      <c r="F126" s="102">
        <v>848.62300000000005</v>
      </c>
      <c r="G126" s="102">
        <v>954.678</v>
      </c>
      <c r="H126" s="102">
        <v>1366.377</v>
      </c>
      <c r="I126" s="102">
        <v>1518.989</v>
      </c>
      <c r="J126" s="102">
        <v>1538.6110000000001</v>
      </c>
      <c r="K126" s="102">
        <v>1800.9179999999999</v>
      </c>
    </row>
    <row r="127" spans="1:11" ht="15" customHeight="1" x14ac:dyDescent="0.15">
      <c r="A127" s="105" t="s">
        <v>583</v>
      </c>
      <c r="B127" s="101">
        <v>0.34399999999999997</v>
      </c>
      <c r="C127" s="101">
        <v>0.56799999999999995</v>
      </c>
      <c r="D127" s="101">
        <v>0.53800000000000003</v>
      </c>
      <c r="E127" s="101">
        <v>2E-3</v>
      </c>
      <c r="F127" s="101">
        <v>0</v>
      </c>
      <c r="G127" s="101">
        <v>1.641</v>
      </c>
      <c r="H127" s="101">
        <v>1.5620000000000001</v>
      </c>
      <c r="I127" s="101">
        <v>0.76100000000000001</v>
      </c>
      <c r="J127" s="104">
        <v>-0.64300000000000002</v>
      </c>
      <c r="K127" s="104">
        <v>-1.8959999999999999</v>
      </c>
    </row>
    <row r="128" spans="1:11" ht="15" customHeight="1" x14ac:dyDescent="0.15">
      <c r="A128" s="103" t="s">
        <v>584</v>
      </c>
      <c r="B128" s="102">
        <v>587.15800000000002</v>
      </c>
      <c r="C128" s="102">
        <v>663.38499999999999</v>
      </c>
      <c r="D128" s="102">
        <v>741.95500000000004</v>
      </c>
      <c r="E128" s="102">
        <v>704.73500000000001</v>
      </c>
      <c r="F128" s="102">
        <v>848.62300000000005</v>
      </c>
      <c r="G128" s="102">
        <v>956.31899999999996</v>
      </c>
      <c r="H128" s="102">
        <v>1367.9390000000001</v>
      </c>
      <c r="I128" s="102">
        <v>1519.75</v>
      </c>
      <c r="J128" s="102">
        <v>1537.9680000000001</v>
      </c>
      <c r="K128" s="102">
        <v>1799.0219999999999</v>
      </c>
    </row>
    <row r="129" spans="1:11" ht="15" customHeight="1" x14ac:dyDescent="0.15">
      <c r="A129" s="99" t="s">
        <v>329</v>
      </c>
      <c r="B129" s="101">
        <v>707.90599999999995</v>
      </c>
      <c r="C129" s="101">
        <v>868.61800000000005</v>
      </c>
      <c r="D129" s="101">
        <v>945.72299999999996</v>
      </c>
      <c r="E129" s="101">
        <v>905.94</v>
      </c>
      <c r="F129" s="101">
        <v>1063.5519999999999</v>
      </c>
      <c r="G129" s="101">
        <v>1246.4459999999999</v>
      </c>
      <c r="H129" s="101">
        <v>3231.152</v>
      </c>
      <c r="I129" s="101">
        <v>3408.0819999999999</v>
      </c>
      <c r="J129" s="101">
        <v>3211.4389999999999</v>
      </c>
      <c r="K129" s="101">
        <v>3304.92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8A987-1955-0148-BBFB-AA97AF269C9F}">
  <dimension ref="A1:XFD193"/>
  <sheetViews>
    <sheetView showGridLines="0" zoomScale="85" zoomScaleNormal="125" workbookViewId="0">
      <pane xSplit="2" ySplit="5" topLeftCell="C73" activePane="bottomRight" state="frozen"/>
      <selection pane="topRight" activeCell="H18" sqref="H18"/>
      <selection pane="bottomLeft" activeCell="H18" sqref="H18"/>
      <selection pane="bottomRight" activeCell="L122" sqref="L122"/>
    </sheetView>
  </sheetViews>
  <sheetFormatPr baseColWidth="10" defaultColWidth="10.6640625" defaultRowHeight="16" zeroHeight="1" x14ac:dyDescent="0.2"/>
  <cols>
    <col min="1" max="1" width="3.6640625" style="34" customWidth="1"/>
    <col min="2" max="2" width="76.33203125" style="34" customWidth="1"/>
    <col min="3" max="10" width="14.6640625" style="34" customWidth="1"/>
    <col min="11" max="23" width="10.6640625" style="34" customWidth="1"/>
    <col min="24" max="30" width="13.1640625" style="34" customWidth="1"/>
    <col min="31" max="16381" width="10.6640625" style="34"/>
    <col min="16382" max="16382" width="12.5" style="34" customWidth="1"/>
    <col min="16383" max="16384" width="7.6640625" style="34" bestFit="1" customWidth="1"/>
  </cols>
  <sheetData>
    <row r="1" spans="1:16383" ht="16.5" customHeight="1" x14ac:dyDescent="0.2">
      <c r="A1" s="413" t="s">
        <v>585</v>
      </c>
      <c r="B1" s="413"/>
    </row>
    <row r="2" spans="1:16383" ht="16.5" customHeight="1" x14ac:dyDescent="0.2">
      <c r="A2" s="413"/>
      <c r="B2" s="413"/>
    </row>
    <row r="3" spans="1:16383" x14ac:dyDescent="0.2">
      <c r="A3" s="413"/>
      <c r="B3" s="413"/>
      <c r="C3" s="414" t="s">
        <v>586</v>
      </c>
      <c r="D3" s="414"/>
      <c r="E3" s="414"/>
      <c r="F3" s="414"/>
      <c r="G3" s="414"/>
      <c r="H3" s="414"/>
      <c r="I3" s="414"/>
      <c r="J3" s="414"/>
    </row>
    <row r="4" spans="1:16383" x14ac:dyDescent="0.2">
      <c r="B4" s="35" t="s">
        <v>587</v>
      </c>
      <c r="C4" s="164" t="s">
        <v>22</v>
      </c>
      <c r="D4" s="164">
        <v>2016</v>
      </c>
      <c r="E4" s="164" t="s">
        <v>23</v>
      </c>
      <c r="F4" s="164" t="s">
        <v>24</v>
      </c>
      <c r="G4" s="164" t="s">
        <v>25</v>
      </c>
      <c r="H4" s="164" t="s">
        <v>26</v>
      </c>
      <c r="I4" s="164" t="s">
        <v>27</v>
      </c>
      <c r="J4" s="164" t="s">
        <v>28</v>
      </c>
      <c r="K4" s="164" t="s">
        <v>29</v>
      </c>
      <c r="L4" s="164" t="s">
        <v>30</v>
      </c>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c r="IW4" s="42"/>
      <c r="IX4" s="42"/>
      <c r="IY4" s="42"/>
      <c r="IZ4" s="42"/>
      <c r="JA4" s="42"/>
      <c r="JB4" s="42"/>
      <c r="JC4" s="42"/>
      <c r="JD4" s="42"/>
      <c r="JE4" s="42"/>
      <c r="JF4" s="42"/>
      <c r="JG4" s="42"/>
      <c r="JH4" s="42"/>
      <c r="JI4" s="42"/>
      <c r="JJ4" s="42"/>
      <c r="JK4" s="42"/>
      <c r="JL4" s="42"/>
      <c r="JM4" s="42"/>
      <c r="JN4" s="42"/>
      <c r="JO4" s="42"/>
      <c r="JP4" s="42"/>
      <c r="JQ4" s="42"/>
      <c r="JR4" s="42"/>
      <c r="JS4" s="42"/>
      <c r="JT4" s="42"/>
      <c r="JU4" s="42"/>
      <c r="JV4" s="42"/>
      <c r="JW4" s="42"/>
      <c r="JX4" s="42"/>
      <c r="JY4" s="42"/>
      <c r="JZ4" s="42"/>
      <c r="KA4" s="42"/>
      <c r="KB4" s="42"/>
      <c r="KC4" s="42"/>
      <c r="KD4" s="42"/>
      <c r="KE4" s="42"/>
      <c r="KF4" s="42"/>
      <c r="KG4" s="42"/>
      <c r="KH4" s="42"/>
      <c r="KI4" s="42"/>
      <c r="KJ4" s="42"/>
      <c r="KK4" s="42"/>
      <c r="KL4" s="42"/>
      <c r="KM4" s="42"/>
      <c r="KN4" s="42"/>
      <c r="KO4" s="42"/>
      <c r="KP4" s="42"/>
      <c r="KQ4" s="42"/>
      <c r="KR4" s="42"/>
      <c r="KS4" s="42"/>
      <c r="KT4" s="42"/>
      <c r="KU4" s="42"/>
      <c r="KV4" s="42"/>
      <c r="KW4" s="42"/>
      <c r="KX4" s="42"/>
      <c r="KY4" s="42"/>
      <c r="KZ4" s="42"/>
      <c r="LA4" s="42"/>
      <c r="LB4" s="42"/>
      <c r="LC4" s="42"/>
      <c r="LD4" s="42"/>
      <c r="LE4" s="42"/>
      <c r="LF4" s="42"/>
      <c r="LG4" s="42"/>
      <c r="LH4" s="42"/>
      <c r="LI4" s="42"/>
      <c r="LJ4" s="42"/>
      <c r="LK4" s="42"/>
      <c r="LL4" s="42"/>
      <c r="LM4" s="42"/>
      <c r="LN4" s="42"/>
      <c r="LO4" s="42"/>
      <c r="LP4" s="42"/>
      <c r="LQ4" s="42"/>
      <c r="LR4" s="42"/>
      <c r="LS4" s="42"/>
      <c r="LT4" s="42"/>
      <c r="LU4" s="42"/>
      <c r="LV4" s="42"/>
      <c r="LW4" s="42"/>
      <c r="LX4" s="42"/>
      <c r="LY4" s="42"/>
      <c r="LZ4" s="42"/>
      <c r="MA4" s="42"/>
      <c r="MB4" s="42"/>
      <c r="MC4" s="42"/>
      <c r="MD4" s="42"/>
      <c r="ME4" s="42"/>
      <c r="MF4" s="42"/>
      <c r="MG4" s="42"/>
      <c r="MH4" s="42"/>
      <c r="MI4" s="42"/>
      <c r="MJ4" s="42"/>
      <c r="MK4" s="42"/>
      <c r="ML4" s="42"/>
      <c r="MM4" s="42"/>
      <c r="MN4" s="42"/>
      <c r="MO4" s="42"/>
      <c r="MP4" s="42"/>
      <c r="MQ4" s="42"/>
      <c r="MR4" s="42"/>
      <c r="MS4" s="42"/>
      <c r="MT4" s="42"/>
      <c r="MU4" s="42"/>
      <c r="MV4" s="42"/>
      <c r="MW4" s="42"/>
      <c r="MX4" s="42"/>
      <c r="MY4" s="42"/>
      <c r="MZ4" s="42"/>
      <c r="NA4" s="42"/>
      <c r="NB4" s="42"/>
      <c r="NC4" s="42"/>
      <c r="ND4" s="42"/>
      <c r="NE4" s="42"/>
      <c r="NF4" s="42"/>
      <c r="NG4" s="42"/>
      <c r="NH4" s="42"/>
      <c r="NI4" s="42"/>
      <c r="NJ4" s="42"/>
      <c r="NK4" s="42"/>
      <c r="NL4" s="42"/>
      <c r="NM4" s="42"/>
      <c r="NN4" s="42"/>
      <c r="NO4" s="42"/>
      <c r="NP4" s="42"/>
      <c r="NQ4" s="42"/>
      <c r="NR4" s="42"/>
      <c r="NS4" s="42"/>
      <c r="NT4" s="42"/>
      <c r="NU4" s="42"/>
      <c r="NV4" s="42"/>
      <c r="NW4" s="42"/>
      <c r="NX4" s="42"/>
      <c r="NY4" s="42"/>
      <c r="NZ4" s="42"/>
      <c r="OA4" s="42"/>
      <c r="OB4" s="42"/>
      <c r="OC4" s="42"/>
      <c r="OD4" s="42"/>
      <c r="OE4" s="42"/>
      <c r="OF4" s="42"/>
      <c r="OG4" s="42"/>
      <c r="OH4" s="42"/>
      <c r="OI4" s="42"/>
      <c r="OJ4" s="42"/>
      <c r="OK4" s="42"/>
      <c r="OL4" s="42"/>
      <c r="OM4" s="42"/>
      <c r="ON4" s="42"/>
      <c r="OO4" s="42"/>
      <c r="OP4" s="42"/>
      <c r="OQ4" s="42"/>
      <c r="OR4" s="42"/>
      <c r="OS4" s="42"/>
      <c r="OT4" s="42"/>
      <c r="OU4" s="42"/>
      <c r="OV4" s="42"/>
      <c r="OW4" s="42"/>
      <c r="OX4" s="42"/>
      <c r="OY4" s="42"/>
      <c r="OZ4" s="42"/>
      <c r="PA4" s="42"/>
      <c r="PB4" s="42"/>
      <c r="PC4" s="42"/>
      <c r="PD4" s="42"/>
      <c r="PE4" s="42"/>
      <c r="PF4" s="42"/>
      <c r="PG4" s="42"/>
      <c r="PH4" s="42"/>
      <c r="PI4" s="42"/>
      <c r="PJ4" s="42"/>
      <c r="PK4" s="42"/>
      <c r="PL4" s="42"/>
      <c r="PM4" s="42"/>
      <c r="PN4" s="42"/>
      <c r="PO4" s="42"/>
      <c r="PP4" s="42"/>
      <c r="PQ4" s="42"/>
      <c r="PR4" s="42"/>
      <c r="PS4" s="42"/>
      <c r="PT4" s="42"/>
      <c r="PU4" s="42"/>
      <c r="PV4" s="42"/>
      <c r="PW4" s="42"/>
      <c r="PX4" s="42"/>
      <c r="PY4" s="42"/>
      <c r="PZ4" s="42"/>
      <c r="QA4" s="42"/>
      <c r="QB4" s="42"/>
      <c r="QC4" s="42"/>
      <c r="QD4" s="42"/>
      <c r="QE4" s="42"/>
      <c r="QF4" s="42"/>
      <c r="QG4" s="42"/>
      <c r="QH4" s="42"/>
      <c r="QI4" s="42"/>
      <c r="QJ4" s="42"/>
      <c r="QK4" s="42"/>
      <c r="QL4" s="42"/>
      <c r="QM4" s="42"/>
      <c r="QN4" s="42"/>
      <c r="QO4" s="42"/>
      <c r="QP4" s="42"/>
      <c r="QQ4" s="42"/>
      <c r="QR4" s="42"/>
      <c r="QS4" s="42"/>
      <c r="QT4" s="42"/>
      <c r="QU4" s="42"/>
      <c r="QV4" s="42"/>
      <c r="QW4" s="42"/>
      <c r="QX4" s="42"/>
      <c r="QY4" s="42"/>
      <c r="QZ4" s="42"/>
      <c r="RA4" s="42"/>
      <c r="RB4" s="42"/>
      <c r="RC4" s="42"/>
      <c r="RD4" s="42"/>
      <c r="RE4" s="42"/>
      <c r="RF4" s="42"/>
      <c r="RG4" s="42"/>
      <c r="RH4" s="42"/>
      <c r="RI4" s="42"/>
      <c r="RJ4" s="42"/>
      <c r="RK4" s="42"/>
      <c r="RL4" s="42"/>
      <c r="RM4" s="42"/>
      <c r="RN4" s="42"/>
      <c r="RO4" s="42"/>
      <c r="RP4" s="42"/>
      <c r="RQ4" s="42"/>
      <c r="RR4" s="42"/>
      <c r="RS4" s="42"/>
      <c r="RT4" s="42"/>
      <c r="RU4" s="42"/>
      <c r="RV4" s="42"/>
      <c r="RW4" s="42"/>
      <c r="RX4" s="42"/>
      <c r="RY4" s="42"/>
      <c r="RZ4" s="42"/>
      <c r="SA4" s="42"/>
      <c r="SB4" s="42"/>
      <c r="SC4" s="42"/>
      <c r="SD4" s="42"/>
      <c r="SE4" s="42"/>
      <c r="SF4" s="42"/>
      <c r="SG4" s="42"/>
      <c r="SH4" s="42"/>
      <c r="SI4" s="42"/>
      <c r="SJ4" s="42"/>
      <c r="SK4" s="42"/>
      <c r="SL4" s="42"/>
      <c r="SM4" s="42"/>
      <c r="SN4" s="42"/>
      <c r="SO4" s="42"/>
      <c r="SP4" s="42"/>
      <c r="SQ4" s="42"/>
      <c r="SR4" s="42"/>
      <c r="SS4" s="42"/>
      <c r="ST4" s="42"/>
      <c r="SU4" s="42"/>
      <c r="SV4" s="42"/>
      <c r="SW4" s="42"/>
      <c r="SX4" s="42"/>
      <c r="SY4" s="42"/>
      <c r="SZ4" s="42"/>
      <c r="TA4" s="42"/>
      <c r="TB4" s="42"/>
      <c r="TC4" s="42"/>
      <c r="TD4" s="42"/>
      <c r="TE4" s="42"/>
      <c r="TF4" s="42"/>
      <c r="TG4" s="42"/>
      <c r="TH4" s="42"/>
      <c r="TI4" s="42"/>
      <c r="TJ4" s="42"/>
      <c r="TK4" s="42"/>
      <c r="TL4" s="42"/>
      <c r="TM4" s="42"/>
      <c r="TN4" s="42"/>
      <c r="TO4" s="42"/>
      <c r="TP4" s="42"/>
      <c r="TQ4" s="42"/>
      <c r="TR4" s="42"/>
      <c r="TS4" s="42"/>
      <c r="TT4" s="42"/>
      <c r="TU4" s="42"/>
      <c r="TV4" s="42"/>
      <c r="TW4" s="42"/>
      <c r="TX4" s="42"/>
      <c r="TY4" s="42"/>
      <c r="TZ4" s="42"/>
      <c r="UA4" s="42"/>
      <c r="UB4" s="42"/>
      <c r="UC4" s="42"/>
      <c r="UD4" s="42"/>
      <c r="UE4" s="42"/>
      <c r="UF4" s="42"/>
      <c r="UG4" s="42"/>
      <c r="UH4" s="42"/>
      <c r="UI4" s="42"/>
      <c r="UJ4" s="42"/>
      <c r="UK4" s="42"/>
      <c r="UL4" s="42"/>
      <c r="UM4" s="42"/>
      <c r="UN4" s="42"/>
      <c r="UO4" s="42"/>
      <c r="UP4" s="42"/>
      <c r="UQ4" s="42"/>
      <c r="UR4" s="42"/>
      <c r="US4" s="42"/>
      <c r="UT4" s="42"/>
      <c r="UU4" s="42"/>
      <c r="UV4" s="42"/>
      <c r="UW4" s="42"/>
      <c r="UX4" s="42"/>
      <c r="UY4" s="42"/>
      <c r="UZ4" s="42"/>
      <c r="VA4" s="42"/>
      <c r="VB4" s="42"/>
      <c r="VC4" s="42"/>
      <c r="VD4" s="42"/>
      <c r="VE4" s="42"/>
      <c r="VF4" s="42"/>
      <c r="VG4" s="42"/>
      <c r="VH4" s="42"/>
      <c r="VI4" s="42"/>
      <c r="VJ4" s="42"/>
      <c r="VK4" s="42"/>
      <c r="VL4" s="42"/>
      <c r="VM4" s="42"/>
      <c r="VN4" s="42"/>
      <c r="VO4" s="42"/>
      <c r="VP4" s="42"/>
      <c r="VQ4" s="42"/>
      <c r="VR4" s="42"/>
      <c r="VS4" s="42"/>
      <c r="VT4" s="42"/>
      <c r="VU4" s="42"/>
      <c r="VV4" s="42"/>
      <c r="VW4" s="42"/>
      <c r="VX4" s="42"/>
      <c r="VY4" s="42"/>
      <c r="VZ4" s="42"/>
      <c r="WA4" s="42"/>
      <c r="WB4" s="42"/>
      <c r="WC4" s="42"/>
      <c r="WD4" s="42"/>
      <c r="WE4" s="42"/>
      <c r="WF4" s="42"/>
      <c r="WG4" s="42"/>
      <c r="WH4" s="42"/>
      <c r="WI4" s="42"/>
      <c r="WJ4" s="42"/>
      <c r="WK4" s="42"/>
      <c r="WL4" s="42"/>
      <c r="WM4" s="42"/>
      <c r="WN4" s="42"/>
      <c r="WO4" s="42"/>
      <c r="WP4" s="42"/>
      <c r="WQ4" s="42"/>
      <c r="WR4" s="42"/>
      <c r="WS4" s="42"/>
      <c r="WT4" s="42"/>
      <c r="WU4" s="42"/>
      <c r="WV4" s="42"/>
      <c r="WW4" s="42"/>
      <c r="WX4" s="42"/>
      <c r="WY4" s="42"/>
      <c r="WZ4" s="42"/>
      <c r="XA4" s="42"/>
      <c r="XB4" s="42"/>
      <c r="XC4" s="42"/>
      <c r="XD4" s="42"/>
      <c r="XE4" s="42"/>
      <c r="XF4" s="42"/>
      <c r="XG4" s="42"/>
      <c r="XH4" s="42"/>
      <c r="XI4" s="42"/>
      <c r="XJ4" s="42"/>
      <c r="XK4" s="42"/>
      <c r="XL4" s="42"/>
      <c r="XM4" s="42"/>
      <c r="XN4" s="42"/>
      <c r="XO4" s="42"/>
      <c r="XP4" s="42"/>
      <c r="XQ4" s="42"/>
      <c r="XR4" s="42"/>
      <c r="XS4" s="42"/>
      <c r="XT4" s="42"/>
      <c r="XU4" s="42"/>
      <c r="XV4" s="42"/>
      <c r="XW4" s="42"/>
      <c r="XX4" s="42"/>
      <c r="XY4" s="42"/>
      <c r="XZ4" s="42"/>
      <c r="YA4" s="42"/>
      <c r="YB4" s="42"/>
      <c r="YC4" s="42"/>
      <c r="YD4" s="42"/>
      <c r="YE4" s="42"/>
      <c r="YF4" s="42"/>
      <c r="YG4" s="42"/>
      <c r="YH4" s="42"/>
      <c r="YI4" s="42"/>
      <c r="YJ4" s="42"/>
      <c r="YK4" s="42"/>
      <c r="YL4" s="42"/>
      <c r="YM4" s="42"/>
      <c r="YN4" s="42"/>
      <c r="YO4" s="42"/>
      <c r="YP4" s="42"/>
      <c r="YQ4" s="42"/>
      <c r="YR4" s="42"/>
      <c r="YS4" s="42"/>
      <c r="YT4" s="42"/>
      <c r="YU4" s="42"/>
      <c r="YV4" s="42"/>
      <c r="YW4" s="42"/>
      <c r="YX4" s="42"/>
      <c r="YY4" s="42"/>
      <c r="YZ4" s="42"/>
      <c r="ZA4" s="42"/>
      <c r="ZB4" s="42"/>
      <c r="ZC4" s="42"/>
      <c r="ZD4" s="42"/>
      <c r="ZE4" s="42"/>
      <c r="ZF4" s="42"/>
      <c r="ZG4" s="42"/>
      <c r="ZH4" s="42"/>
      <c r="ZI4" s="42"/>
      <c r="ZJ4" s="42"/>
      <c r="ZK4" s="42"/>
      <c r="ZL4" s="42"/>
      <c r="ZM4" s="42"/>
      <c r="ZN4" s="42"/>
      <c r="ZO4" s="42"/>
      <c r="ZP4" s="42"/>
      <c r="ZQ4" s="42"/>
      <c r="ZR4" s="42"/>
      <c r="ZS4" s="42"/>
      <c r="ZT4" s="42"/>
      <c r="ZU4" s="42"/>
      <c r="ZV4" s="42"/>
      <c r="ZW4" s="42"/>
      <c r="ZX4" s="42"/>
      <c r="ZY4" s="42"/>
      <c r="ZZ4" s="42"/>
      <c r="AAA4" s="42"/>
      <c r="AAB4" s="42"/>
      <c r="AAC4" s="42"/>
      <c r="AAD4" s="42"/>
      <c r="AAE4" s="42"/>
      <c r="AAF4" s="42"/>
      <c r="AAG4" s="42"/>
      <c r="AAH4" s="42"/>
      <c r="AAI4" s="42"/>
      <c r="AAJ4" s="42"/>
      <c r="AAK4" s="42"/>
      <c r="AAL4" s="42"/>
      <c r="AAM4" s="42"/>
      <c r="AAN4" s="42"/>
      <c r="AAO4" s="42"/>
      <c r="AAP4" s="42"/>
      <c r="AAQ4" s="42"/>
      <c r="AAR4" s="42"/>
      <c r="AAS4" s="42"/>
      <c r="AAT4" s="42"/>
      <c r="AAU4" s="42"/>
      <c r="AAV4" s="42"/>
      <c r="AAW4" s="42"/>
      <c r="AAX4" s="42"/>
      <c r="AAY4" s="42"/>
      <c r="AAZ4" s="42"/>
      <c r="ABA4" s="42"/>
      <c r="ABB4" s="42"/>
      <c r="ABC4" s="42"/>
      <c r="ABD4" s="42"/>
      <c r="ABE4" s="42"/>
      <c r="ABF4" s="42"/>
      <c r="ABG4" s="42"/>
      <c r="ABH4" s="42"/>
      <c r="ABI4" s="42"/>
      <c r="ABJ4" s="42"/>
      <c r="ABK4" s="42"/>
      <c r="ABL4" s="42"/>
      <c r="ABM4" s="42"/>
      <c r="ABN4" s="42"/>
      <c r="ABO4" s="42"/>
      <c r="ABP4" s="42"/>
      <c r="ABQ4" s="42"/>
      <c r="ABR4" s="42"/>
      <c r="ABS4" s="42"/>
      <c r="ABT4" s="42"/>
      <c r="ABU4" s="42"/>
      <c r="ABV4" s="42"/>
      <c r="ABW4" s="42"/>
      <c r="ABX4" s="42"/>
      <c r="ABY4" s="42"/>
      <c r="ABZ4" s="42"/>
      <c r="ACA4" s="42"/>
      <c r="ACB4" s="42"/>
      <c r="ACC4" s="42"/>
      <c r="ACD4" s="42"/>
      <c r="ACE4" s="42"/>
      <c r="ACF4" s="42"/>
      <c r="ACG4" s="42"/>
      <c r="ACH4" s="42"/>
      <c r="ACI4" s="42"/>
      <c r="ACJ4" s="42"/>
      <c r="ACK4" s="42"/>
      <c r="ACL4" s="42"/>
      <c r="ACM4" s="42"/>
      <c r="ACN4" s="42"/>
      <c r="ACO4" s="42"/>
      <c r="ACP4" s="42"/>
      <c r="ACQ4" s="42"/>
      <c r="ACR4" s="42"/>
      <c r="ACS4" s="42"/>
      <c r="ACT4" s="42"/>
      <c r="ACU4" s="42"/>
      <c r="ACV4" s="42"/>
      <c r="ACW4" s="42"/>
      <c r="ACX4" s="42"/>
      <c r="ACY4" s="42"/>
      <c r="ACZ4" s="42"/>
      <c r="ADA4" s="42"/>
      <c r="ADB4" s="42"/>
      <c r="ADC4" s="42"/>
      <c r="ADD4" s="42"/>
      <c r="ADE4" s="42"/>
      <c r="ADF4" s="42"/>
      <c r="ADG4" s="42"/>
      <c r="ADH4" s="42"/>
      <c r="ADI4" s="42"/>
      <c r="ADJ4" s="42"/>
      <c r="ADK4" s="42"/>
      <c r="ADL4" s="42"/>
      <c r="ADM4" s="42"/>
      <c r="ADN4" s="42"/>
      <c r="ADO4" s="42"/>
      <c r="ADP4" s="42"/>
      <c r="ADQ4" s="42"/>
      <c r="ADR4" s="42"/>
      <c r="ADS4" s="42"/>
      <c r="ADT4" s="42"/>
      <c r="ADU4" s="42"/>
      <c r="ADV4" s="42"/>
      <c r="ADW4" s="42"/>
      <c r="ADX4" s="42"/>
      <c r="ADY4" s="42"/>
      <c r="ADZ4" s="42"/>
      <c r="AEA4" s="42"/>
      <c r="AEB4" s="42"/>
      <c r="AEC4" s="42"/>
      <c r="AED4" s="42"/>
      <c r="AEE4" s="42"/>
      <c r="AEF4" s="42"/>
      <c r="AEG4" s="42"/>
      <c r="AEH4" s="42"/>
      <c r="AEI4" s="42"/>
      <c r="AEJ4" s="42"/>
      <c r="AEK4" s="42"/>
      <c r="AEL4" s="42"/>
      <c r="AEM4" s="42"/>
      <c r="AEN4" s="42"/>
      <c r="AEO4" s="42"/>
      <c r="AEP4" s="42"/>
      <c r="AEQ4" s="42"/>
      <c r="AER4" s="42"/>
      <c r="AES4" s="42"/>
      <c r="AET4" s="42"/>
      <c r="AEU4" s="42"/>
      <c r="AEV4" s="42"/>
      <c r="AEW4" s="42"/>
      <c r="AEX4" s="42"/>
      <c r="AEY4" s="42"/>
      <c r="AEZ4" s="42"/>
      <c r="AFA4" s="42"/>
      <c r="AFB4" s="42"/>
      <c r="AFC4" s="42"/>
      <c r="AFD4" s="42"/>
      <c r="AFE4" s="42"/>
      <c r="AFF4" s="42"/>
      <c r="AFG4" s="42"/>
      <c r="AFH4" s="42"/>
      <c r="AFI4" s="42"/>
      <c r="AFJ4" s="42"/>
      <c r="AFK4" s="42"/>
      <c r="AFL4" s="42"/>
      <c r="AFM4" s="42"/>
      <c r="AFN4" s="42"/>
      <c r="AFO4" s="42"/>
      <c r="AFP4" s="42"/>
      <c r="AFQ4" s="42"/>
      <c r="AFR4" s="42"/>
      <c r="AFS4" s="42"/>
      <c r="AFT4" s="42"/>
      <c r="AFU4" s="42"/>
      <c r="AFV4" s="42"/>
      <c r="AFW4" s="42"/>
      <c r="AFX4" s="42"/>
      <c r="AFY4" s="42"/>
      <c r="AFZ4" s="42"/>
      <c r="AGA4" s="42"/>
      <c r="AGB4" s="42"/>
      <c r="AGC4" s="42"/>
      <c r="AGD4" s="42"/>
      <c r="AGE4" s="42"/>
      <c r="AGF4" s="42"/>
      <c r="AGG4" s="42"/>
      <c r="AGH4" s="42"/>
      <c r="AGI4" s="42"/>
      <c r="AGJ4" s="42"/>
      <c r="AGK4" s="42"/>
      <c r="AGL4" s="42"/>
      <c r="AGM4" s="42"/>
      <c r="AGN4" s="42"/>
      <c r="AGO4" s="42"/>
      <c r="AGP4" s="42"/>
      <c r="AGQ4" s="42"/>
      <c r="AGR4" s="42"/>
      <c r="AGS4" s="42"/>
      <c r="AGT4" s="42"/>
      <c r="AGU4" s="42"/>
      <c r="AGV4" s="42"/>
      <c r="AGW4" s="42"/>
      <c r="AGX4" s="42"/>
      <c r="AGY4" s="42"/>
      <c r="AGZ4" s="42"/>
      <c r="AHA4" s="42"/>
      <c r="AHB4" s="42"/>
      <c r="AHC4" s="42"/>
      <c r="AHD4" s="42"/>
      <c r="AHE4" s="42"/>
      <c r="AHF4" s="42"/>
      <c r="AHG4" s="42"/>
      <c r="AHH4" s="42"/>
      <c r="AHI4" s="42"/>
      <c r="AHJ4" s="42"/>
      <c r="AHK4" s="42"/>
      <c r="AHL4" s="42"/>
      <c r="AHM4" s="42"/>
      <c r="AHN4" s="42"/>
      <c r="AHO4" s="42"/>
      <c r="AHP4" s="42"/>
      <c r="AHQ4" s="42"/>
      <c r="AHR4" s="42"/>
      <c r="AHS4" s="42"/>
      <c r="AHT4" s="42"/>
      <c r="AHU4" s="42"/>
      <c r="AHV4" s="42"/>
      <c r="AHW4" s="42"/>
      <c r="AHX4" s="42"/>
      <c r="AHY4" s="42"/>
      <c r="AHZ4" s="42"/>
      <c r="AIA4" s="42"/>
      <c r="AIB4" s="42"/>
      <c r="AIC4" s="42"/>
      <c r="AID4" s="42"/>
      <c r="AIE4" s="42"/>
      <c r="AIF4" s="42"/>
      <c r="AIG4" s="42"/>
      <c r="AIH4" s="42"/>
      <c r="AII4" s="42"/>
      <c r="AIJ4" s="42"/>
      <c r="AIK4" s="42"/>
      <c r="AIL4" s="42"/>
      <c r="AIM4" s="42"/>
      <c r="AIN4" s="42"/>
      <c r="AIO4" s="42"/>
      <c r="AIP4" s="42"/>
      <c r="AIQ4" s="42"/>
      <c r="AIR4" s="42"/>
      <c r="AIS4" s="42"/>
      <c r="AIT4" s="42"/>
      <c r="AIU4" s="42"/>
      <c r="AIV4" s="42"/>
      <c r="AIW4" s="42"/>
      <c r="AIX4" s="42"/>
      <c r="AIY4" s="42"/>
      <c r="AIZ4" s="42"/>
      <c r="AJA4" s="42"/>
      <c r="AJB4" s="42"/>
      <c r="AJC4" s="42"/>
      <c r="AJD4" s="42"/>
      <c r="AJE4" s="42"/>
      <c r="AJF4" s="42"/>
      <c r="AJG4" s="42"/>
      <c r="AJH4" s="42"/>
      <c r="AJI4" s="42"/>
      <c r="AJJ4" s="42"/>
      <c r="AJK4" s="42"/>
      <c r="AJL4" s="42"/>
      <c r="AJM4" s="42"/>
      <c r="AJN4" s="42"/>
      <c r="AJO4" s="42"/>
      <c r="AJP4" s="42"/>
      <c r="AJQ4" s="42"/>
      <c r="AJR4" s="42"/>
      <c r="AJS4" s="42"/>
      <c r="AJT4" s="42"/>
      <c r="AJU4" s="42"/>
      <c r="AJV4" s="42"/>
      <c r="AJW4" s="42"/>
      <c r="AJX4" s="42"/>
      <c r="AJY4" s="42"/>
      <c r="AJZ4" s="42"/>
      <c r="AKA4" s="42"/>
      <c r="AKB4" s="42"/>
      <c r="AKC4" s="42"/>
      <c r="AKD4" s="42"/>
      <c r="AKE4" s="42"/>
      <c r="AKF4" s="42"/>
      <c r="AKG4" s="42"/>
      <c r="AKH4" s="42"/>
      <c r="AKI4" s="42"/>
      <c r="AKJ4" s="42"/>
      <c r="AKK4" s="42"/>
      <c r="AKL4" s="42"/>
      <c r="AKM4" s="42"/>
      <c r="AKN4" s="42"/>
      <c r="AKO4" s="42"/>
      <c r="AKP4" s="42"/>
      <c r="AKQ4" s="42"/>
      <c r="AKR4" s="42"/>
      <c r="AKS4" s="42"/>
      <c r="AKT4" s="42"/>
      <c r="AKU4" s="42"/>
      <c r="AKV4" s="42"/>
      <c r="AKW4" s="42"/>
      <c r="AKX4" s="42"/>
      <c r="AKY4" s="42"/>
      <c r="AKZ4" s="42"/>
      <c r="ALA4" s="42"/>
      <c r="ALB4" s="42"/>
      <c r="ALC4" s="42"/>
      <c r="ALD4" s="42"/>
      <c r="ALE4" s="42"/>
      <c r="ALF4" s="42"/>
      <c r="ALG4" s="42"/>
      <c r="ALH4" s="42"/>
      <c r="ALI4" s="42"/>
      <c r="ALJ4" s="42"/>
      <c r="ALK4" s="42"/>
      <c r="ALL4" s="42"/>
      <c r="ALM4" s="42"/>
      <c r="ALN4" s="42"/>
      <c r="ALO4" s="42"/>
      <c r="ALP4" s="42"/>
      <c r="ALQ4" s="42"/>
      <c r="ALR4" s="42"/>
      <c r="ALS4" s="42"/>
      <c r="ALT4" s="42"/>
      <c r="ALU4" s="42"/>
      <c r="ALV4" s="42"/>
      <c r="ALW4" s="42"/>
      <c r="ALX4" s="42"/>
      <c r="ALY4" s="42"/>
      <c r="ALZ4" s="42"/>
      <c r="AMA4" s="42"/>
      <c r="AMB4" s="42"/>
      <c r="AMC4" s="42"/>
      <c r="AMD4" s="42"/>
      <c r="AME4" s="42"/>
      <c r="AMF4" s="42"/>
      <c r="AMG4" s="42"/>
      <c r="AMH4" s="42"/>
      <c r="AMI4" s="42"/>
      <c r="AMJ4" s="42"/>
      <c r="AMK4" s="42"/>
      <c r="AML4" s="42"/>
      <c r="AMM4" s="42"/>
      <c r="AMN4" s="42"/>
      <c r="AMO4" s="42"/>
      <c r="AMP4" s="42"/>
      <c r="AMQ4" s="42"/>
      <c r="AMR4" s="42"/>
      <c r="AMS4" s="42"/>
      <c r="AMT4" s="42"/>
      <c r="AMU4" s="42"/>
      <c r="AMV4" s="42"/>
      <c r="AMW4" s="42"/>
      <c r="AMX4" s="42"/>
      <c r="AMY4" s="42"/>
      <c r="AMZ4" s="42"/>
      <c r="ANA4" s="42"/>
      <c r="ANB4" s="42"/>
      <c r="ANC4" s="42"/>
      <c r="AND4" s="42"/>
      <c r="ANE4" s="42"/>
      <c r="ANF4" s="42"/>
      <c r="ANG4" s="42"/>
      <c r="ANH4" s="42"/>
      <c r="ANI4" s="42"/>
      <c r="ANJ4" s="42"/>
      <c r="ANK4" s="42"/>
      <c r="ANL4" s="42"/>
      <c r="ANM4" s="42"/>
      <c r="ANN4" s="42"/>
      <c r="ANO4" s="42"/>
      <c r="ANP4" s="42"/>
      <c r="ANQ4" s="42"/>
      <c r="ANR4" s="42"/>
      <c r="ANS4" s="42"/>
      <c r="ANT4" s="42"/>
      <c r="ANU4" s="42"/>
      <c r="ANV4" s="42"/>
      <c r="ANW4" s="42"/>
      <c r="ANX4" s="42"/>
      <c r="ANY4" s="42"/>
      <c r="ANZ4" s="42"/>
      <c r="AOA4" s="42"/>
      <c r="AOB4" s="42"/>
      <c r="AOC4" s="42"/>
      <c r="AOD4" s="42"/>
      <c r="AOE4" s="42"/>
      <c r="AOF4" s="42"/>
      <c r="AOG4" s="42"/>
      <c r="AOH4" s="42"/>
      <c r="AOI4" s="42"/>
      <c r="AOJ4" s="42"/>
      <c r="AOK4" s="42"/>
      <c r="AOL4" s="42"/>
      <c r="AOM4" s="42"/>
      <c r="AON4" s="42"/>
      <c r="AOO4" s="42"/>
      <c r="AOP4" s="42"/>
      <c r="AOQ4" s="42"/>
      <c r="AOR4" s="42"/>
      <c r="AOS4" s="42"/>
      <c r="AOT4" s="42"/>
      <c r="AOU4" s="42"/>
      <c r="AOV4" s="42"/>
      <c r="AOW4" s="42"/>
      <c r="AOX4" s="42"/>
      <c r="AOY4" s="42"/>
      <c r="AOZ4" s="42"/>
      <c r="APA4" s="42"/>
      <c r="APB4" s="42"/>
      <c r="APC4" s="42"/>
      <c r="APD4" s="42"/>
      <c r="APE4" s="42"/>
      <c r="APF4" s="42"/>
      <c r="APG4" s="42"/>
      <c r="APH4" s="42"/>
      <c r="API4" s="42"/>
      <c r="APJ4" s="42"/>
      <c r="APK4" s="42"/>
      <c r="APL4" s="42"/>
      <c r="APM4" s="42"/>
      <c r="APN4" s="42"/>
      <c r="APO4" s="42"/>
      <c r="APP4" s="42"/>
      <c r="APQ4" s="42"/>
      <c r="APR4" s="42"/>
      <c r="APS4" s="42"/>
      <c r="APT4" s="42"/>
      <c r="APU4" s="42"/>
      <c r="APV4" s="42"/>
      <c r="APW4" s="42"/>
      <c r="APX4" s="42"/>
      <c r="APY4" s="42"/>
      <c r="APZ4" s="42"/>
      <c r="AQA4" s="42"/>
      <c r="AQB4" s="42"/>
      <c r="AQC4" s="42"/>
      <c r="AQD4" s="42"/>
      <c r="AQE4" s="42"/>
      <c r="AQF4" s="42"/>
      <c r="AQG4" s="42"/>
      <c r="AQH4" s="42"/>
      <c r="AQI4" s="42"/>
      <c r="AQJ4" s="42"/>
      <c r="AQK4" s="42"/>
      <c r="AQL4" s="42"/>
      <c r="AQM4" s="42"/>
      <c r="AQN4" s="42"/>
      <c r="AQO4" s="42"/>
      <c r="AQP4" s="42"/>
      <c r="AQQ4" s="42"/>
      <c r="AQR4" s="42"/>
      <c r="AQS4" s="42"/>
      <c r="AQT4" s="42"/>
      <c r="AQU4" s="42"/>
      <c r="AQV4" s="42"/>
      <c r="AQW4" s="42"/>
      <c r="AQX4" s="42"/>
      <c r="AQY4" s="42"/>
      <c r="AQZ4" s="42"/>
      <c r="ARA4" s="42"/>
      <c r="ARB4" s="42"/>
      <c r="ARC4" s="42"/>
      <c r="ARD4" s="42"/>
      <c r="ARE4" s="42"/>
      <c r="ARF4" s="42"/>
      <c r="ARG4" s="42"/>
      <c r="ARH4" s="42"/>
      <c r="ARI4" s="42"/>
      <c r="ARJ4" s="42"/>
      <c r="ARK4" s="42"/>
      <c r="ARL4" s="42"/>
      <c r="ARM4" s="42"/>
      <c r="ARN4" s="42"/>
      <c r="ARO4" s="42"/>
      <c r="ARP4" s="42"/>
      <c r="ARQ4" s="42"/>
      <c r="ARR4" s="42"/>
      <c r="ARS4" s="42"/>
      <c r="ART4" s="42"/>
      <c r="ARU4" s="42"/>
      <c r="ARV4" s="42"/>
      <c r="ARW4" s="42"/>
      <c r="ARX4" s="42"/>
      <c r="ARY4" s="42"/>
      <c r="ARZ4" s="42"/>
      <c r="ASA4" s="42"/>
      <c r="ASB4" s="42"/>
      <c r="ASC4" s="42"/>
      <c r="ASD4" s="42"/>
      <c r="ASE4" s="42"/>
      <c r="ASF4" s="42"/>
      <c r="ASG4" s="42"/>
      <c r="ASH4" s="42"/>
      <c r="ASI4" s="42"/>
      <c r="ASJ4" s="42"/>
      <c r="ASK4" s="42"/>
      <c r="ASL4" s="42"/>
      <c r="ASM4" s="42"/>
      <c r="ASN4" s="42"/>
      <c r="ASO4" s="42"/>
      <c r="ASP4" s="42"/>
      <c r="ASQ4" s="42"/>
      <c r="ASR4" s="42"/>
      <c r="ASS4" s="42"/>
      <c r="AST4" s="42"/>
      <c r="ASU4" s="42"/>
      <c r="ASV4" s="42"/>
      <c r="ASW4" s="42"/>
      <c r="ASX4" s="42"/>
      <c r="ASY4" s="42"/>
      <c r="ASZ4" s="42"/>
      <c r="ATA4" s="42"/>
      <c r="ATB4" s="42"/>
      <c r="ATC4" s="42"/>
      <c r="ATD4" s="42"/>
      <c r="ATE4" s="42"/>
      <c r="ATF4" s="42"/>
      <c r="ATG4" s="42"/>
      <c r="ATH4" s="42"/>
      <c r="ATI4" s="42"/>
      <c r="ATJ4" s="42"/>
      <c r="ATK4" s="42"/>
      <c r="ATL4" s="42"/>
      <c r="ATM4" s="42"/>
      <c r="ATN4" s="42"/>
      <c r="ATO4" s="42"/>
      <c r="ATP4" s="42"/>
      <c r="ATQ4" s="42"/>
      <c r="ATR4" s="42"/>
      <c r="ATS4" s="42"/>
      <c r="ATT4" s="42"/>
      <c r="ATU4" s="42"/>
      <c r="ATV4" s="42"/>
      <c r="ATW4" s="42"/>
      <c r="ATX4" s="42"/>
      <c r="ATY4" s="42"/>
      <c r="ATZ4" s="42"/>
      <c r="AUA4" s="42"/>
      <c r="AUB4" s="42"/>
      <c r="AUC4" s="42"/>
      <c r="AUD4" s="42"/>
      <c r="AUE4" s="42"/>
      <c r="AUF4" s="42"/>
      <c r="AUG4" s="42"/>
      <c r="AUH4" s="42"/>
      <c r="AUI4" s="42"/>
      <c r="AUJ4" s="42"/>
      <c r="AUK4" s="42"/>
      <c r="AUL4" s="42"/>
      <c r="AUM4" s="42"/>
      <c r="AUN4" s="42"/>
      <c r="AUO4" s="42"/>
      <c r="AUP4" s="42"/>
      <c r="AUQ4" s="42"/>
      <c r="AUR4" s="42"/>
      <c r="AUS4" s="42"/>
      <c r="AUT4" s="42"/>
      <c r="AUU4" s="42"/>
      <c r="AUV4" s="42"/>
      <c r="AUW4" s="42"/>
      <c r="AUX4" s="42"/>
      <c r="AUY4" s="42"/>
      <c r="AUZ4" s="42"/>
      <c r="AVA4" s="42"/>
      <c r="AVB4" s="42"/>
      <c r="AVC4" s="42"/>
      <c r="AVD4" s="42"/>
      <c r="AVE4" s="42"/>
      <c r="AVF4" s="42"/>
      <c r="AVG4" s="42"/>
      <c r="AVH4" s="42"/>
      <c r="AVI4" s="42"/>
      <c r="AVJ4" s="42"/>
      <c r="AVK4" s="42"/>
      <c r="AVL4" s="42"/>
      <c r="AVM4" s="42"/>
      <c r="AVN4" s="42"/>
      <c r="AVO4" s="42"/>
      <c r="AVP4" s="42"/>
      <c r="AVQ4" s="42"/>
      <c r="AVR4" s="42"/>
      <c r="AVS4" s="42"/>
      <c r="AVT4" s="42"/>
      <c r="AVU4" s="42"/>
      <c r="AVV4" s="42"/>
      <c r="AVW4" s="42"/>
      <c r="AVX4" s="42"/>
      <c r="AVY4" s="42"/>
      <c r="AVZ4" s="42"/>
      <c r="AWA4" s="42"/>
      <c r="AWB4" s="42"/>
      <c r="AWC4" s="42"/>
      <c r="AWD4" s="42"/>
      <c r="AWE4" s="42"/>
      <c r="AWF4" s="42"/>
      <c r="AWG4" s="42"/>
      <c r="AWH4" s="42"/>
      <c r="AWI4" s="42"/>
      <c r="AWJ4" s="42"/>
      <c r="AWK4" s="42"/>
      <c r="AWL4" s="42"/>
      <c r="AWM4" s="42"/>
      <c r="AWN4" s="42"/>
      <c r="AWO4" s="42"/>
      <c r="AWP4" s="42"/>
      <c r="AWQ4" s="42"/>
      <c r="AWR4" s="42"/>
      <c r="AWS4" s="42"/>
      <c r="AWT4" s="42"/>
      <c r="AWU4" s="42"/>
      <c r="AWV4" s="42"/>
      <c r="AWW4" s="42"/>
      <c r="AWX4" s="42"/>
      <c r="AWY4" s="42"/>
      <c r="AWZ4" s="42"/>
      <c r="AXA4" s="42"/>
      <c r="AXB4" s="42"/>
      <c r="AXC4" s="42"/>
      <c r="AXD4" s="42"/>
      <c r="AXE4" s="42"/>
      <c r="AXF4" s="42"/>
      <c r="AXG4" s="42"/>
      <c r="AXH4" s="42"/>
      <c r="AXI4" s="42"/>
      <c r="AXJ4" s="42"/>
      <c r="AXK4" s="42"/>
      <c r="AXL4" s="42"/>
      <c r="AXM4" s="42"/>
      <c r="AXN4" s="42"/>
      <c r="AXO4" s="42"/>
      <c r="AXP4" s="42"/>
      <c r="AXQ4" s="42"/>
      <c r="AXR4" s="42"/>
      <c r="AXS4" s="42"/>
      <c r="AXT4" s="42"/>
      <c r="AXU4" s="42"/>
      <c r="AXV4" s="42"/>
      <c r="AXW4" s="42"/>
      <c r="AXX4" s="42"/>
      <c r="AXY4" s="42"/>
      <c r="AXZ4" s="42"/>
      <c r="AYA4" s="42"/>
      <c r="AYB4" s="42"/>
      <c r="AYC4" s="42"/>
      <c r="AYD4" s="42"/>
      <c r="AYE4" s="42"/>
      <c r="AYF4" s="42"/>
      <c r="AYG4" s="42"/>
      <c r="AYH4" s="42"/>
      <c r="AYI4" s="42"/>
      <c r="AYJ4" s="42"/>
      <c r="AYK4" s="42"/>
      <c r="AYL4" s="42"/>
      <c r="AYM4" s="42"/>
      <c r="AYN4" s="42"/>
      <c r="AYO4" s="42"/>
      <c r="AYP4" s="42"/>
      <c r="AYQ4" s="42"/>
      <c r="AYR4" s="42"/>
      <c r="AYS4" s="42"/>
      <c r="AYT4" s="42"/>
      <c r="AYU4" s="42"/>
      <c r="AYV4" s="42"/>
      <c r="AYW4" s="42"/>
      <c r="AYX4" s="42"/>
      <c r="AYY4" s="42"/>
      <c r="AYZ4" s="42"/>
      <c r="AZA4" s="42"/>
      <c r="AZB4" s="42"/>
      <c r="AZC4" s="42"/>
      <c r="AZD4" s="42"/>
      <c r="AZE4" s="42"/>
      <c r="AZF4" s="42"/>
      <c r="AZG4" s="42"/>
      <c r="AZH4" s="42"/>
      <c r="AZI4" s="42"/>
      <c r="AZJ4" s="42"/>
      <c r="AZK4" s="42"/>
      <c r="AZL4" s="42"/>
      <c r="AZM4" s="42"/>
      <c r="AZN4" s="42"/>
      <c r="AZO4" s="42"/>
      <c r="AZP4" s="42"/>
      <c r="AZQ4" s="42"/>
      <c r="AZR4" s="42"/>
      <c r="AZS4" s="42"/>
      <c r="AZT4" s="42"/>
      <c r="AZU4" s="42"/>
      <c r="AZV4" s="42"/>
      <c r="AZW4" s="42"/>
      <c r="AZX4" s="42"/>
      <c r="AZY4" s="42"/>
      <c r="AZZ4" s="42"/>
      <c r="BAA4" s="42"/>
      <c r="BAB4" s="42"/>
      <c r="BAC4" s="42"/>
      <c r="BAD4" s="42"/>
      <c r="BAE4" s="42"/>
      <c r="BAF4" s="42"/>
      <c r="BAG4" s="42"/>
      <c r="BAH4" s="42"/>
      <c r="BAI4" s="42"/>
      <c r="BAJ4" s="42"/>
      <c r="BAK4" s="42"/>
      <c r="BAL4" s="42"/>
      <c r="BAM4" s="42"/>
      <c r="BAN4" s="42"/>
      <c r="BAO4" s="42"/>
      <c r="BAP4" s="42"/>
      <c r="BAQ4" s="42"/>
      <c r="BAR4" s="42"/>
      <c r="BAS4" s="42"/>
      <c r="BAT4" s="42"/>
      <c r="BAU4" s="42"/>
      <c r="BAV4" s="42"/>
      <c r="BAW4" s="42"/>
      <c r="BAX4" s="42"/>
      <c r="BAY4" s="42"/>
      <c r="BAZ4" s="42"/>
      <c r="BBA4" s="42"/>
      <c r="BBB4" s="42"/>
      <c r="BBC4" s="42"/>
      <c r="BBD4" s="42"/>
      <c r="BBE4" s="42"/>
      <c r="BBF4" s="42"/>
      <c r="BBG4" s="42"/>
      <c r="BBH4" s="42"/>
      <c r="BBI4" s="42"/>
      <c r="BBJ4" s="42"/>
      <c r="BBK4" s="42"/>
      <c r="BBL4" s="42"/>
      <c r="BBM4" s="42"/>
      <c r="BBN4" s="42"/>
      <c r="BBO4" s="42"/>
      <c r="BBP4" s="42"/>
      <c r="BBQ4" s="42"/>
      <c r="BBR4" s="42"/>
      <c r="BBS4" s="42"/>
      <c r="BBT4" s="42"/>
      <c r="BBU4" s="42"/>
      <c r="BBV4" s="42"/>
      <c r="BBW4" s="42"/>
      <c r="BBX4" s="42"/>
      <c r="BBY4" s="42"/>
      <c r="BBZ4" s="42"/>
      <c r="BCA4" s="42"/>
      <c r="BCB4" s="42"/>
      <c r="BCC4" s="42"/>
      <c r="BCD4" s="42"/>
      <c r="BCE4" s="42"/>
      <c r="BCF4" s="42"/>
      <c r="BCG4" s="42"/>
      <c r="BCH4" s="42"/>
      <c r="BCI4" s="42"/>
      <c r="BCJ4" s="42"/>
      <c r="BCK4" s="42"/>
      <c r="BCL4" s="42"/>
      <c r="BCM4" s="42"/>
      <c r="BCN4" s="42"/>
      <c r="BCO4" s="42"/>
      <c r="BCP4" s="42"/>
      <c r="BCQ4" s="42"/>
      <c r="BCR4" s="42"/>
      <c r="BCS4" s="42"/>
      <c r="BCT4" s="42"/>
      <c r="BCU4" s="42"/>
      <c r="BCV4" s="42"/>
      <c r="BCW4" s="42"/>
      <c r="BCX4" s="42"/>
      <c r="BCY4" s="42"/>
      <c r="BCZ4" s="42"/>
      <c r="BDA4" s="42"/>
      <c r="BDB4" s="42"/>
      <c r="BDC4" s="42"/>
      <c r="BDD4" s="42"/>
      <c r="BDE4" s="42"/>
      <c r="BDF4" s="42"/>
      <c r="BDG4" s="42"/>
      <c r="BDH4" s="42"/>
      <c r="BDI4" s="42"/>
      <c r="BDJ4" s="42"/>
      <c r="BDK4" s="42"/>
      <c r="BDL4" s="42"/>
      <c r="BDM4" s="42"/>
      <c r="BDN4" s="42"/>
      <c r="BDO4" s="42"/>
      <c r="BDP4" s="42"/>
      <c r="BDQ4" s="42"/>
      <c r="BDR4" s="42"/>
      <c r="BDS4" s="42"/>
      <c r="BDT4" s="42"/>
      <c r="BDU4" s="42"/>
      <c r="BDV4" s="42"/>
      <c r="BDW4" s="42"/>
      <c r="BDX4" s="42"/>
      <c r="BDY4" s="42"/>
      <c r="BDZ4" s="42"/>
      <c r="BEA4" s="42"/>
      <c r="BEB4" s="42"/>
      <c r="BEC4" s="42"/>
      <c r="BED4" s="42"/>
      <c r="BEE4" s="42"/>
      <c r="BEF4" s="42"/>
      <c r="BEG4" s="42"/>
      <c r="BEH4" s="42"/>
      <c r="BEI4" s="42"/>
      <c r="BEJ4" s="42"/>
      <c r="BEK4" s="42"/>
      <c r="BEL4" s="42"/>
      <c r="BEM4" s="42"/>
      <c r="BEN4" s="42"/>
      <c r="BEO4" s="42"/>
      <c r="BEP4" s="42"/>
      <c r="BEQ4" s="42"/>
      <c r="BER4" s="42"/>
      <c r="BES4" s="42"/>
      <c r="BET4" s="42"/>
      <c r="BEU4" s="42"/>
      <c r="BEV4" s="42"/>
      <c r="BEW4" s="42"/>
      <c r="BEX4" s="42"/>
      <c r="BEY4" s="42"/>
      <c r="BEZ4" s="42"/>
      <c r="BFA4" s="42"/>
      <c r="BFB4" s="42"/>
      <c r="BFC4" s="42"/>
      <c r="BFD4" s="42"/>
      <c r="BFE4" s="42"/>
      <c r="BFF4" s="42"/>
      <c r="BFG4" s="42"/>
      <c r="BFH4" s="42"/>
      <c r="BFI4" s="42"/>
      <c r="BFJ4" s="42"/>
      <c r="BFK4" s="42"/>
      <c r="BFL4" s="42"/>
      <c r="BFM4" s="42"/>
      <c r="BFN4" s="42"/>
      <c r="BFO4" s="42"/>
      <c r="BFP4" s="42"/>
      <c r="BFQ4" s="42"/>
      <c r="BFR4" s="42"/>
      <c r="BFS4" s="42"/>
      <c r="BFT4" s="42"/>
      <c r="BFU4" s="42"/>
      <c r="BFV4" s="42"/>
      <c r="BFW4" s="42"/>
      <c r="BFX4" s="42"/>
      <c r="BFY4" s="42"/>
      <c r="BFZ4" s="42"/>
      <c r="BGA4" s="42"/>
      <c r="BGB4" s="42"/>
      <c r="BGC4" s="42"/>
      <c r="BGD4" s="42"/>
      <c r="BGE4" s="42"/>
      <c r="BGF4" s="42"/>
      <c r="BGG4" s="42"/>
      <c r="BGH4" s="42"/>
      <c r="BGI4" s="42"/>
      <c r="BGJ4" s="42"/>
      <c r="BGK4" s="42"/>
      <c r="BGL4" s="42"/>
      <c r="BGM4" s="42"/>
      <c r="BGN4" s="42"/>
      <c r="BGO4" s="42"/>
      <c r="BGP4" s="42"/>
      <c r="BGQ4" s="42"/>
      <c r="BGR4" s="42"/>
      <c r="BGS4" s="42"/>
      <c r="BGT4" s="42"/>
      <c r="BGU4" s="42"/>
      <c r="BGV4" s="42"/>
      <c r="BGW4" s="42"/>
      <c r="BGX4" s="42"/>
      <c r="BGY4" s="42"/>
      <c r="BGZ4" s="42"/>
      <c r="BHA4" s="42"/>
      <c r="BHB4" s="42"/>
      <c r="BHC4" s="42"/>
      <c r="BHD4" s="42"/>
      <c r="BHE4" s="42"/>
      <c r="BHF4" s="42"/>
      <c r="BHG4" s="42"/>
      <c r="BHH4" s="42"/>
      <c r="BHI4" s="42"/>
      <c r="BHJ4" s="42"/>
      <c r="BHK4" s="42"/>
      <c r="BHL4" s="42"/>
      <c r="BHM4" s="42"/>
      <c r="BHN4" s="42"/>
      <c r="BHO4" s="42"/>
      <c r="BHP4" s="42"/>
      <c r="BHQ4" s="42"/>
      <c r="BHR4" s="42"/>
      <c r="BHS4" s="42"/>
      <c r="BHT4" s="42"/>
      <c r="BHU4" s="42"/>
      <c r="BHV4" s="42"/>
      <c r="BHW4" s="42"/>
      <c r="BHX4" s="42"/>
      <c r="BHY4" s="42"/>
      <c r="BHZ4" s="42"/>
      <c r="BIA4" s="42"/>
      <c r="BIB4" s="42"/>
      <c r="BIC4" s="42"/>
      <c r="BID4" s="42"/>
      <c r="BIE4" s="42"/>
      <c r="BIF4" s="42"/>
      <c r="BIG4" s="42"/>
      <c r="BIH4" s="42"/>
      <c r="BII4" s="42"/>
      <c r="BIJ4" s="42"/>
      <c r="BIK4" s="42"/>
      <c r="BIL4" s="42"/>
      <c r="BIM4" s="42"/>
      <c r="BIN4" s="42"/>
      <c r="BIO4" s="42"/>
      <c r="BIP4" s="42"/>
      <c r="BIQ4" s="42"/>
      <c r="BIR4" s="42"/>
      <c r="BIS4" s="42"/>
      <c r="BIT4" s="42"/>
      <c r="BIU4" s="42"/>
      <c r="BIV4" s="42"/>
      <c r="BIW4" s="42"/>
      <c r="BIX4" s="42"/>
      <c r="BIY4" s="42"/>
      <c r="BIZ4" s="42"/>
      <c r="BJA4" s="42"/>
      <c r="BJB4" s="42"/>
      <c r="BJC4" s="42"/>
      <c r="BJD4" s="42"/>
      <c r="BJE4" s="42"/>
      <c r="BJF4" s="42"/>
      <c r="BJG4" s="42"/>
      <c r="BJH4" s="42"/>
      <c r="BJI4" s="42"/>
      <c r="BJJ4" s="42"/>
      <c r="BJK4" s="42"/>
      <c r="BJL4" s="42"/>
      <c r="BJM4" s="42"/>
      <c r="BJN4" s="42"/>
      <c r="BJO4" s="42"/>
      <c r="BJP4" s="42"/>
      <c r="BJQ4" s="42"/>
      <c r="BJR4" s="42"/>
      <c r="BJS4" s="42"/>
      <c r="BJT4" s="42"/>
      <c r="BJU4" s="42"/>
      <c r="BJV4" s="42"/>
      <c r="BJW4" s="42"/>
      <c r="BJX4" s="42"/>
      <c r="BJY4" s="42"/>
      <c r="BJZ4" s="42"/>
      <c r="BKA4" s="42"/>
      <c r="BKB4" s="42"/>
      <c r="BKC4" s="42"/>
      <c r="BKD4" s="42"/>
      <c r="BKE4" s="42"/>
      <c r="BKF4" s="42"/>
      <c r="BKG4" s="42"/>
      <c r="BKH4" s="42"/>
      <c r="BKI4" s="42"/>
      <c r="BKJ4" s="42"/>
      <c r="BKK4" s="42"/>
      <c r="BKL4" s="42"/>
      <c r="BKM4" s="42"/>
      <c r="BKN4" s="42"/>
      <c r="BKO4" s="42"/>
      <c r="BKP4" s="42"/>
      <c r="BKQ4" s="42"/>
      <c r="BKR4" s="42"/>
      <c r="BKS4" s="42"/>
      <c r="BKT4" s="42"/>
      <c r="BKU4" s="42"/>
      <c r="BKV4" s="42"/>
      <c r="BKW4" s="42"/>
      <c r="BKX4" s="42"/>
      <c r="BKY4" s="42"/>
      <c r="BKZ4" s="42"/>
      <c r="BLA4" s="42"/>
      <c r="BLB4" s="42"/>
      <c r="BLC4" s="42"/>
      <c r="BLD4" s="42"/>
      <c r="BLE4" s="42"/>
      <c r="BLF4" s="42"/>
      <c r="BLG4" s="42"/>
      <c r="BLH4" s="42"/>
      <c r="BLI4" s="42"/>
      <c r="BLJ4" s="42"/>
      <c r="BLK4" s="42"/>
      <c r="BLL4" s="42"/>
      <c r="BLM4" s="42"/>
      <c r="BLN4" s="42"/>
      <c r="BLO4" s="42"/>
      <c r="BLP4" s="42"/>
      <c r="BLQ4" s="42"/>
      <c r="BLR4" s="42"/>
      <c r="BLS4" s="42"/>
      <c r="BLT4" s="42"/>
      <c r="BLU4" s="42"/>
      <c r="BLV4" s="42"/>
      <c r="BLW4" s="42"/>
      <c r="BLX4" s="42"/>
      <c r="BLY4" s="42"/>
      <c r="BLZ4" s="42"/>
      <c r="BMA4" s="42"/>
      <c r="BMB4" s="42"/>
      <c r="BMC4" s="42"/>
      <c r="BMD4" s="42"/>
      <c r="BME4" s="42"/>
      <c r="BMF4" s="42"/>
      <c r="BMG4" s="42"/>
      <c r="BMH4" s="42"/>
      <c r="BMI4" s="42"/>
      <c r="BMJ4" s="42"/>
      <c r="BMK4" s="42"/>
      <c r="BML4" s="42"/>
      <c r="BMM4" s="42"/>
      <c r="BMN4" s="42"/>
      <c r="BMO4" s="42"/>
      <c r="BMP4" s="42"/>
      <c r="BMQ4" s="42"/>
      <c r="BMR4" s="42"/>
      <c r="BMS4" s="42"/>
      <c r="BMT4" s="42"/>
      <c r="BMU4" s="42"/>
      <c r="BMV4" s="42"/>
      <c r="BMW4" s="42"/>
      <c r="BMX4" s="42"/>
      <c r="BMY4" s="42"/>
      <c r="BMZ4" s="42"/>
      <c r="BNA4" s="42"/>
      <c r="BNB4" s="42"/>
      <c r="BNC4" s="42"/>
      <c r="BND4" s="42"/>
      <c r="BNE4" s="42"/>
      <c r="BNF4" s="42"/>
      <c r="BNG4" s="42"/>
      <c r="BNH4" s="42"/>
      <c r="BNI4" s="42"/>
      <c r="BNJ4" s="42"/>
      <c r="BNK4" s="42"/>
      <c r="BNL4" s="42"/>
      <c r="BNM4" s="42"/>
      <c r="BNN4" s="42"/>
      <c r="BNO4" s="42"/>
      <c r="BNP4" s="42"/>
      <c r="BNQ4" s="42"/>
      <c r="BNR4" s="42"/>
      <c r="BNS4" s="42"/>
      <c r="BNT4" s="42"/>
      <c r="BNU4" s="42"/>
      <c r="BNV4" s="42"/>
      <c r="BNW4" s="42"/>
      <c r="BNX4" s="42"/>
      <c r="BNY4" s="42"/>
      <c r="BNZ4" s="42"/>
      <c r="BOA4" s="42"/>
      <c r="BOB4" s="42"/>
      <c r="BOC4" s="42"/>
      <c r="BOD4" s="42"/>
      <c r="BOE4" s="42"/>
      <c r="BOF4" s="42"/>
      <c r="BOG4" s="42"/>
      <c r="BOH4" s="42"/>
      <c r="BOI4" s="42"/>
      <c r="BOJ4" s="42"/>
      <c r="BOK4" s="42"/>
      <c r="BOL4" s="42"/>
      <c r="BOM4" s="42"/>
      <c r="BON4" s="42"/>
      <c r="BOO4" s="42"/>
      <c r="BOP4" s="42"/>
      <c r="BOQ4" s="42"/>
      <c r="BOR4" s="42"/>
      <c r="BOS4" s="42"/>
      <c r="BOT4" s="42"/>
      <c r="BOU4" s="42"/>
      <c r="BOV4" s="42"/>
      <c r="BOW4" s="42"/>
      <c r="BOX4" s="42"/>
      <c r="BOY4" s="42"/>
      <c r="BOZ4" s="42"/>
      <c r="BPA4" s="42"/>
      <c r="BPB4" s="42"/>
      <c r="BPC4" s="42"/>
      <c r="BPD4" s="42"/>
      <c r="BPE4" s="42"/>
      <c r="BPF4" s="42"/>
      <c r="BPG4" s="42"/>
      <c r="BPH4" s="42"/>
      <c r="BPI4" s="42"/>
      <c r="BPJ4" s="42"/>
      <c r="BPK4" s="42"/>
      <c r="BPL4" s="42"/>
      <c r="BPM4" s="42"/>
      <c r="BPN4" s="42"/>
      <c r="BPO4" s="42"/>
      <c r="BPP4" s="42"/>
      <c r="BPQ4" s="42"/>
      <c r="BPR4" s="42"/>
      <c r="BPS4" s="42"/>
      <c r="BPT4" s="42"/>
      <c r="BPU4" s="42"/>
      <c r="BPV4" s="42"/>
      <c r="BPW4" s="42"/>
      <c r="BPX4" s="42"/>
      <c r="BPY4" s="42"/>
      <c r="BPZ4" s="42"/>
      <c r="BQA4" s="42"/>
      <c r="BQB4" s="42"/>
      <c r="BQC4" s="42"/>
      <c r="BQD4" s="42"/>
      <c r="BQE4" s="42"/>
      <c r="BQF4" s="42"/>
      <c r="BQG4" s="42"/>
      <c r="BQH4" s="42"/>
      <c r="BQI4" s="42"/>
      <c r="BQJ4" s="42"/>
      <c r="BQK4" s="42"/>
      <c r="BQL4" s="42"/>
      <c r="BQM4" s="42"/>
      <c r="BQN4" s="42"/>
      <c r="BQO4" s="42"/>
      <c r="BQP4" s="42"/>
      <c r="BQQ4" s="42"/>
      <c r="BQR4" s="42"/>
      <c r="BQS4" s="42"/>
      <c r="BQT4" s="42"/>
      <c r="BQU4" s="42"/>
      <c r="BQV4" s="42"/>
      <c r="BQW4" s="42"/>
      <c r="BQX4" s="42"/>
      <c r="BQY4" s="42"/>
      <c r="BQZ4" s="42"/>
      <c r="BRA4" s="42"/>
      <c r="BRB4" s="42"/>
      <c r="BRC4" s="42"/>
      <c r="BRD4" s="42"/>
      <c r="BRE4" s="42"/>
      <c r="BRF4" s="42"/>
      <c r="BRG4" s="42"/>
      <c r="BRH4" s="42"/>
      <c r="BRI4" s="42"/>
      <c r="BRJ4" s="42"/>
      <c r="BRK4" s="42"/>
      <c r="BRL4" s="42"/>
      <c r="BRM4" s="42"/>
      <c r="BRN4" s="42"/>
      <c r="BRO4" s="42"/>
      <c r="BRP4" s="42"/>
      <c r="BRQ4" s="42"/>
      <c r="BRR4" s="42"/>
      <c r="BRS4" s="42"/>
      <c r="BRT4" s="42"/>
      <c r="BRU4" s="42"/>
      <c r="BRV4" s="42"/>
      <c r="BRW4" s="42"/>
      <c r="BRX4" s="42"/>
      <c r="BRY4" s="42"/>
      <c r="BRZ4" s="42"/>
      <c r="BSA4" s="42"/>
      <c r="BSB4" s="42"/>
      <c r="BSC4" s="42"/>
      <c r="BSD4" s="42"/>
      <c r="BSE4" s="42"/>
      <c r="BSF4" s="42"/>
      <c r="BSG4" s="42"/>
      <c r="BSH4" s="42"/>
      <c r="BSI4" s="42"/>
      <c r="BSJ4" s="42"/>
      <c r="BSK4" s="42"/>
      <c r="BSL4" s="42"/>
      <c r="BSM4" s="42"/>
      <c r="BSN4" s="42"/>
      <c r="BSO4" s="42"/>
      <c r="BSP4" s="42"/>
      <c r="BSQ4" s="42"/>
      <c r="BSR4" s="42"/>
      <c r="BSS4" s="42"/>
      <c r="BST4" s="42"/>
      <c r="BSU4" s="42"/>
      <c r="BSV4" s="42"/>
      <c r="BSW4" s="42"/>
      <c r="BSX4" s="42"/>
      <c r="BSY4" s="42"/>
      <c r="BSZ4" s="42"/>
      <c r="BTA4" s="42"/>
      <c r="BTB4" s="42"/>
      <c r="BTC4" s="42"/>
      <c r="BTD4" s="42"/>
      <c r="BTE4" s="42"/>
      <c r="BTF4" s="42"/>
      <c r="BTG4" s="42"/>
      <c r="BTH4" s="42"/>
      <c r="BTI4" s="42"/>
      <c r="BTJ4" s="42"/>
      <c r="BTK4" s="42"/>
      <c r="BTL4" s="42"/>
      <c r="BTM4" s="42"/>
      <c r="BTN4" s="42"/>
      <c r="BTO4" s="42"/>
      <c r="BTP4" s="42"/>
      <c r="BTQ4" s="42"/>
      <c r="BTR4" s="42"/>
      <c r="BTS4" s="42"/>
      <c r="BTT4" s="42"/>
      <c r="BTU4" s="42"/>
      <c r="BTV4" s="42"/>
      <c r="BTW4" s="42"/>
      <c r="BTX4" s="42"/>
      <c r="BTY4" s="42"/>
      <c r="BTZ4" s="42"/>
      <c r="BUA4" s="42"/>
      <c r="BUB4" s="42"/>
      <c r="BUC4" s="42"/>
      <c r="BUD4" s="42"/>
      <c r="BUE4" s="42"/>
      <c r="BUF4" s="42"/>
      <c r="BUG4" s="42"/>
      <c r="BUH4" s="42"/>
      <c r="BUI4" s="42"/>
      <c r="BUJ4" s="42"/>
      <c r="BUK4" s="42"/>
      <c r="BUL4" s="42"/>
      <c r="BUM4" s="42"/>
      <c r="BUN4" s="42"/>
      <c r="BUO4" s="42"/>
      <c r="BUP4" s="42"/>
      <c r="BUQ4" s="42"/>
      <c r="BUR4" s="42"/>
      <c r="BUS4" s="42"/>
      <c r="BUT4" s="42"/>
      <c r="BUU4" s="42"/>
      <c r="BUV4" s="42"/>
      <c r="BUW4" s="42"/>
      <c r="BUX4" s="42"/>
      <c r="BUY4" s="42"/>
      <c r="BUZ4" s="42"/>
      <c r="BVA4" s="42"/>
      <c r="BVB4" s="42"/>
      <c r="BVC4" s="42"/>
      <c r="BVD4" s="42"/>
      <c r="BVE4" s="42"/>
      <c r="BVF4" s="42"/>
      <c r="BVG4" s="42"/>
      <c r="BVH4" s="42"/>
      <c r="BVI4" s="42"/>
      <c r="BVJ4" s="42"/>
      <c r="BVK4" s="42"/>
      <c r="BVL4" s="42"/>
      <c r="BVM4" s="42"/>
      <c r="BVN4" s="42"/>
      <c r="BVO4" s="42"/>
      <c r="BVP4" s="42"/>
      <c r="BVQ4" s="42"/>
      <c r="BVR4" s="42"/>
      <c r="BVS4" s="42"/>
      <c r="BVT4" s="42"/>
      <c r="BVU4" s="42"/>
      <c r="BVV4" s="42"/>
      <c r="BVW4" s="42"/>
      <c r="BVX4" s="42"/>
      <c r="BVY4" s="42"/>
      <c r="BVZ4" s="42"/>
      <c r="BWA4" s="42"/>
      <c r="BWB4" s="42"/>
      <c r="BWC4" s="42"/>
      <c r="BWD4" s="42"/>
      <c r="BWE4" s="42"/>
      <c r="BWF4" s="42"/>
      <c r="BWG4" s="42"/>
      <c r="BWH4" s="42"/>
      <c r="BWI4" s="42"/>
      <c r="BWJ4" s="42"/>
      <c r="BWK4" s="42"/>
      <c r="BWL4" s="42"/>
      <c r="BWM4" s="42"/>
      <c r="BWN4" s="42"/>
      <c r="BWO4" s="42"/>
      <c r="BWP4" s="42"/>
      <c r="BWQ4" s="42"/>
      <c r="BWR4" s="42"/>
      <c r="BWS4" s="42"/>
      <c r="BWT4" s="42"/>
      <c r="BWU4" s="42"/>
      <c r="BWV4" s="42"/>
      <c r="BWW4" s="42"/>
      <c r="BWX4" s="42"/>
      <c r="BWY4" s="42"/>
      <c r="BWZ4" s="42"/>
      <c r="BXA4" s="42"/>
      <c r="BXB4" s="42"/>
      <c r="BXC4" s="42"/>
      <c r="BXD4" s="42"/>
      <c r="BXE4" s="42"/>
      <c r="BXF4" s="42"/>
      <c r="BXG4" s="42"/>
      <c r="BXH4" s="42"/>
      <c r="BXI4" s="42"/>
      <c r="BXJ4" s="42"/>
      <c r="BXK4" s="42"/>
      <c r="BXL4" s="42"/>
      <c r="BXM4" s="42"/>
      <c r="BXN4" s="42"/>
      <c r="BXO4" s="42"/>
      <c r="BXP4" s="42"/>
      <c r="BXQ4" s="42"/>
      <c r="BXR4" s="42"/>
      <c r="BXS4" s="42"/>
      <c r="BXT4" s="42"/>
      <c r="BXU4" s="42"/>
      <c r="BXV4" s="42"/>
      <c r="BXW4" s="42"/>
      <c r="BXX4" s="42"/>
      <c r="BXY4" s="42"/>
      <c r="BXZ4" s="42"/>
      <c r="BYA4" s="42"/>
      <c r="BYB4" s="42"/>
      <c r="BYC4" s="42"/>
      <c r="BYD4" s="42"/>
      <c r="BYE4" s="42"/>
      <c r="BYF4" s="42"/>
      <c r="BYG4" s="42"/>
      <c r="BYH4" s="42"/>
      <c r="BYI4" s="42"/>
      <c r="BYJ4" s="42"/>
      <c r="BYK4" s="42"/>
      <c r="BYL4" s="42"/>
      <c r="BYM4" s="42"/>
      <c r="BYN4" s="42"/>
      <c r="BYO4" s="42"/>
      <c r="BYP4" s="42"/>
      <c r="BYQ4" s="42"/>
      <c r="BYR4" s="42"/>
      <c r="BYS4" s="42"/>
      <c r="BYT4" s="42"/>
      <c r="BYU4" s="42"/>
      <c r="BYV4" s="42"/>
      <c r="BYW4" s="42"/>
      <c r="BYX4" s="42"/>
      <c r="BYY4" s="42"/>
      <c r="BYZ4" s="42"/>
      <c r="BZA4" s="42"/>
      <c r="BZB4" s="42"/>
      <c r="BZC4" s="42"/>
      <c r="BZD4" s="42"/>
      <c r="BZE4" s="42"/>
      <c r="BZF4" s="42"/>
      <c r="BZG4" s="42"/>
      <c r="BZH4" s="42"/>
      <c r="BZI4" s="42"/>
      <c r="BZJ4" s="42"/>
      <c r="BZK4" s="42"/>
      <c r="BZL4" s="42"/>
      <c r="BZM4" s="42"/>
      <c r="BZN4" s="42"/>
      <c r="BZO4" s="42"/>
      <c r="BZP4" s="42"/>
      <c r="BZQ4" s="42"/>
      <c r="BZR4" s="42"/>
      <c r="BZS4" s="42"/>
      <c r="BZT4" s="42"/>
      <c r="BZU4" s="42"/>
      <c r="BZV4" s="42"/>
      <c r="BZW4" s="42"/>
      <c r="BZX4" s="42"/>
      <c r="BZY4" s="42"/>
      <c r="BZZ4" s="42"/>
      <c r="CAA4" s="42"/>
      <c r="CAB4" s="42"/>
      <c r="CAC4" s="42"/>
      <c r="CAD4" s="42"/>
      <c r="CAE4" s="42"/>
      <c r="CAF4" s="42"/>
      <c r="CAG4" s="42"/>
      <c r="CAH4" s="42"/>
      <c r="CAI4" s="42"/>
      <c r="CAJ4" s="42"/>
      <c r="CAK4" s="42"/>
      <c r="CAL4" s="42"/>
      <c r="CAM4" s="42"/>
      <c r="CAN4" s="42"/>
      <c r="CAO4" s="42"/>
      <c r="CAP4" s="42"/>
      <c r="CAQ4" s="42"/>
      <c r="CAR4" s="42"/>
      <c r="CAS4" s="42"/>
      <c r="CAT4" s="42"/>
      <c r="CAU4" s="42"/>
      <c r="CAV4" s="42"/>
      <c r="CAW4" s="42"/>
      <c r="CAX4" s="42"/>
      <c r="CAY4" s="42"/>
      <c r="CAZ4" s="42"/>
      <c r="CBA4" s="42"/>
      <c r="CBB4" s="42"/>
      <c r="CBC4" s="42"/>
      <c r="CBD4" s="42"/>
      <c r="CBE4" s="42"/>
      <c r="CBF4" s="42"/>
      <c r="CBG4" s="42"/>
      <c r="CBH4" s="42"/>
      <c r="CBI4" s="42"/>
      <c r="CBJ4" s="42"/>
      <c r="CBK4" s="42"/>
      <c r="CBL4" s="42"/>
      <c r="CBM4" s="42"/>
      <c r="CBN4" s="42"/>
      <c r="CBO4" s="42"/>
      <c r="CBP4" s="42"/>
      <c r="CBQ4" s="42"/>
      <c r="CBR4" s="42"/>
      <c r="CBS4" s="42"/>
      <c r="CBT4" s="42"/>
      <c r="CBU4" s="42"/>
      <c r="CBV4" s="42"/>
      <c r="CBW4" s="42"/>
      <c r="CBX4" s="42"/>
      <c r="CBY4" s="42"/>
      <c r="CBZ4" s="42"/>
      <c r="CCA4" s="42"/>
      <c r="CCB4" s="42"/>
      <c r="CCC4" s="42"/>
      <c r="CCD4" s="42"/>
      <c r="CCE4" s="42"/>
      <c r="CCF4" s="42"/>
      <c r="CCG4" s="42"/>
      <c r="CCH4" s="42"/>
      <c r="CCI4" s="42"/>
      <c r="CCJ4" s="42"/>
      <c r="CCK4" s="42"/>
      <c r="CCL4" s="42"/>
      <c r="CCM4" s="42"/>
      <c r="CCN4" s="42"/>
      <c r="CCO4" s="42"/>
      <c r="CCP4" s="42"/>
      <c r="CCQ4" s="42"/>
      <c r="CCR4" s="42"/>
      <c r="CCS4" s="42"/>
      <c r="CCT4" s="42"/>
      <c r="CCU4" s="42"/>
      <c r="CCV4" s="42"/>
      <c r="CCW4" s="42"/>
      <c r="CCX4" s="42"/>
      <c r="CCY4" s="42"/>
      <c r="CCZ4" s="42"/>
      <c r="CDA4" s="42"/>
      <c r="CDB4" s="42"/>
      <c r="CDC4" s="42"/>
      <c r="CDD4" s="42"/>
      <c r="CDE4" s="42"/>
      <c r="CDF4" s="42"/>
      <c r="CDG4" s="42"/>
      <c r="CDH4" s="42"/>
      <c r="CDI4" s="42"/>
      <c r="CDJ4" s="42"/>
      <c r="CDK4" s="42"/>
      <c r="CDL4" s="42"/>
      <c r="CDM4" s="42"/>
      <c r="CDN4" s="42"/>
      <c r="CDO4" s="42"/>
      <c r="CDP4" s="42"/>
      <c r="CDQ4" s="42"/>
      <c r="CDR4" s="42"/>
      <c r="CDS4" s="42"/>
      <c r="CDT4" s="42"/>
      <c r="CDU4" s="42"/>
      <c r="CDV4" s="42"/>
      <c r="CDW4" s="42"/>
      <c r="CDX4" s="42"/>
      <c r="CDY4" s="42"/>
      <c r="CDZ4" s="42"/>
      <c r="CEA4" s="42"/>
      <c r="CEB4" s="42"/>
      <c r="CEC4" s="42"/>
      <c r="CED4" s="42"/>
      <c r="CEE4" s="42"/>
      <c r="CEF4" s="42"/>
      <c r="CEG4" s="42"/>
      <c r="CEH4" s="42"/>
      <c r="CEI4" s="42"/>
      <c r="CEJ4" s="42"/>
      <c r="CEK4" s="42"/>
      <c r="CEL4" s="42"/>
      <c r="CEM4" s="42"/>
      <c r="CEN4" s="42"/>
      <c r="CEO4" s="42"/>
      <c r="CEP4" s="42"/>
      <c r="CEQ4" s="42"/>
      <c r="CER4" s="42"/>
      <c r="CES4" s="42"/>
      <c r="CET4" s="42"/>
      <c r="CEU4" s="42"/>
      <c r="CEV4" s="42"/>
      <c r="CEW4" s="42"/>
      <c r="CEX4" s="42"/>
      <c r="CEY4" s="42"/>
      <c r="CEZ4" s="42"/>
      <c r="CFA4" s="42"/>
      <c r="CFB4" s="42"/>
      <c r="CFC4" s="42"/>
      <c r="CFD4" s="42"/>
      <c r="CFE4" s="42"/>
      <c r="CFF4" s="42"/>
      <c r="CFG4" s="42"/>
      <c r="CFH4" s="42"/>
      <c r="CFI4" s="42"/>
      <c r="CFJ4" s="42"/>
      <c r="CFK4" s="42"/>
      <c r="CFL4" s="42"/>
      <c r="CFM4" s="42"/>
      <c r="CFN4" s="42"/>
      <c r="CFO4" s="42"/>
      <c r="CFP4" s="42"/>
      <c r="CFQ4" s="42"/>
      <c r="CFR4" s="42"/>
      <c r="CFS4" s="42"/>
      <c r="CFT4" s="42"/>
      <c r="CFU4" s="42"/>
      <c r="CFV4" s="42"/>
      <c r="CFW4" s="42"/>
      <c r="CFX4" s="42"/>
      <c r="CFY4" s="42"/>
      <c r="CFZ4" s="42"/>
      <c r="CGA4" s="42"/>
      <c r="CGB4" s="42"/>
      <c r="CGC4" s="42"/>
      <c r="CGD4" s="42"/>
      <c r="CGE4" s="42"/>
      <c r="CGF4" s="42"/>
      <c r="CGG4" s="42"/>
      <c r="CGH4" s="42"/>
      <c r="CGI4" s="42"/>
      <c r="CGJ4" s="42"/>
      <c r="CGK4" s="42"/>
      <c r="CGL4" s="42"/>
      <c r="CGM4" s="42"/>
      <c r="CGN4" s="42"/>
      <c r="CGO4" s="42"/>
      <c r="CGP4" s="42"/>
      <c r="CGQ4" s="42"/>
      <c r="CGR4" s="42"/>
      <c r="CGS4" s="42"/>
      <c r="CGT4" s="42"/>
      <c r="CGU4" s="42"/>
      <c r="CGV4" s="42"/>
      <c r="CGW4" s="42"/>
      <c r="CGX4" s="42"/>
      <c r="CGY4" s="42"/>
      <c r="CGZ4" s="42"/>
      <c r="CHA4" s="42"/>
      <c r="CHB4" s="42"/>
      <c r="CHC4" s="42"/>
      <c r="CHD4" s="42"/>
      <c r="CHE4" s="42"/>
      <c r="CHF4" s="42"/>
      <c r="CHG4" s="42"/>
      <c r="CHH4" s="42"/>
      <c r="CHI4" s="42"/>
      <c r="CHJ4" s="42"/>
      <c r="CHK4" s="42"/>
      <c r="CHL4" s="42"/>
      <c r="CHM4" s="42"/>
      <c r="CHN4" s="42"/>
      <c r="CHO4" s="42"/>
      <c r="CHP4" s="42"/>
      <c r="CHQ4" s="42"/>
      <c r="CHR4" s="42"/>
      <c r="CHS4" s="42"/>
      <c r="CHT4" s="42"/>
      <c r="CHU4" s="42"/>
      <c r="CHV4" s="42"/>
      <c r="CHW4" s="42"/>
      <c r="CHX4" s="42"/>
      <c r="CHY4" s="42"/>
      <c r="CHZ4" s="42"/>
      <c r="CIA4" s="42"/>
      <c r="CIB4" s="42"/>
      <c r="CIC4" s="42"/>
      <c r="CID4" s="42"/>
      <c r="CIE4" s="42"/>
      <c r="CIF4" s="42"/>
      <c r="CIG4" s="42"/>
      <c r="CIH4" s="42"/>
      <c r="CII4" s="42"/>
      <c r="CIJ4" s="42"/>
      <c r="CIK4" s="42"/>
      <c r="CIL4" s="42"/>
      <c r="CIM4" s="42"/>
      <c r="CIN4" s="42"/>
      <c r="CIO4" s="42"/>
      <c r="CIP4" s="42"/>
      <c r="CIQ4" s="42"/>
      <c r="CIR4" s="42"/>
      <c r="CIS4" s="42"/>
      <c r="CIT4" s="42"/>
      <c r="CIU4" s="42"/>
      <c r="CIV4" s="42"/>
      <c r="CIW4" s="42"/>
      <c r="CIX4" s="42"/>
      <c r="CIY4" s="42"/>
      <c r="CIZ4" s="42"/>
      <c r="CJA4" s="42"/>
      <c r="CJB4" s="42"/>
      <c r="CJC4" s="42"/>
      <c r="CJD4" s="42"/>
      <c r="CJE4" s="42"/>
      <c r="CJF4" s="42"/>
      <c r="CJG4" s="42"/>
      <c r="CJH4" s="42"/>
      <c r="CJI4" s="42"/>
      <c r="CJJ4" s="42"/>
      <c r="CJK4" s="42"/>
      <c r="CJL4" s="42"/>
      <c r="CJM4" s="42"/>
      <c r="CJN4" s="42"/>
      <c r="CJO4" s="42"/>
      <c r="CJP4" s="42"/>
      <c r="CJQ4" s="42"/>
      <c r="CJR4" s="42"/>
      <c r="CJS4" s="42"/>
      <c r="CJT4" s="42"/>
      <c r="CJU4" s="42"/>
      <c r="CJV4" s="42"/>
      <c r="CJW4" s="42"/>
      <c r="CJX4" s="42"/>
      <c r="CJY4" s="42"/>
      <c r="CJZ4" s="42"/>
      <c r="CKA4" s="42"/>
      <c r="CKB4" s="42"/>
      <c r="CKC4" s="42"/>
      <c r="CKD4" s="42"/>
      <c r="CKE4" s="42"/>
      <c r="CKF4" s="42"/>
      <c r="CKG4" s="42"/>
      <c r="CKH4" s="42"/>
      <c r="CKI4" s="42"/>
      <c r="CKJ4" s="42"/>
      <c r="CKK4" s="42"/>
      <c r="CKL4" s="42"/>
      <c r="CKM4" s="42"/>
      <c r="CKN4" s="42"/>
      <c r="CKO4" s="42"/>
      <c r="CKP4" s="42"/>
      <c r="CKQ4" s="42"/>
      <c r="CKR4" s="42"/>
      <c r="CKS4" s="42"/>
      <c r="CKT4" s="42"/>
      <c r="CKU4" s="42"/>
      <c r="CKV4" s="42"/>
      <c r="CKW4" s="42"/>
      <c r="CKX4" s="42"/>
      <c r="CKY4" s="42"/>
      <c r="CKZ4" s="42"/>
      <c r="CLA4" s="42"/>
      <c r="CLB4" s="42"/>
      <c r="CLC4" s="42"/>
      <c r="CLD4" s="42"/>
      <c r="CLE4" s="42"/>
      <c r="CLF4" s="42"/>
      <c r="CLG4" s="42"/>
      <c r="CLH4" s="42"/>
      <c r="CLI4" s="42"/>
      <c r="CLJ4" s="42"/>
      <c r="CLK4" s="42"/>
      <c r="CLL4" s="42"/>
      <c r="CLM4" s="42"/>
      <c r="CLN4" s="42"/>
      <c r="CLO4" s="42"/>
      <c r="CLP4" s="42"/>
      <c r="CLQ4" s="42"/>
      <c r="CLR4" s="42"/>
      <c r="CLS4" s="42"/>
      <c r="CLT4" s="42"/>
      <c r="CLU4" s="42"/>
      <c r="CLV4" s="42"/>
      <c r="CLW4" s="42"/>
      <c r="CLX4" s="42"/>
      <c r="CLY4" s="42"/>
      <c r="CLZ4" s="42"/>
      <c r="CMA4" s="42"/>
      <c r="CMB4" s="42"/>
      <c r="CMC4" s="42"/>
      <c r="CMD4" s="42"/>
      <c r="CME4" s="42"/>
      <c r="CMF4" s="42"/>
      <c r="CMG4" s="42"/>
      <c r="CMH4" s="42"/>
      <c r="CMI4" s="42"/>
      <c r="CMJ4" s="42"/>
      <c r="CMK4" s="42"/>
      <c r="CML4" s="42"/>
      <c r="CMM4" s="42"/>
      <c r="CMN4" s="42"/>
      <c r="CMO4" s="42"/>
      <c r="CMP4" s="42"/>
      <c r="CMQ4" s="42"/>
      <c r="CMR4" s="42"/>
      <c r="CMS4" s="42"/>
      <c r="CMT4" s="42"/>
      <c r="CMU4" s="42"/>
      <c r="CMV4" s="42"/>
      <c r="CMW4" s="42"/>
      <c r="CMX4" s="42"/>
      <c r="CMY4" s="42"/>
      <c r="CMZ4" s="42"/>
      <c r="CNA4" s="42"/>
      <c r="CNB4" s="42"/>
      <c r="CNC4" s="42"/>
      <c r="CND4" s="42"/>
      <c r="CNE4" s="42"/>
      <c r="CNF4" s="42"/>
      <c r="CNG4" s="42"/>
      <c r="CNH4" s="42"/>
      <c r="CNI4" s="42"/>
      <c r="CNJ4" s="42"/>
      <c r="CNK4" s="42"/>
      <c r="CNL4" s="42"/>
      <c r="CNM4" s="42"/>
      <c r="CNN4" s="42"/>
      <c r="CNO4" s="42"/>
      <c r="CNP4" s="42"/>
      <c r="CNQ4" s="42"/>
      <c r="CNR4" s="42"/>
      <c r="CNS4" s="42"/>
      <c r="CNT4" s="42"/>
      <c r="CNU4" s="42"/>
      <c r="CNV4" s="42"/>
      <c r="CNW4" s="42"/>
      <c r="CNX4" s="42"/>
      <c r="CNY4" s="42"/>
      <c r="CNZ4" s="42"/>
      <c r="COA4" s="42"/>
      <c r="COB4" s="42"/>
      <c r="COC4" s="42"/>
      <c r="COD4" s="42"/>
      <c r="COE4" s="42"/>
      <c r="COF4" s="42"/>
      <c r="COG4" s="42"/>
      <c r="COH4" s="42"/>
      <c r="COI4" s="42"/>
      <c r="COJ4" s="42"/>
      <c r="COK4" s="42"/>
      <c r="COL4" s="42"/>
      <c r="COM4" s="42"/>
      <c r="CON4" s="42"/>
      <c r="COO4" s="42"/>
      <c r="COP4" s="42"/>
      <c r="COQ4" s="42"/>
      <c r="COR4" s="42"/>
      <c r="COS4" s="42"/>
      <c r="COT4" s="42"/>
      <c r="COU4" s="42"/>
      <c r="COV4" s="42"/>
      <c r="COW4" s="42"/>
      <c r="COX4" s="42"/>
      <c r="COY4" s="42"/>
      <c r="COZ4" s="42"/>
      <c r="CPA4" s="42"/>
      <c r="CPB4" s="42"/>
      <c r="CPC4" s="42"/>
      <c r="CPD4" s="42"/>
      <c r="CPE4" s="42"/>
      <c r="CPF4" s="42"/>
      <c r="CPG4" s="42"/>
      <c r="CPH4" s="42"/>
      <c r="CPI4" s="42"/>
      <c r="CPJ4" s="42"/>
      <c r="CPK4" s="42"/>
      <c r="CPL4" s="42"/>
      <c r="CPM4" s="42"/>
      <c r="CPN4" s="42"/>
      <c r="CPO4" s="42"/>
      <c r="CPP4" s="42"/>
      <c r="CPQ4" s="42"/>
      <c r="CPR4" s="42"/>
      <c r="CPS4" s="42"/>
      <c r="CPT4" s="42"/>
      <c r="CPU4" s="42"/>
      <c r="CPV4" s="42"/>
      <c r="CPW4" s="42"/>
      <c r="CPX4" s="42"/>
      <c r="CPY4" s="42"/>
      <c r="CPZ4" s="42"/>
      <c r="CQA4" s="42"/>
      <c r="CQB4" s="42"/>
      <c r="CQC4" s="42"/>
      <c r="CQD4" s="42"/>
      <c r="CQE4" s="42"/>
      <c r="CQF4" s="42"/>
      <c r="CQG4" s="42"/>
      <c r="CQH4" s="42"/>
      <c r="CQI4" s="42"/>
      <c r="CQJ4" s="42"/>
      <c r="CQK4" s="42"/>
      <c r="CQL4" s="42"/>
      <c r="CQM4" s="42"/>
      <c r="CQN4" s="42"/>
      <c r="CQO4" s="42"/>
      <c r="CQP4" s="42"/>
      <c r="CQQ4" s="42"/>
      <c r="CQR4" s="42"/>
      <c r="CQS4" s="42"/>
      <c r="CQT4" s="42"/>
      <c r="CQU4" s="42"/>
      <c r="CQV4" s="42"/>
      <c r="CQW4" s="42"/>
      <c r="CQX4" s="42"/>
      <c r="CQY4" s="42"/>
      <c r="CQZ4" s="42"/>
      <c r="CRA4" s="42"/>
      <c r="CRB4" s="42"/>
      <c r="CRC4" s="42"/>
      <c r="CRD4" s="42"/>
      <c r="CRE4" s="42"/>
      <c r="CRF4" s="42"/>
      <c r="CRG4" s="42"/>
      <c r="CRH4" s="42"/>
      <c r="CRI4" s="42"/>
      <c r="CRJ4" s="42"/>
      <c r="CRK4" s="42"/>
      <c r="CRL4" s="42"/>
      <c r="CRM4" s="42"/>
      <c r="CRN4" s="42"/>
      <c r="CRO4" s="42"/>
      <c r="CRP4" s="42"/>
      <c r="CRQ4" s="42"/>
      <c r="CRR4" s="42"/>
      <c r="CRS4" s="42"/>
      <c r="CRT4" s="42"/>
      <c r="CRU4" s="42"/>
      <c r="CRV4" s="42"/>
      <c r="CRW4" s="42"/>
      <c r="CRX4" s="42"/>
      <c r="CRY4" s="42"/>
      <c r="CRZ4" s="42"/>
      <c r="CSA4" s="42"/>
      <c r="CSB4" s="42"/>
      <c r="CSC4" s="42"/>
      <c r="CSD4" s="42"/>
      <c r="CSE4" s="42"/>
      <c r="CSF4" s="42"/>
      <c r="CSG4" s="42"/>
      <c r="CSH4" s="42"/>
      <c r="CSI4" s="42"/>
      <c r="CSJ4" s="42"/>
      <c r="CSK4" s="42"/>
      <c r="CSL4" s="42"/>
      <c r="CSM4" s="42"/>
      <c r="CSN4" s="42"/>
      <c r="CSO4" s="42"/>
      <c r="CSP4" s="42"/>
      <c r="CSQ4" s="42"/>
      <c r="CSR4" s="42"/>
      <c r="CSS4" s="42"/>
      <c r="CST4" s="42"/>
      <c r="CSU4" s="42"/>
      <c r="CSV4" s="42"/>
      <c r="CSW4" s="42"/>
      <c r="CSX4" s="42"/>
      <c r="CSY4" s="42"/>
      <c r="CSZ4" s="42"/>
      <c r="CTA4" s="42"/>
      <c r="CTB4" s="42"/>
      <c r="CTC4" s="42"/>
      <c r="CTD4" s="42"/>
      <c r="CTE4" s="42"/>
      <c r="CTF4" s="42"/>
      <c r="CTG4" s="42"/>
      <c r="CTH4" s="42"/>
      <c r="CTI4" s="42"/>
      <c r="CTJ4" s="42"/>
      <c r="CTK4" s="42"/>
      <c r="CTL4" s="42"/>
      <c r="CTM4" s="42"/>
      <c r="CTN4" s="42"/>
      <c r="CTO4" s="42"/>
      <c r="CTP4" s="42"/>
      <c r="CTQ4" s="42"/>
      <c r="CTR4" s="42"/>
      <c r="CTS4" s="42"/>
      <c r="CTT4" s="42"/>
      <c r="CTU4" s="42"/>
      <c r="CTV4" s="42"/>
      <c r="CTW4" s="42"/>
      <c r="CTX4" s="42"/>
      <c r="CTY4" s="42"/>
      <c r="CTZ4" s="42"/>
      <c r="CUA4" s="42"/>
      <c r="CUB4" s="42"/>
      <c r="CUC4" s="42"/>
      <c r="CUD4" s="42"/>
      <c r="CUE4" s="42"/>
      <c r="CUF4" s="42"/>
      <c r="CUG4" s="42"/>
      <c r="CUH4" s="42"/>
      <c r="CUI4" s="42"/>
      <c r="CUJ4" s="42"/>
      <c r="CUK4" s="42"/>
      <c r="CUL4" s="42"/>
      <c r="CUM4" s="42"/>
      <c r="CUN4" s="42"/>
      <c r="CUO4" s="42"/>
      <c r="CUP4" s="42"/>
      <c r="CUQ4" s="42"/>
      <c r="CUR4" s="42"/>
      <c r="CUS4" s="42"/>
      <c r="CUT4" s="42"/>
      <c r="CUU4" s="42"/>
      <c r="CUV4" s="42"/>
      <c r="CUW4" s="42"/>
      <c r="CUX4" s="42"/>
      <c r="CUY4" s="42"/>
      <c r="CUZ4" s="42"/>
      <c r="CVA4" s="42"/>
      <c r="CVB4" s="42"/>
      <c r="CVC4" s="42"/>
      <c r="CVD4" s="42"/>
      <c r="CVE4" s="42"/>
      <c r="CVF4" s="42"/>
      <c r="CVG4" s="42"/>
      <c r="CVH4" s="42"/>
      <c r="CVI4" s="42"/>
      <c r="CVJ4" s="42"/>
      <c r="CVK4" s="42"/>
      <c r="CVL4" s="42"/>
      <c r="CVM4" s="42"/>
      <c r="CVN4" s="42"/>
      <c r="CVO4" s="42"/>
      <c r="CVP4" s="42"/>
      <c r="CVQ4" s="42"/>
      <c r="CVR4" s="42"/>
      <c r="CVS4" s="42"/>
      <c r="CVT4" s="42"/>
      <c r="CVU4" s="42"/>
      <c r="CVV4" s="42"/>
      <c r="CVW4" s="42"/>
      <c r="CVX4" s="42"/>
      <c r="CVY4" s="42"/>
      <c r="CVZ4" s="42"/>
      <c r="CWA4" s="42"/>
      <c r="CWB4" s="42"/>
      <c r="CWC4" s="42"/>
      <c r="CWD4" s="42"/>
      <c r="CWE4" s="42"/>
      <c r="CWF4" s="42"/>
      <c r="CWG4" s="42"/>
      <c r="CWH4" s="42"/>
      <c r="CWI4" s="42"/>
      <c r="CWJ4" s="42"/>
      <c r="CWK4" s="42"/>
      <c r="CWL4" s="42"/>
      <c r="CWM4" s="42"/>
      <c r="CWN4" s="42"/>
      <c r="CWO4" s="42"/>
      <c r="CWP4" s="42"/>
      <c r="CWQ4" s="42"/>
      <c r="CWR4" s="42"/>
      <c r="CWS4" s="42"/>
      <c r="CWT4" s="42"/>
      <c r="CWU4" s="42"/>
      <c r="CWV4" s="42"/>
      <c r="CWW4" s="42"/>
      <c r="CWX4" s="42"/>
      <c r="CWY4" s="42"/>
      <c r="CWZ4" s="42"/>
      <c r="CXA4" s="42"/>
      <c r="CXB4" s="42"/>
      <c r="CXC4" s="42"/>
      <c r="CXD4" s="42"/>
      <c r="CXE4" s="42"/>
      <c r="CXF4" s="42"/>
      <c r="CXG4" s="42"/>
      <c r="CXH4" s="42"/>
      <c r="CXI4" s="42"/>
      <c r="CXJ4" s="42"/>
      <c r="CXK4" s="42"/>
      <c r="CXL4" s="42"/>
      <c r="CXM4" s="42"/>
      <c r="CXN4" s="42"/>
      <c r="CXO4" s="42"/>
      <c r="CXP4" s="42"/>
      <c r="CXQ4" s="42"/>
      <c r="CXR4" s="42"/>
      <c r="CXS4" s="42"/>
      <c r="CXT4" s="42"/>
      <c r="CXU4" s="42"/>
      <c r="CXV4" s="42"/>
      <c r="CXW4" s="42"/>
      <c r="CXX4" s="42"/>
      <c r="CXY4" s="42"/>
      <c r="CXZ4" s="42"/>
      <c r="CYA4" s="42"/>
      <c r="CYB4" s="42"/>
      <c r="CYC4" s="42"/>
      <c r="CYD4" s="42"/>
      <c r="CYE4" s="42"/>
      <c r="CYF4" s="42"/>
      <c r="CYG4" s="42"/>
      <c r="CYH4" s="42"/>
      <c r="CYI4" s="42"/>
      <c r="CYJ4" s="42"/>
      <c r="CYK4" s="42"/>
      <c r="CYL4" s="42"/>
      <c r="CYM4" s="42"/>
      <c r="CYN4" s="42"/>
      <c r="CYO4" s="42"/>
      <c r="CYP4" s="42"/>
      <c r="CYQ4" s="42"/>
      <c r="CYR4" s="42"/>
      <c r="CYS4" s="42"/>
      <c r="CYT4" s="42"/>
      <c r="CYU4" s="42"/>
      <c r="CYV4" s="42"/>
      <c r="CYW4" s="42"/>
      <c r="CYX4" s="42"/>
      <c r="CYY4" s="42"/>
      <c r="CYZ4" s="42"/>
      <c r="CZA4" s="42"/>
      <c r="CZB4" s="42"/>
      <c r="CZC4" s="42"/>
      <c r="CZD4" s="42"/>
      <c r="CZE4" s="42"/>
      <c r="CZF4" s="42"/>
      <c r="CZG4" s="42"/>
      <c r="CZH4" s="42"/>
      <c r="CZI4" s="42"/>
      <c r="CZJ4" s="42"/>
      <c r="CZK4" s="42"/>
      <c r="CZL4" s="42"/>
      <c r="CZM4" s="42"/>
      <c r="CZN4" s="42"/>
      <c r="CZO4" s="42"/>
      <c r="CZP4" s="42"/>
      <c r="CZQ4" s="42"/>
      <c r="CZR4" s="42"/>
      <c r="CZS4" s="42"/>
      <c r="CZT4" s="42"/>
      <c r="CZU4" s="42"/>
      <c r="CZV4" s="42"/>
      <c r="CZW4" s="42"/>
      <c r="CZX4" s="42"/>
      <c r="CZY4" s="42"/>
      <c r="CZZ4" s="42"/>
      <c r="DAA4" s="42"/>
      <c r="DAB4" s="42"/>
      <c r="DAC4" s="42"/>
      <c r="DAD4" s="42"/>
      <c r="DAE4" s="42"/>
      <c r="DAF4" s="42"/>
      <c r="DAG4" s="42"/>
      <c r="DAH4" s="42"/>
      <c r="DAI4" s="42"/>
      <c r="DAJ4" s="42"/>
      <c r="DAK4" s="42"/>
      <c r="DAL4" s="42"/>
      <c r="DAM4" s="42"/>
      <c r="DAN4" s="42"/>
      <c r="DAO4" s="42"/>
      <c r="DAP4" s="42"/>
      <c r="DAQ4" s="42"/>
      <c r="DAR4" s="42"/>
      <c r="DAS4" s="42"/>
      <c r="DAT4" s="42"/>
      <c r="DAU4" s="42"/>
      <c r="DAV4" s="42"/>
      <c r="DAW4" s="42"/>
      <c r="DAX4" s="42"/>
      <c r="DAY4" s="42"/>
      <c r="DAZ4" s="42"/>
      <c r="DBA4" s="42"/>
      <c r="DBB4" s="42"/>
      <c r="DBC4" s="42"/>
      <c r="DBD4" s="42"/>
      <c r="DBE4" s="42"/>
      <c r="DBF4" s="42"/>
      <c r="DBG4" s="42"/>
      <c r="DBH4" s="42"/>
      <c r="DBI4" s="42"/>
      <c r="DBJ4" s="42"/>
      <c r="DBK4" s="42"/>
      <c r="DBL4" s="42"/>
      <c r="DBM4" s="42"/>
      <c r="DBN4" s="42"/>
      <c r="DBO4" s="42"/>
      <c r="DBP4" s="42"/>
      <c r="DBQ4" s="42"/>
      <c r="DBR4" s="42"/>
      <c r="DBS4" s="42"/>
      <c r="DBT4" s="42"/>
      <c r="DBU4" s="42"/>
      <c r="DBV4" s="42"/>
      <c r="DBW4" s="42"/>
      <c r="DBX4" s="42"/>
      <c r="DBY4" s="42"/>
      <c r="DBZ4" s="42"/>
      <c r="DCA4" s="42"/>
      <c r="DCB4" s="42"/>
      <c r="DCC4" s="42"/>
      <c r="DCD4" s="42"/>
      <c r="DCE4" s="42"/>
      <c r="DCF4" s="42"/>
      <c r="DCG4" s="42"/>
      <c r="DCH4" s="42"/>
      <c r="DCI4" s="42"/>
      <c r="DCJ4" s="42"/>
      <c r="DCK4" s="42"/>
      <c r="DCL4" s="42"/>
      <c r="DCM4" s="42"/>
      <c r="DCN4" s="42"/>
      <c r="DCO4" s="42"/>
      <c r="DCP4" s="42"/>
      <c r="DCQ4" s="42"/>
      <c r="DCR4" s="42"/>
      <c r="DCS4" s="42"/>
      <c r="DCT4" s="42"/>
      <c r="DCU4" s="42"/>
      <c r="DCV4" s="42"/>
      <c r="DCW4" s="42"/>
      <c r="DCX4" s="42"/>
      <c r="DCY4" s="42"/>
      <c r="DCZ4" s="42"/>
      <c r="DDA4" s="42"/>
      <c r="DDB4" s="42"/>
      <c r="DDC4" s="42"/>
      <c r="DDD4" s="42"/>
      <c r="DDE4" s="42"/>
      <c r="DDF4" s="42"/>
      <c r="DDG4" s="42"/>
      <c r="DDH4" s="42"/>
      <c r="DDI4" s="42"/>
      <c r="DDJ4" s="42"/>
      <c r="DDK4" s="42"/>
      <c r="DDL4" s="42"/>
      <c r="DDM4" s="42"/>
      <c r="DDN4" s="42"/>
      <c r="DDO4" s="42"/>
      <c r="DDP4" s="42"/>
      <c r="DDQ4" s="42"/>
      <c r="DDR4" s="42"/>
      <c r="DDS4" s="42"/>
      <c r="DDT4" s="42"/>
      <c r="DDU4" s="42"/>
      <c r="DDV4" s="42"/>
      <c r="DDW4" s="42"/>
      <c r="DDX4" s="42"/>
      <c r="DDY4" s="42"/>
      <c r="DDZ4" s="42"/>
      <c r="DEA4" s="42"/>
      <c r="DEB4" s="42"/>
      <c r="DEC4" s="42"/>
      <c r="DED4" s="42"/>
      <c r="DEE4" s="42"/>
      <c r="DEF4" s="42"/>
      <c r="DEG4" s="42"/>
      <c r="DEH4" s="42"/>
      <c r="DEI4" s="42"/>
      <c r="DEJ4" s="42"/>
      <c r="DEK4" s="42"/>
      <c r="DEL4" s="42"/>
      <c r="DEM4" s="42"/>
      <c r="DEN4" s="42"/>
      <c r="DEO4" s="42"/>
      <c r="DEP4" s="42"/>
      <c r="DEQ4" s="42"/>
      <c r="DER4" s="42"/>
      <c r="DES4" s="42"/>
      <c r="DET4" s="42"/>
      <c r="DEU4" s="42"/>
      <c r="DEV4" s="42"/>
      <c r="DEW4" s="42"/>
      <c r="DEX4" s="42"/>
      <c r="DEY4" s="42"/>
      <c r="DEZ4" s="42"/>
      <c r="DFA4" s="42"/>
      <c r="DFB4" s="42"/>
      <c r="DFC4" s="42"/>
      <c r="DFD4" s="42"/>
      <c r="DFE4" s="42"/>
      <c r="DFF4" s="42"/>
      <c r="DFG4" s="42"/>
      <c r="DFH4" s="42"/>
      <c r="DFI4" s="42"/>
      <c r="DFJ4" s="42"/>
      <c r="DFK4" s="42"/>
      <c r="DFL4" s="42"/>
      <c r="DFM4" s="42"/>
      <c r="DFN4" s="42"/>
      <c r="DFO4" s="42"/>
      <c r="DFP4" s="42"/>
      <c r="DFQ4" s="42"/>
      <c r="DFR4" s="42"/>
      <c r="DFS4" s="42"/>
      <c r="DFT4" s="42"/>
      <c r="DFU4" s="42"/>
      <c r="DFV4" s="42"/>
      <c r="DFW4" s="42"/>
      <c r="DFX4" s="42"/>
      <c r="DFY4" s="42"/>
      <c r="DFZ4" s="42"/>
      <c r="DGA4" s="42"/>
      <c r="DGB4" s="42"/>
      <c r="DGC4" s="42"/>
      <c r="DGD4" s="42"/>
      <c r="DGE4" s="42"/>
      <c r="DGF4" s="42"/>
      <c r="DGG4" s="42"/>
      <c r="DGH4" s="42"/>
      <c r="DGI4" s="42"/>
      <c r="DGJ4" s="42"/>
      <c r="DGK4" s="42"/>
      <c r="DGL4" s="42"/>
      <c r="DGM4" s="42"/>
      <c r="DGN4" s="42"/>
      <c r="DGO4" s="42"/>
      <c r="DGP4" s="42"/>
      <c r="DGQ4" s="42"/>
      <c r="DGR4" s="42"/>
      <c r="DGS4" s="42"/>
      <c r="DGT4" s="42"/>
      <c r="DGU4" s="42"/>
      <c r="DGV4" s="42"/>
      <c r="DGW4" s="42"/>
      <c r="DGX4" s="42"/>
      <c r="DGY4" s="42"/>
      <c r="DGZ4" s="42"/>
      <c r="DHA4" s="42"/>
      <c r="DHB4" s="42"/>
      <c r="DHC4" s="42"/>
      <c r="DHD4" s="42"/>
      <c r="DHE4" s="42"/>
      <c r="DHF4" s="42"/>
      <c r="DHG4" s="42"/>
      <c r="DHH4" s="42"/>
      <c r="DHI4" s="42"/>
      <c r="DHJ4" s="42"/>
      <c r="DHK4" s="42"/>
      <c r="DHL4" s="42"/>
      <c r="DHM4" s="42"/>
      <c r="DHN4" s="42"/>
      <c r="DHO4" s="42"/>
      <c r="DHP4" s="42"/>
      <c r="DHQ4" s="42"/>
      <c r="DHR4" s="42"/>
      <c r="DHS4" s="42"/>
      <c r="DHT4" s="42"/>
      <c r="DHU4" s="42"/>
      <c r="DHV4" s="42"/>
      <c r="DHW4" s="42"/>
      <c r="DHX4" s="42"/>
      <c r="DHY4" s="42"/>
      <c r="DHZ4" s="42"/>
      <c r="DIA4" s="42"/>
      <c r="DIB4" s="42"/>
      <c r="DIC4" s="42"/>
      <c r="DID4" s="42"/>
      <c r="DIE4" s="42"/>
      <c r="DIF4" s="42"/>
      <c r="DIG4" s="42"/>
      <c r="DIH4" s="42"/>
      <c r="DII4" s="42"/>
      <c r="DIJ4" s="42"/>
      <c r="DIK4" s="42"/>
      <c r="DIL4" s="42"/>
      <c r="DIM4" s="42"/>
      <c r="DIN4" s="42"/>
      <c r="DIO4" s="42"/>
      <c r="DIP4" s="42"/>
      <c r="DIQ4" s="42"/>
      <c r="DIR4" s="42"/>
      <c r="DIS4" s="42"/>
      <c r="DIT4" s="42"/>
      <c r="DIU4" s="42"/>
      <c r="DIV4" s="42"/>
      <c r="DIW4" s="42"/>
      <c r="DIX4" s="42"/>
      <c r="DIY4" s="42"/>
      <c r="DIZ4" s="42"/>
      <c r="DJA4" s="42"/>
      <c r="DJB4" s="42"/>
      <c r="DJC4" s="42"/>
      <c r="DJD4" s="42"/>
      <c r="DJE4" s="42"/>
      <c r="DJF4" s="42"/>
      <c r="DJG4" s="42"/>
      <c r="DJH4" s="42"/>
      <c r="DJI4" s="42"/>
      <c r="DJJ4" s="42"/>
      <c r="DJK4" s="42"/>
      <c r="DJL4" s="42"/>
      <c r="DJM4" s="42"/>
      <c r="DJN4" s="42"/>
      <c r="DJO4" s="42"/>
      <c r="DJP4" s="42"/>
      <c r="DJQ4" s="42"/>
      <c r="DJR4" s="42"/>
      <c r="DJS4" s="42"/>
      <c r="DJT4" s="42"/>
      <c r="DJU4" s="42"/>
      <c r="DJV4" s="42"/>
      <c r="DJW4" s="42"/>
      <c r="DJX4" s="42"/>
      <c r="DJY4" s="42"/>
      <c r="DJZ4" s="42"/>
      <c r="DKA4" s="42"/>
      <c r="DKB4" s="42"/>
      <c r="DKC4" s="42"/>
      <c r="DKD4" s="42"/>
      <c r="DKE4" s="42"/>
      <c r="DKF4" s="42"/>
      <c r="DKG4" s="42"/>
      <c r="DKH4" s="42"/>
      <c r="DKI4" s="42"/>
      <c r="DKJ4" s="42"/>
      <c r="DKK4" s="42"/>
      <c r="DKL4" s="42"/>
      <c r="DKM4" s="42"/>
      <c r="DKN4" s="42"/>
      <c r="DKO4" s="42"/>
      <c r="DKP4" s="42"/>
      <c r="DKQ4" s="42"/>
      <c r="DKR4" s="42"/>
      <c r="DKS4" s="42"/>
      <c r="DKT4" s="42"/>
      <c r="DKU4" s="42"/>
      <c r="DKV4" s="42"/>
      <c r="DKW4" s="42"/>
      <c r="DKX4" s="42"/>
      <c r="DKY4" s="42"/>
      <c r="DKZ4" s="42"/>
      <c r="DLA4" s="42"/>
      <c r="DLB4" s="42"/>
      <c r="DLC4" s="42"/>
      <c r="DLD4" s="42"/>
      <c r="DLE4" s="42"/>
      <c r="DLF4" s="42"/>
      <c r="DLG4" s="42"/>
      <c r="DLH4" s="42"/>
      <c r="DLI4" s="42"/>
      <c r="DLJ4" s="42"/>
      <c r="DLK4" s="42"/>
      <c r="DLL4" s="42"/>
      <c r="DLM4" s="42"/>
      <c r="DLN4" s="42"/>
      <c r="DLO4" s="42"/>
      <c r="DLP4" s="42"/>
      <c r="DLQ4" s="42"/>
      <c r="DLR4" s="42"/>
      <c r="DLS4" s="42"/>
      <c r="DLT4" s="42"/>
      <c r="DLU4" s="42"/>
      <c r="DLV4" s="42"/>
      <c r="DLW4" s="42"/>
      <c r="DLX4" s="42"/>
      <c r="DLY4" s="42"/>
      <c r="DLZ4" s="42"/>
      <c r="DMA4" s="42"/>
      <c r="DMB4" s="42"/>
      <c r="DMC4" s="42"/>
      <c r="DMD4" s="42"/>
      <c r="DME4" s="42"/>
      <c r="DMF4" s="42"/>
      <c r="DMG4" s="42"/>
      <c r="DMH4" s="42"/>
      <c r="DMI4" s="42"/>
      <c r="DMJ4" s="42"/>
      <c r="DMK4" s="42"/>
      <c r="DML4" s="42"/>
      <c r="DMM4" s="42"/>
      <c r="DMN4" s="42"/>
      <c r="DMO4" s="42"/>
      <c r="DMP4" s="42"/>
      <c r="DMQ4" s="42"/>
      <c r="DMR4" s="42"/>
      <c r="DMS4" s="42"/>
      <c r="DMT4" s="42"/>
      <c r="DMU4" s="42"/>
      <c r="DMV4" s="42"/>
      <c r="DMW4" s="42"/>
      <c r="DMX4" s="42"/>
      <c r="DMY4" s="42"/>
      <c r="DMZ4" s="42"/>
      <c r="DNA4" s="42"/>
      <c r="DNB4" s="42"/>
      <c r="DNC4" s="42"/>
      <c r="DND4" s="42"/>
      <c r="DNE4" s="42"/>
      <c r="DNF4" s="42"/>
      <c r="DNG4" s="42"/>
      <c r="DNH4" s="42"/>
      <c r="DNI4" s="42"/>
      <c r="DNJ4" s="42"/>
      <c r="DNK4" s="42"/>
      <c r="DNL4" s="42"/>
      <c r="DNM4" s="42"/>
      <c r="DNN4" s="42"/>
      <c r="DNO4" s="42"/>
      <c r="DNP4" s="42"/>
      <c r="DNQ4" s="42"/>
      <c r="DNR4" s="42"/>
      <c r="DNS4" s="42"/>
      <c r="DNT4" s="42"/>
      <c r="DNU4" s="42"/>
      <c r="DNV4" s="42"/>
      <c r="DNW4" s="42"/>
      <c r="DNX4" s="42"/>
      <c r="DNY4" s="42"/>
      <c r="DNZ4" s="42"/>
      <c r="DOA4" s="42"/>
      <c r="DOB4" s="42"/>
      <c r="DOC4" s="42"/>
      <c r="DOD4" s="42"/>
      <c r="DOE4" s="42"/>
      <c r="DOF4" s="42"/>
      <c r="DOG4" s="42"/>
      <c r="DOH4" s="42"/>
      <c r="DOI4" s="42"/>
      <c r="DOJ4" s="42"/>
      <c r="DOK4" s="42"/>
      <c r="DOL4" s="42"/>
      <c r="DOM4" s="42"/>
      <c r="DON4" s="42"/>
      <c r="DOO4" s="42"/>
      <c r="DOP4" s="42"/>
      <c r="DOQ4" s="42"/>
      <c r="DOR4" s="42"/>
      <c r="DOS4" s="42"/>
      <c r="DOT4" s="42"/>
      <c r="DOU4" s="42"/>
      <c r="DOV4" s="42"/>
      <c r="DOW4" s="42"/>
      <c r="DOX4" s="42"/>
      <c r="DOY4" s="42"/>
      <c r="DOZ4" s="42"/>
      <c r="DPA4" s="42"/>
      <c r="DPB4" s="42"/>
      <c r="DPC4" s="42"/>
      <c r="DPD4" s="42"/>
      <c r="DPE4" s="42"/>
      <c r="DPF4" s="42"/>
      <c r="DPG4" s="42"/>
      <c r="DPH4" s="42"/>
      <c r="DPI4" s="42"/>
      <c r="DPJ4" s="42"/>
      <c r="DPK4" s="42"/>
      <c r="DPL4" s="42"/>
      <c r="DPM4" s="42"/>
      <c r="DPN4" s="42"/>
      <c r="DPO4" s="42"/>
      <c r="DPP4" s="42"/>
      <c r="DPQ4" s="42"/>
      <c r="DPR4" s="42"/>
      <c r="DPS4" s="42"/>
      <c r="DPT4" s="42"/>
      <c r="DPU4" s="42"/>
      <c r="DPV4" s="42"/>
      <c r="DPW4" s="42"/>
      <c r="DPX4" s="42"/>
      <c r="DPY4" s="42"/>
      <c r="DPZ4" s="42"/>
      <c r="DQA4" s="42"/>
      <c r="DQB4" s="42"/>
      <c r="DQC4" s="42"/>
      <c r="DQD4" s="42"/>
      <c r="DQE4" s="42"/>
      <c r="DQF4" s="42"/>
      <c r="DQG4" s="42"/>
      <c r="DQH4" s="42"/>
      <c r="DQI4" s="42"/>
      <c r="DQJ4" s="42"/>
      <c r="DQK4" s="42"/>
      <c r="DQL4" s="42"/>
      <c r="DQM4" s="42"/>
      <c r="DQN4" s="42"/>
      <c r="DQO4" s="42"/>
      <c r="DQP4" s="42"/>
      <c r="DQQ4" s="42"/>
      <c r="DQR4" s="42"/>
      <c r="DQS4" s="42"/>
      <c r="DQT4" s="42"/>
      <c r="DQU4" s="42"/>
      <c r="DQV4" s="42"/>
      <c r="DQW4" s="42"/>
      <c r="DQX4" s="42"/>
      <c r="DQY4" s="42"/>
      <c r="DQZ4" s="42"/>
      <c r="DRA4" s="42"/>
      <c r="DRB4" s="42"/>
      <c r="DRC4" s="42"/>
      <c r="DRD4" s="42"/>
      <c r="DRE4" s="42"/>
      <c r="DRF4" s="42"/>
      <c r="DRG4" s="42"/>
      <c r="DRH4" s="42"/>
      <c r="DRI4" s="42"/>
      <c r="DRJ4" s="42"/>
      <c r="DRK4" s="42"/>
      <c r="DRL4" s="42"/>
      <c r="DRM4" s="42"/>
      <c r="DRN4" s="42"/>
      <c r="DRO4" s="42"/>
      <c r="DRP4" s="42"/>
      <c r="DRQ4" s="42"/>
      <c r="DRR4" s="42"/>
      <c r="DRS4" s="42"/>
      <c r="DRT4" s="42"/>
      <c r="DRU4" s="42"/>
      <c r="DRV4" s="42"/>
      <c r="DRW4" s="42"/>
      <c r="DRX4" s="42"/>
      <c r="DRY4" s="42"/>
      <c r="DRZ4" s="42"/>
      <c r="DSA4" s="42"/>
      <c r="DSB4" s="42"/>
      <c r="DSC4" s="42"/>
      <c r="DSD4" s="42"/>
      <c r="DSE4" s="42"/>
      <c r="DSF4" s="42"/>
      <c r="DSG4" s="42"/>
      <c r="DSH4" s="42"/>
      <c r="DSI4" s="42"/>
      <c r="DSJ4" s="42"/>
      <c r="DSK4" s="42"/>
      <c r="DSL4" s="42"/>
      <c r="DSM4" s="42"/>
      <c r="DSN4" s="42"/>
      <c r="DSO4" s="42"/>
      <c r="DSP4" s="42"/>
      <c r="DSQ4" s="42"/>
      <c r="DSR4" s="42"/>
      <c r="DSS4" s="42"/>
      <c r="DST4" s="42"/>
      <c r="DSU4" s="42"/>
      <c r="DSV4" s="42"/>
      <c r="DSW4" s="42"/>
      <c r="DSX4" s="42"/>
      <c r="DSY4" s="42"/>
      <c r="DSZ4" s="42"/>
      <c r="DTA4" s="42"/>
      <c r="DTB4" s="42"/>
      <c r="DTC4" s="42"/>
      <c r="DTD4" s="42"/>
      <c r="DTE4" s="42"/>
      <c r="DTF4" s="42"/>
      <c r="DTG4" s="42"/>
      <c r="DTH4" s="42"/>
      <c r="DTI4" s="42"/>
      <c r="DTJ4" s="42"/>
      <c r="DTK4" s="42"/>
      <c r="DTL4" s="42"/>
      <c r="DTM4" s="42"/>
      <c r="DTN4" s="42"/>
      <c r="DTO4" s="42"/>
      <c r="DTP4" s="42"/>
      <c r="DTQ4" s="42"/>
      <c r="DTR4" s="42"/>
      <c r="DTS4" s="42"/>
      <c r="DTT4" s="42"/>
      <c r="DTU4" s="42"/>
      <c r="DTV4" s="42"/>
      <c r="DTW4" s="42"/>
      <c r="DTX4" s="42"/>
      <c r="DTY4" s="42"/>
      <c r="DTZ4" s="42"/>
      <c r="DUA4" s="42"/>
      <c r="DUB4" s="42"/>
      <c r="DUC4" s="42"/>
      <c r="DUD4" s="42"/>
      <c r="DUE4" s="42"/>
      <c r="DUF4" s="42"/>
      <c r="DUG4" s="42"/>
      <c r="DUH4" s="42"/>
      <c r="DUI4" s="42"/>
      <c r="DUJ4" s="42"/>
      <c r="DUK4" s="42"/>
      <c r="DUL4" s="42"/>
      <c r="DUM4" s="42"/>
      <c r="DUN4" s="42"/>
      <c r="DUO4" s="42"/>
      <c r="DUP4" s="42"/>
      <c r="DUQ4" s="42"/>
      <c r="DUR4" s="42"/>
      <c r="DUS4" s="42"/>
      <c r="DUT4" s="42"/>
      <c r="DUU4" s="42"/>
      <c r="DUV4" s="42"/>
      <c r="DUW4" s="42"/>
      <c r="DUX4" s="42"/>
      <c r="DUY4" s="42"/>
      <c r="DUZ4" s="42"/>
      <c r="DVA4" s="42"/>
      <c r="DVB4" s="42"/>
      <c r="DVC4" s="42"/>
      <c r="DVD4" s="42"/>
      <c r="DVE4" s="42"/>
      <c r="DVF4" s="42"/>
      <c r="DVG4" s="42"/>
      <c r="DVH4" s="42"/>
      <c r="DVI4" s="42"/>
      <c r="DVJ4" s="42"/>
      <c r="DVK4" s="42"/>
      <c r="DVL4" s="42"/>
      <c r="DVM4" s="42"/>
      <c r="DVN4" s="42"/>
      <c r="DVO4" s="42"/>
      <c r="DVP4" s="42"/>
      <c r="DVQ4" s="42"/>
      <c r="DVR4" s="42"/>
      <c r="DVS4" s="42"/>
      <c r="DVT4" s="42"/>
      <c r="DVU4" s="42"/>
      <c r="DVV4" s="42"/>
      <c r="DVW4" s="42"/>
      <c r="DVX4" s="42"/>
      <c r="DVY4" s="42"/>
      <c r="DVZ4" s="42"/>
      <c r="DWA4" s="42"/>
      <c r="DWB4" s="42"/>
      <c r="DWC4" s="42"/>
      <c r="DWD4" s="42"/>
      <c r="DWE4" s="42"/>
      <c r="DWF4" s="42"/>
      <c r="DWG4" s="42"/>
      <c r="DWH4" s="42"/>
      <c r="DWI4" s="42"/>
      <c r="DWJ4" s="42"/>
      <c r="DWK4" s="42"/>
      <c r="DWL4" s="42"/>
      <c r="DWM4" s="42"/>
      <c r="DWN4" s="42"/>
      <c r="DWO4" s="42"/>
      <c r="DWP4" s="42"/>
      <c r="DWQ4" s="42"/>
      <c r="DWR4" s="42"/>
      <c r="DWS4" s="42"/>
      <c r="DWT4" s="42"/>
      <c r="DWU4" s="42"/>
      <c r="DWV4" s="42"/>
      <c r="DWW4" s="42"/>
      <c r="DWX4" s="42"/>
      <c r="DWY4" s="42"/>
      <c r="DWZ4" s="42"/>
      <c r="DXA4" s="42"/>
      <c r="DXB4" s="42"/>
      <c r="DXC4" s="42"/>
      <c r="DXD4" s="42"/>
      <c r="DXE4" s="42"/>
      <c r="DXF4" s="42"/>
      <c r="DXG4" s="42"/>
      <c r="DXH4" s="42"/>
      <c r="DXI4" s="42"/>
      <c r="DXJ4" s="42"/>
      <c r="DXK4" s="42"/>
      <c r="DXL4" s="42"/>
      <c r="DXM4" s="42"/>
      <c r="DXN4" s="42"/>
      <c r="DXO4" s="42"/>
      <c r="DXP4" s="42"/>
      <c r="DXQ4" s="42"/>
      <c r="DXR4" s="42"/>
      <c r="DXS4" s="42"/>
      <c r="DXT4" s="42"/>
      <c r="DXU4" s="42"/>
      <c r="DXV4" s="42"/>
      <c r="DXW4" s="42"/>
      <c r="DXX4" s="42"/>
      <c r="DXY4" s="42"/>
      <c r="DXZ4" s="42"/>
      <c r="DYA4" s="42"/>
      <c r="DYB4" s="42"/>
      <c r="DYC4" s="42"/>
      <c r="DYD4" s="42"/>
      <c r="DYE4" s="42"/>
      <c r="DYF4" s="42"/>
      <c r="DYG4" s="42"/>
      <c r="DYH4" s="42"/>
      <c r="DYI4" s="42"/>
      <c r="DYJ4" s="42"/>
      <c r="DYK4" s="42"/>
      <c r="DYL4" s="42"/>
      <c r="DYM4" s="42"/>
      <c r="DYN4" s="42"/>
      <c r="DYO4" s="42"/>
      <c r="DYP4" s="42"/>
      <c r="DYQ4" s="42"/>
      <c r="DYR4" s="42"/>
      <c r="DYS4" s="42"/>
      <c r="DYT4" s="42"/>
      <c r="DYU4" s="42"/>
      <c r="DYV4" s="42"/>
      <c r="DYW4" s="42"/>
      <c r="DYX4" s="42"/>
      <c r="DYY4" s="42"/>
      <c r="DYZ4" s="42"/>
      <c r="DZA4" s="42"/>
      <c r="DZB4" s="42"/>
      <c r="DZC4" s="42"/>
      <c r="DZD4" s="42"/>
      <c r="DZE4" s="42"/>
      <c r="DZF4" s="42"/>
      <c r="DZG4" s="42"/>
      <c r="DZH4" s="42"/>
      <c r="DZI4" s="42"/>
      <c r="DZJ4" s="42"/>
      <c r="DZK4" s="42"/>
      <c r="DZL4" s="42"/>
      <c r="DZM4" s="42"/>
      <c r="DZN4" s="42"/>
      <c r="DZO4" s="42"/>
      <c r="DZP4" s="42"/>
      <c r="DZQ4" s="42"/>
      <c r="DZR4" s="42"/>
      <c r="DZS4" s="42"/>
      <c r="DZT4" s="42"/>
      <c r="DZU4" s="42"/>
      <c r="DZV4" s="42"/>
      <c r="DZW4" s="42"/>
      <c r="DZX4" s="42"/>
      <c r="DZY4" s="42"/>
      <c r="DZZ4" s="42"/>
      <c r="EAA4" s="42"/>
      <c r="EAB4" s="42"/>
      <c r="EAC4" s="42"/>
      <c r="EAD4" s="42"/>
      <c r="EAE4" s="42"/>
      <c r="EAF4" s="42"/>
      <c r="EAG4" s="42"/>
      <c r="EAH4" s="42"/>
      <c r="EAI4" s="42"/>
      <c r="EAJ4" s="42"/>
      <c r="EAK4" s="42"/>
      <c r="EAL4" s="42"/>
      <c r="EAM4" s="42"/>
      <c r="EAN4" s="42"/>
      <c r="EAO4" s="42"/>
      <c r="EAP4" s="42"/>
      <c r="EAQ4" s="42"/>
      <c r="EAR4" s="42"/>
      <c r="EAS4" s="42"/>
      <c r="EAT4" s="42"/>
      <c r="EAU4" s="42"/>
      <c r="EAV4" s="42"/>
      <c r="EAW4" s="42"/>
      <c r="EAX4" s="42"/>
      <c r="EAY4" s="42"/>
      <c r="EAZ4" s="42"/>
      <c r="EBA4" s="42"/>
      <c r="EBB4" s="42"/>
      <c r="EBC4" s="42"/>
      <c r="EBD4" s="42"/>
      <c r="EBE4" s="42"/>
      <c r="EBF4" s="42"/>
      <c r="EBG4" s="42"/>
      <c r="EBH4" s="42"/>
      <c r="EBI4" s="42"/>
      <c r="EBJ4" s="42"/>
      <c r="EBK4" s="42"/>
      <c r="EBL4" s="42"/>
      <c r="EBM4" s="42"/>
      <c r="EBN4" s="42"/>
      <c r="EBO4" s="42"/>
      <c r="EBP4" s="42"/>
      <c r="EBQ4" s="42"/>
      <c r="EBR4" s="42"/>
      <c r="EBS4" s="42"/>
      <c r="EBT4" s="42"/>
      <c r="EBU4" s="42"/>
      <c r="EBV4" s="42"/>
      <c r="EBW4" s="42"/>
      <c r="EBX4" s="42"/>
      <c r="EBY4" s="42"/>
      <c r="EBZ4" s="42"/>
      <c r="ECA4" s="42"/>
      <c r="ECB4" s="42"/>
      <c r="ECC4" s="42"/>
      <c r="ECD4" s="42"/>
      <c r="ECE4" s="42"/>
      <c r="ECF4" s="42"/>
      <c r="ECG4" s="42"/>
      <c r="ECH4" s="42"/>
      <c r="ECI4" s="42"/>
      <c r="ECJ4" s="42"/>
      <c r="ECK4" s="42"/>
      <c r="ECL4" s="42"/>
      <c r="ECM4" s="42"/>
      <c r="ECN4" s="42"/>
      <c r="ECO4" s="42"/>
      <c r="ECP4" s="42"/>
      <c r="ECQ4" s="42"/>
      <c r="ECR4" s="42"/>
      <c r="ECS4" s="42"/>
      <c r="ECT4" s="42"/>
      <c r="ECU4" s="42"/>
      <c r="ECV4" s="42"/>
      <c r="ECW4" s="42"/>
      <c r="ECX4" s="42"/>
      <c r="ECY4" s="42"/>
      <c r="ECZ4" s="42"/>
      <c r="EDA4" s="42"/>
      <c r="EDB4" s="42"/>
      <c r="EDC4" s="42"/>
      <c r="EDD4" s="42"/>
      <c r="EDE4" s="42"/>
      <c r="EDF4" s="42"/>
      <c r="EDG4" s="42"/>
      <c r="EDH4" s="42"/>
      <c r="EDI4" s="42"/>
      <c r="EDJ4" s="42"/>
      <c r="EDK4" s="42"/>
      <c r="EDL4" s="42"/>
      <c r="EDM4" s="42"/>
      <c r="EDN4" s="42"/>
      <c r="EDO4" s="42"/>
      <c r="EDP4" s="42"/>
      <c r="EDQ4" s="42"/>
      <c r="EDR4" s="42"/>
      <c r="EDS4" s="42"/>
      <c r="EDT4" s="42"/>
      <c r="EDU4" s="42"/>
      <c r="EDV4" s="42"/>
      <c r="EDW4" s="42"/>
      <c r="EDX4" s="42"/>
      <c r="EDY4" s="42"/>
      <c r="EDZ4" s="42"/>
      <c r="EEA4" s="42"/>
      <c r="EEB4" s="42"/>
      <c r="EEC4" s="42"/>
      <c r="EED4" s="42"/>
      <c r="EEE4" s="42"/>
      <c r="EEF4" s="42"/>
      <c r="EEG4" s="42"/>
      <c r="EEH4" s="42"/>
      <c r="EEI4" s="42"/>
      <c r="EEJ4" s="42"/>
      <c r="EEK4" s="42"/>
      <c r="EEL4" s="42"/>
      <c r="EEM4" s="42"/>
      <c r="EEN4" s="42"/>
      <c r="EEO4" s="42"/>
      <c r="EEP4" s="42"/>
      <c r="EEQ4" s="42"/>
      <c r="EER4" s="42"/>
      <c r="EES4" s="42"/>
      <c r="EET4" s="42"/>
      <c r="EEU4" s="42"/>
      <c r="EEV4" s="42"/>
      <c r="EEW4" s="42"/>
      <c r="EEX4" s="42"/>
      <c r="EEY4" s="42"/>
      <c r="EEZ4" s="42"/>
      <c r="EFA4" s="42"/>
      <c r="EFB4" s="42"/>
      <c r="EFC4" s="42"/>
      <c r="EFD4" s="42"/>
      <c r="EFE4" s="42"/>
      <c r="EFF4" s="42"/>
      <c r="EFG4" s="42"/>
      <c r="EFH4" s="42"/>
      <c r="EFI4" s="42"/>
      <c r="EFJ4" s="42"/>
      <c r="EFK4" s="42"/>
      <c r="EFL4" s="42"/>
      <c r="EFM4" s="42"/>
      <c r="EFN4" s="42"/>
      <c r="EFO4" s="42"/>
      <c r="EFP4" s="42"/>
      <c r="EFQ4" s="42"/>
      <c r="EFR4" s="42"/>
      <c r="EFS4" s="42"/>
      <c r="EFT4" s="42"/>
      <c r="EFU4" s="42"/>
      <c r="EFV4" s="42"/>
      <c r="EFW4" s="42"/>
      <c r="EFX4" s="42"/>
      <c r="EFY4" s="42"/>
      <c r="EFZ4" s="42"/>
      <c r="EGA4" s="42"/>
      <c r="EGB4" s="42"/>
      <c r="EGC4" s="42"/>
      <c r="EGD4" s="42"/>
      <c r="EGE4" s="42"/>
      <c r="EGF4" s="42"/>
      <c r="EGG4" s="42"/>
      <c r="EGH4" s="42"/>
      <c r="EGI4" s="42"/>
      <c r="EGJ4" s="42"/>
      <c r="EGK4" s="42"/>
      <c r="EGL4" s="42"/>
      <c r="EGM4" s="42"/>
      <c r="EGN4" s="42"/>
      <c r="EGO4" s="42"/>
      <c r="EGP4" s="42"/>
      <c r="EGQ4" s="42"/>
      <c r="EGR4" s="42"/>
      <c r="EGS4" s="42"/>
      <c r="EGT4" s="42"/>
      <c r="EGU4" s="42"/>
      <c r="EGV4" s="42"/>
      <c r="EGW4" s="42"/>
      <c r="EGX4" s="42"/>
      <c r="EGY4" s="42"/>
      <c r="EGZ4" s="42"/>
      <c r="EHA4" s="42"/>
      <c r="EHB4" s="42"/>
      <c r="EHC4" s="42"/>
      <c r="EHD4" s="42"/>
      <c r="EHE4" s="42"/>
      <c r="EHF4" s="42"/>
      <c r="EHG4" s="42"/>
      <c r="EHH4" s="42"/>
      <c r="EHI4" s="42"/>
      <c r="EHJ4" s="42"/>
      <c r="EHK4" s="42"/>
      <c r="EHL4" s="42"/>
      <c r="EHM4" s="42"/>
      <c r="EHN4" s="42"/>
      <c r="EHO4" s="42"/>
      <c r="EHP4" s="42"/>
      <c r="EHQ4" s="42"/>
      <c r="EHR4" s="42"/>
      <c r="EHS4" s="42"/>
      <c r="EHT4" s="42"/>
      <c r="EHU4" s="42"/>
      <c r="EHV4" s="42"/>
      <c r="EHW4" s="42"/>
      <c r="EHX4" s="42"/>
      <c r="EHY4" s="42"/>
      <c r="EHZ4" s="42"/>
      <c r="EIA4" s="42"/>
      <c r="EIB4" s="42"/>
      <c r="EIC4" s="42"/>
      <c r="EID4" s="42"/>
      <c r="EIE4" s="42"/>
      <c r="EIF4" s="42"/>
      <c r="EIG4" s="42"/>
      <c r="EIH4" s="42"/>
      <c r="EII4" s="42"/>
      <c r="EIJ4" s="42"/>
      <c r="EIK4" s="42"/>
      <c r="EIL4" s="42"/>
      <c r="EIM4" s="42"/>
      <c r="EIN4" s="42"/>
      <c r="EIO4" s="42"/>
      <c r="EIP4" s="42"/>
      <c r="EIQ4" s="42"/>
      <c r="EIR4" s="42"/>
      <c r="EIS4" s="42"/>
      <c r="EIT4" s="42"/>
      <c r="EIU4" s="42"/>
      <c r="EIV4" s="42"/>
      <c r="EIW4" s="42"/>
      <c r="EIX4" s="42"/>
      <c r="EIY4" s="42"/>
      <c r="EIZ4" s="42"/>
      <c r="EJA4" s="42"/>
      <c r="EJB4" s="42"/>
      <c r="EJC4" s="42"/>
      <c r="EJD4" s="42"/>
      <c r="EJE4" s="42"/>
      <c r="EJF4" s="42"/>
      <c r="EJG4" s="42"/>
      <c r="EJH4" s="42"/>
      <c r="EJI4" s="42"/>
      <c r="EJJ4" s="42"/>
      <c r="EJK4" s="42"/>
      <c r="EJL4" s="42"/>
      <c r="EJM4" s="42"/>
      <c r="EJN4" s="42"/>
      <c r="EJO4" s="42"/>
      <c r="EJP4" s="42"/>
      <c r="EJQ4" s="42"/>
      <c r="EJR4" s="42"/>
      <c r="EJS4" s="42"/>
      <c r="EJT4" s="42"/>
      <c r="EJU4" s="42"/>
      <c r="EJV4" s="42"/>
      <c r="EJW4" s="42"/>
      <c r="EJX4" s="42"/>
      <c r="EJY4" s="42"/>
      <c r="EJZ4" s="42"/>
      <c r="EKA4" s="42"/>
      <c r="EKB4" s="42"/>
      <c r="EKC4" s="42"/>
      <c r="EKD4" s="42"/>
      <c r="EKE4" s="42"/>
      <c r="EKF4" s="42"/>
      <c r="EKG4" s="42"/>
      <c r="EKH4" s="42"/>
      <c r="EKI4" s="42"/>
      <c r="EKJ4" s="42"/>
      <c r="EKK4" s="42"/>
      <c r="EKL4" s="42"/>
      <c r="EKM4" s="42"/>
      <c r="EKN4" s="42"/>
      <c r="EKO4" s="42"/>
      <c r="EKP4" s="42"/>
      <c r="EKQ4" s="42"/>
      <c r="EKR4" s="42"/>
      <c r="EKS4" s="42"/>
      <c r="EKT4" s="42"/>
      <c r="EKU4" s="42"/>
      <c r="EKV4" s="42"/>
      <c r="EKW4" s="42"/>
      <c r="EKX4" s="42"/>
      <c r="EKY4" s="42"/>
      <c r="EKZ4" s="42"/>
      <c r="ELA4" s="42"/>
      <c r="ELB4" s="42"/>
      <c r="ELC4" s="42"/>
      <c r="ELD4" s="42"/>
      <c r="ELE4" s="42"/>
      <c r="ELF4" s="42"/>
      <c r="ELG4" s="42"/>
      <c r="ELH4" s="42"/>
      <c r="ELI4" s="42"/>
      <c r="ELJ4" s="42"/>
      <c r="ELK4" s="42"/>
      <c r="ELL4" s="42"/>
      <c r="ELM4" s="42"/>
      <c r="ELN4" s="42"/>
      <c r="ELO4" s="42"/>
      <c r="ELP4" s="42"/>
      <c r="ELQ4" s="42"/>
      <c r="ELR4" s="42"/>
      <c r="ELS4" s="42"/>
      <c r="ELT4" s="42"/>
      <c r="ELU4" s="42"/>
      <c r="ELV4" s="42"/>
      <c r="ELW4" s="42"/>
      <c r="ELX4" s="42"/>
      <c r="ELY4" s="42"/>
      <c r="ELZ4" s="42"/>
      <c r="EMA4" s="42"/>
      <c r="EMB4" s="42"/>
      <c r="EMC4" s="42"/>
      <c r="EMD4" s="42"/>
      <c r="EME4" s="42"/>
      <c r="EMF4" s="42"/>
      <c r="EMG4" s="42"/>
      <c r="EMH4" s="42"/>
      <c r="EMI4" s="42"/>
      <c r="EMJ4" s="42"/>
      <c r="EMK4" s="42"/>
      <c r="EML4" s="42"/>
      <c r="EMM4" s="42"/>
      <c r="EMN4" s="42"/>
      <c r="EMO4" s="42"/>
      <c r="EMP4" s="42"/>
      <c r="EMQ4" s="42"/>
      <c r="EMR4" s="42"/>
      <c r="EMS4" s="42"/>
      <c r="EMT4" s="42"/>
      <c r="EMU4" s="42"/>
      <c r="EMV4" s="42"/>
      <c r="EMW4" s="42"/>
      <c r="EMX4" s="42"/>
      <c r="EMY4" s="42"/>
      <c r="EMZ4" s="42"/>
      <c r="ENA4" s="42"/>
      <c r="ENB4" s="42"/>
      <c r="ENC4" s="42"/>
      <c r="END4" s="42"/>
      <c r="ENE4" s="42"/>
      <c r="ENF4" s="42"/>
      <c r="ENG4" s="42"/>
      <c r="ENH4" s="42"/>
      <c r="ENI4" s="42"/>
      <c r="ENJ4" s="42"/>
      <c r="ENK4" s="42"/>
      <c r="ENL4" s="42"/>
      <c r="ENM4" s="42"/>
      <c r="ENN4" s="42"/>
      <c r="ENO4" s="42"/>
      <c r="ENP4" s="42"/>
      <c r="ENQ4" s="42"/>
      <c r="ENR4" s="42"/>
      <c r="ENS4" s="42"/>
      <c r="ENT4" s="42"/>
      <c r="ENU4" s="42"/>
      <c r="ENV4" s="42"/>
      <c r="ENW4" s="42"/>
      <c r="ENX4" s="42"/>
      <c r="ENY4" s="42"/>
      <c r="ENZ4" s="42"/>
      <c r="EOA4" s="42"/>
      <c r="EOB4" s="42"/>
      <c r="EOC4" s="42"/>
      <c r="EOD4" s="42"/>
      <c r="EOE4" s="42"/>
      <c r="EOF4" s="42"/>
      <c r="EOG4" s="42"/>
      <c r="EOH4" s="42"/>
      <c r="EOI4" s="42"/>
      <c r="EOJ4" s="42"/>
      <c r="EOK4" s="42"/>
      <c r="EOL4" s="42"/>
      <c r="EOM4" s="42"/>
      <c r="EON4" s="42"/>
      <c r="EOO4" s="42"/>
      <c r="EOP4" s="42"/>
      <c r="EOQ4" s="42"/>
      <c r="EOR4" s="42"/>
      <c r="EOS4" s="42"/>
      <c r="EOT4" s="42"/>
      <c r="EOU4" s="42"/>
      <c r="EOV4" s="42"/>
      <c r="EOW4" s="42"/>
      <c r="EOX4" s="42"/>
      <c r="EOY4" s="42"/>
      <c r="EOZ4" s="42"/>
      <c r="EPA4" s="42"/>
      <c r="EPB4" s="42"/>
      <c r="EPC4" s="42"/>
      <c r="EPD4" s="42"/>
      <c r="EPE4" s="42"/>
      <c r="EPF4" s="42"/>
      <c r="EPG4" s="42"/>
      <c r="EPH4" s="42"/>
      <c r="EPI4" s="42"/>
      <c r="EPJ4" s="42"/>
      <c r="EPK4" s="42"/>
      <c r="EPL4" s="42"/>
      <c r="EPM4" s="42"/>
      <c r="EPN4" s="42"/>
      <c r="EPO4" s="42"/>
      <c r="EPP4" s="42"/>
      <c r="EPQ4" s="42"/>
      <c r="EPR4" s="42"/>
      <c r="EPS4" s="42"/>
      <c r="EPT4" s="42"/>
      <c r="EPU4" s="42"/>
      <c r="EPV4" s="42"/>
      <c r="EPW4" s="42"/>
      <c r="EPX4" s="42"/>
      <c r="EPY4" s="42"/>
      <c r="EPZ4" s="42"/>
      <c r="EQA4" s="42"/>
      <c r="EQB4" s="42"/>
      <c r="EQC4" s="42"/>
      <c r="EQD4" s="42"/>
      <c r="EQE4" s="42"/>
      <c r="EQF4" s="42"/>
      <c r="EQG4" s="42"/>
      <c r="EQH4" s="42"/>
      <c r="EQI4" s="42"/>
      <c r="EQJ4" s="42"/>
      <c r="EQK4" s="42"/>
      <c r="EQL4" s="42"/>
      <c r="EQM4" s="42"/>
      <c r="EQN4" s="42"/>
      <c r="EQO4" s="42"/>
      <c r="EQP4" s="42"/>
      <c r="EQQ4" s="42"/>
      <c r="EQR4" s="42"/>
      <c r="EQS4" s="42"/>
      <c r="EQT4" s="42"/>
      <c r="EQU4" s="42"/>
      <c r="EQV4" s="42"/>
      <c r="EQW4" s="42"/>
      <c r="EQX4" s="42"/>
      <c r="EQY4" s="42"/>
      <c r="EQZ4" s="42"/>
      <c r="ERA4" s="42"/>
      <c r="ERB4" s="42"/>
      <c r="ERC4" s="42"/>
      <c r="ERD4" s="42"/>
      <c r="ERE4" s="42"/>
      <c r="ERF4" s="42"/>
      <c r="ERG4" s="42"/>
      <c r="ERH4" s="42"/>
      <c r="ERI4" s="42"/>
      <c r="ERJ4" s="42"/>
      <c r="ERK4" s="42"/>
      <c r="ERL4" s="42"/>
      <c r="ERM4" s="42"/>
      <c r="ERN4" s="42"/>
      <c r="ERO4" s="42"/>
      <c r="ERP4" s="42"/>
      <c r="ERQ4" s="42"/>
      <c r="ERR4" s="42"/>
      <c r="ERS4" s="42"/>
      <c r="ERT4" s="42"/>
      <c r="ERU4" s="42"/>
      <c r="ERV4" s="42"/>
      <c r="ERW4" s="42"/>
      <c r="ERX4" s="42"/>
      <c r="ERY4" s="42"/>
      <c r="ERZ4" s="42"/>
      <c r="ESA4" s="42"/>
      <c r="ESB4" s="42"/>
      <c r="ESC4" s="42"/>
      <c r="ESD4" s="42"/>
      <c r="ESE4" s="42"/>
      <c r="ESF4" s="42"/>
      <c r="ESG4" s="42"/>
      <c r="ESH4" s="42"/>
      <c r="ESI4" s="42"/>
      <c r="ESJ4" s="42"/>
      <c r="ESK4" s="42"/>
      <c r="ESL4" s="42"/>
      <c r="ESM4" s="42"/>
      <c r="ESN4" s="42"/>
      <c r="ESO4" s="42"/>
      <c r="ESP4" s="42"/>
      <c r="ESQ4" s="42"/>
      <c r="ESR4" s="42"/>
      <c r="ESS4" s="42"/>
      <c r="EST4" s="42"/>
      <c r="ESU4" s="42"/>
      <c r="ESV4" s="42"/>
      <c r="ESW4" s="42"/>
      <c r="ESX4" s="42"/>
      <c r="ESY4" s="42"/>
      <c r="ESZ4" s="42"/>
      <c r="ETA4" s="42"/>
      <c r="ETB4" s="42"/>
      <c r="ETC4" s="42"/>
      <c r="ETD4" s="42"/>
      <c r="ETE4" s="42"/>
      <c r="ETF4" s="42"/>
      <c r="ETG4" s="42"/>
      <c r="ETH4" s="42"/>
      <c r="ETI4" s="42"/>
      <c r="ETJ4" s="42"/>
      <c r="ETK4" s="42"/>
      <c r="ETL4" s="42"/>
      <c r="ETM4" s="42"/>
      <c r="ETN4" s="42"/>
      <c r="ETO4" s="42"/>
      <c r="ETP4" s="42"/>
      <c r="ETQ4" s="42"/>
      <c r="ETR4" s="42"/>
      <c r="ETS4" s="42"/>
      <c r="ETT4" s="42"/>
      <c r="ETU4" s="42"/>
      <c r="ETV4" s="42"/>
      <c r="ETW4" s="42"/>
      <c r="ETX4" s="42"/>
      <c r="ETY4" s="42"/>
      <c r="ETZ4" s="42"/>
      <c r="EUA4" s="42"/>
      <c r="EUB4" s="42"/>
      <c r="EUC4" s="42"/>
      <c r="EUD4" s="42"/>
      <c r="EUE4" s="42"/>
      <c r="EUF4" s="42"/>
      <c r="EUG4" s="42"/>
      <c r="EUH4" s="42"/>
      <c r="EUI4" s="42"/>
      <c r="EUJ4" s="42"/>
      <c r="EUK4" s="42"/>
      <c r="EUL4" s="42"/>
      <c r="EUM4" s="42"/>
      <c r="EUN4" s="42"/>
      <c r="EUO4" s="42"/>
      <c r="EUP4" s="42"/>
      <c r="EUQ4" s="42"/>
      <c r="EUR4" s="42"/>
      <c r="EUS4" s="42"/>
      <c r="EUT4" s="42"/>
      <c r="EUU4" s="42"/>
      <c r="EUV4" s="42"/>
      <c r="EUW4" s="42"/>
      <c r="EUX4" s="42"/>
      <c r="EUY4" s="42"/>
      <c r="EUZ4" s="42"/>
      <c r="EVA4" s="42"/>
      <c r="EVB4" s="42"/>
      <c r="EVC4" s="42"/>
      <c r="EVD4" s="42"/>
      <c r="EVE4" s="42"/>
      <c r="EVF4" s="42"/>
      <c r="EVG4" s="42"/>
      <c r="EVH4" s="42"/>
      <c r="EVI4" s="42"/>
      <c r="EVJ4" s="42"/>
      <c r="EVK4" s="42"/>
      <c r="EVL4" s="42"/>
      <c r="EVM4" s="42"/>
      <c r="EVN4" s="42"/>
      <c r="EVO4" s="42"/>
      <c r="EVP4" s="42"/>
      <c r="EVQ4" s="42"/>
      <c r="EVR4" s="42"/>
      <c r="EVS4" s="42"/>
      <c r="EVT4" s="42"/>
      <c r="EVU4" s="42"/>
      <c r="EVV4" s="42"/>
      <c r="EVW4" s="42"/>
      <c r="EVX4" s="42"/>
      <c r="EVY4" s="42"/>
      <c r="EVZ4" s="42"/>
      <c r="EWA4" s="42"/>
      <c r="EWB4" s="42"/>
      <c r="EWC4" s="42"/>
      <c r="EWD4" s="42"/>
      <c r="EWE4" s="42"/>
      <c r="EWF4" s="42"/>
      <c r="EWG4" s="42"/>
      <c r="EWH4" s="42"/>
      <c r="EWI4" s="42"/>
      <c r="EWJ4" s="42"/>
      <c r="EWK4" s="42"/>
      <c r="EWL4" s="42"/>
      <c r="EWM4" s="42"/>
      <c r="EWN4" s="42"/>
      <c r="EWO4" s="42"/>
      <c r="EWP4" s="42"/>
      <c r="EWQ4" s="42"/>
      <c r="EWR4" s="42"/>
      <c r="EWS4" s="42"/>
      <c r="EWT4" s="42"/>
      <c r="EWU4" s="42"/>
      <c r="EWV4" s="42"/>
      <c r="EWW4" s="42"/>
      <c r="EWX4" s="42"/>
      <c r="EWY4" s="42"/>
      <c r="EWZ4" s="42"/>
      <c r="EXA4" s="42"/>
      <c r="EXB4" s="42"/>
      <c r="EXC4" s="42"/>
      <c r="EXD4" s="42"/>
      <c r="EXE4" s="42"/>
      <c r="EXF4" s="42"/>
      <c r="EXG4" s="42"/>
      <c r="EXH4" s="42"/>
      <c r="EXI4" s="42"/>
      <c r="EXJ4" s="42"/>
      <c r="EXK4" s="42"/>
      <c r="EXL4" s="42"/>
      <c r="EXM4" s="42"/>
      <c r="EXN4" s="42"/>
      <c r="EXO4" s="42"/>
      <c r="EXP4" s="42"/>
      <c r="EXQ4" s="42"/>
      <c r="EXR4" s="42"/>
      <c r="EXS4" s="42"/>
      <c r="EXT4" s="42"/>
      <c r="EXU4" s="42"/>
      <c r="EXV4" s="42"/>
      <c r="EXW4" s="42"/>
      <c r="EXX4" s="42"/>
      <c r="EXY4" s="42"/>
      <c r="EXZ4" s="42"/>
      <c r="EYA4" s="42"/>
      <c r="EYB4" s="42"/>
      <c r="EYC4" s="42"/>
      <c r="EYD4" s="42"/>
      <c r="EYE4" s="42"/>
      <c r="EYF4" s="42"/>
      <c r="EYG4" s="42"/>
      <c r="EYH4" s="42"/>
      <c r="EYI4" s="42"/>
      <c r="EYJ4" s="42"/>
      <c r="EYK4" s="42"/>
      <c r="EYL4" s="42"/>
      <c r="EYM4" s="42"/>
      <c r="EYN4" s="42"/>
      <c r="EYO4" s="42"/>
      <c r="EYP4" s="42"/>
      <c r="EYQ4" s="42"/>
      <c r="EYR4" s="42"/>
      <c r="EYS4" s="42"/>
      <c r="EYT4" s="42"/>
      <c r="EYU4" s="42"/>
      <c r="EYV4" s="42"/>
      <c r="EYW4" s="42"/>
      <c r="EYX4" s="42"/>
      <c r="EYY4" s="42"/>
      <c r="EYZ4" s="42"/>
      <c r="EZA4" s="42"/>
      <c r="EZB4" s="42"/>
      <c r="EZC4" s="42"/>
      <c r="EZD4" s="42"/>
      <c r="EZE4" s="42"/>
      <c r="EZF4" s="42"/>
      <c r="EZG4" s="42"/>
      <c r="EZH4" s="42"/>
      <c r="EZI4" s="42"/>
      <c r="EZJ4" s="42"/>
      <c r="EZK4" s="42"/>
      <c r="EZL4" s="42"/>
      <c r="EZM4" s="42"/>
      <c r="EZN4" s="42"/>
      <c r="EZO4" s="42"/>
      <c r="EZP4" s="42"/>
      <c r="EZQ4" s="42"/>
      <c r="EZR4" s="42"/>
      <c r="EZS4" s="42"/>
      <c r="EZT4" s="42"/>
      <c r="EZU4" s="42"/>
      <c r="EZV4" s="42"/>
      <c r="EZW4" s="42"/>
      <c r="EZX4" s="42"/>
      <c r="EZY4" s="42"/>
      <c r="EZZ4" s="42"/>
      <c r="FAA4" s="42"/>
      <c r="FAB4" s="42"/>
      <c r="FAC4" s="42"/>
      <c r="FAD4" s="42"/>
      <c r="FAE4" s="42"/>
      <c r="FAF4" s="42"/>
      <c r="FAG4" s="42"/>
      <c r="FAH4" s="42"/>
      <c r="FAI4" s="42"/>
      <c r="FAJ4" s="42"/>
      <c r="FAK4" s="42"/>
      <c r="FAL4" s="42"/>
      <c r="FAM4" s="42"/>
      <c r="FAN4" s="42"/>
      <c r="FAO4" s="42"/>
      <c r="FAP4" s="42"/>
      <c r="FAQ4" s="42"/>
      <c r="FAR4" s="42"/>
      <c r="FAS4" s="42"/>
      <c r="FAT4" s="42"/>
      <c r="FAU4" s="42"/>
      <c r="FAV4" s="42"/>
      <c r="FAW4" s="42"/>
      <c r="FAX4" s="42"/>
      <c r="FAY4" s="42"/>
      <c r="FAZ4" s="42"/>
      <c r="FBA4" s="42"/>
      <c r="FBB4" s="42"/>
      <c r="FBC4" s="42"/>
      <c r="FBD4" s="42"/>
      <c r="FBE4" s="42"/>
      <c r="FBF4" s="42"/>
      <c r="FBG4" s="42"/>
      <c r="FBH4" s="42"/>
      <c r="FBI4" s="42"/>
      <c r="FBJ4" s="42"/>
      <c r="FBK4" s="42"/>
      <c r="FBL4" s="42"/>
      <c r="FBM4" s="42"/>
      <c r="FBN4" s="42"/>
      <c r="FBO4" s="42"/>
      <c r="FBP4" s="42"/>
      <c r="FBQ4" s="42"/>
      <c r="FBR4" s="42"/>
      <c r="FBS4" s="42"/>
      <c r="FBT4" s="42"/>
      <c r="FBU4" s="42"/>
      <c r="FBV4" s="42"/>
      <c r="FBW4" s="42"/>
      <c r="FBX4" s="42"/>
      <c r="FBY4" s="42"/>
      <c r="FBZ4" s="42"/>
      <c r="FCA4" s="42"/>
      <c r="FCB4" s="42"/>
      <c r="FCC4" s="42"/>
      <c r="FCD4" s="42"/>
      <c r="FCE4" s="42"/>
      <c r="FCF4" s="42"/>
      <c r="FCG4" s="42"/>
      <c r="FCH4" s="42"/>
      <c r="FCI4" s="42"/>
      <c r="FCJ4" s="42"/>
      <c r="FCK4" s="42"/>
      <c r="FCL4" s="42"/>
      <c r="FCM4" s="42"/>
      <c r="FCN4" s="42"/>
      <c r="FCO4" s="42"/>
      <c r="FCP4" s="42"/>
      <c r="FCQ4" s="42"/>
      <c r="FCR4" s="42"/>
      <c r="FCS4" s="42"/>
      <c r="FCT4" s="42"/>
      <c r="FCU4" s="42"/>
      <c r="FCV4" s="42"/>
      <c r="FCW4" s="42"/>
      <c r="FCX4" s="42"/>
      <c r="FCY4" s="42"/>
      <c r="FCZ4" s="42"/>
      <c r="FDA4" s="42"/>
      <c r="FDB4" s="42"/>
      <c r="FDC4" s="42"/>
      <c r="FDD4" s="42"/>
      <c r="FDE4" s="42"/>
      <c r="FDF4" s="42"/>
      <c r="FDG4" s="42"/>
      <c r="FDH4" s="42"/>
      <c r="FDI4" s="42"/>
      <c r="FDJ4" s="42"/>
      <c r="FDK4" s="42"/>
      <c r="FDL4" s="42"/>
      <c r="FDM4" s="42"/>
      <c r="FDN4" s="42"/>
      <c r="FDO4" s="42"/>
      <c r="FDP4" s="42"/>
      <c r="FDQ4" s="42"/>
      <c r="FDR4" s="42"/>
      <c r="FDS4" s="42"/>
      <c r="FDT4" s="42"/>
      <c r="FDU4" s="42"/>
      <c r="FDV4" s="42"/>
      <c r="FDW4" s="42"/>
      <c r="FDX4" s="42"/>
      <c r="FDY4" s="42"/>
      <c r="FDZ4" s="42"/>
      <c r="FEA4" s="42"/>
      <c r="FEB4" s="42"/>
      <c r="FEC4" s="42"/>
      <c r="FED4" s="42"/>
      <c r="FEE4" s="42"/>
      <c r="FEF4" s="42"/>
      <c r="FEG4" s="42"/>
      <c r="FEH4" s="42"/>
      <c r="FEI4" s="42"/>
      <c r="FEJ4" s="42"/>
      <c r="FEK4" s="42"/>
      <c r="FEL4" s="42"/>
      <c r="FEM4" s="42"/>
      <c r="FEN4" s="42"/>
      <c r="FEO4" s="42"/>
      <c r="FEP4" s="42"/>
      <c r="FEQ4" s="42"/>
      <c r="FER4" s="42"/>
      <c r="FES4" s="42"/>
      <c r="FET4" s="42"/>
      <c r="FEU4" s="42"/>
      <c r="FEV4" s="42"/>
      <c r="FEW4" s="42"/>
      <c r="FEX4" s="42"/>
      <c r="FEY4" s="42"/>
      <c r="FEZ4" s="42"/>
      <c r="FFA4" s="42"/>
      <c r="FFB4" s="42"/>
      <c r="FFC4" s="42"/>
      <c r="FFD4" s="42"/>
      <c r="FFE4" s="42"/>
      <c r="FFF4" s="42"/>
      <c r="FFG4" s="42"/>
      <c r="FFH4" s="42"/>
      <c r="FFI4" s="42"/>
      <c r="FFJ4" s="42"/>
      <c r="FFK4" s="42"/>
      <c r="FFL4" s="42"/>
      <c r="FFM4" s="42"/>
      <c r="FFN4" s="42"/>
      <c r="FFO4" s="42"/>
      <c r="FFP4" s="42"/>
      <c r="FFQ4" s="42"/>
      <c r="FFR4" s="42"/>
      <c r="FFS4" s="42"/>
      <c r="FFT4" s="42"/>
      <c r="FFU4" s="42"/>
      <c r="FFV4" s="42"/>
      <c r="FFW4" s="42"/>
      <c r="FFX4" s="42"/>
      <c r="FFY4" s="42"/>
      <c r="FFZ4" s="42"/>
      <c r="FGA4" s="42"/>
      <c r="FGB4" s="42"/>
      <c r="FGC4" s="42"/>
      <c r="FGD4" s="42"/>
      <c r="FGE4" s="42"/>
      <c r="FGF4" s="42"/>
      <c r="FGG4" s="42"/>
      <c r="FGH4" s="42"/>
      <c r="FGI4" s="42"/>
      <c r="FGJ4" s="42"/>
      <c r="FGK4" s="42"/>
      <c r="FGL4" s="42"/>
      <c r="FGM4" s="42"/>
      <c r="FGN4" s="42"/>
      <c r="FGO4" s="42"/>
      <c r="FGP4" s="42"/>
      <c r="FGQ4" s="42"/>
      <c r="FGR4" s="42"/>
      <c r="FGS4" s="42"/>
      <c r="FGT4" s="42"/>
      <c r="FGU4" s="42"/>
      <c r="FGV4" s="42"/>
      <c r="FGW4" s="42"/>
      <c r="FGX4" s="42"/>
      <c r="FGY4" s="42"/>
      <c r="FGZ4" s="42"/>
      <c r="FHA4" s="42"/>
      <c r="FHB4" s="42"/>
      <c r="FHC4" s="42"/>
      <c r="FHD4" s="42"/>
      <c r="FHE4" s="42"/>
      <c r="FHF4" s="42"/>
      <c r="FHG4" s="42"/>
      <c r="FHH4" s="42"/>
      <c r="FHI4" s="42"/>
      <c r="FHJ4" s="42"/>
      <c r="FHK4" s="42"/>
      <c r="FHL4" s="42"/>
      <c r="FHM4" s="42"/>
      <c r="FHN4" s="42"/>
      <c r="FHO4" s="42"/>
      <c r="FHP4" s="42"/>
      <c r="FHQ4" s="42"/>
      <c r="FHR4" s="42"/>
      <c r="FHS4" s="42"/>
      <c r="FHT4" s="42"/>
      <c r="FHU4" s="42"/>
      <c r="FHV4" s="42"/>
      <c r="FHW4" s="42"/>
      <c r="FHX4" s="42"/>
      <c r="FHY4" s="42"/>
      <c r="FHZ4" s="42"/>
      <c r="FIA4" s="42"/>
      <c r="FIB4" s="42"/>
      <c r="FIC4" s="42"/>
      <c r="FID4" s="42"/>
      <c r="FIE4" s="42"/>
      <c r="FIF4" s="42"/>
      <c r="FIG4" s="42"/>
      <c r="FIH4" s="42"/>
      <c r="FII4" s="42"/>
      <c r="FIJ4" s="42"/>
      <c r="FIK4" s="42"/>
      <c r="FIL4" s="42"/>
      <c r="FIM4" s="42"/>
      <c r="FIN4" s="42"/>
      <c r="FIO4" s="42"/>
      <c r="FIP4" s="42"/>
      <c r="FIQ4" s="42"/>
      <c r="FIR4" s="42"/>
      <c r="FIS4" s="42"/>
      <c r="FIT4" s="42"/>
      <c r="FIU4" s="42"/>
      <c r="FIV4" s="42"/>
      <c r="FIW4" s="42"/>
      <c r="FIX4" s="42"/>
      <c r="FIY4" s="42"/>
      <c r="FIZ4" s="42"/>
      <c r="FJA4" s="42"/>
      <c r="FJB4" s="42"/>
      <c r="FJC4" s="42"/>
      <c r="FJD4" s="42"/>
      <c r="FJE4" s="42"/>
      <c r="FJF4" s="42"/>
      <c r="FJG4" s="42"/>
      <c r="FJH4" s="42"/>
      <c r="FJI4" s="42"/>
      <c r="FJJ4" s="42"/>
      <c r="FJK4" s="42"/>
      <c r="FJL4" s="42"/>
      <c r="FJM4" s="42"/>
      <c r="FJN4" s="42"/>
      <c r="FJO4" s="42"/>
      <c r="FJP4" s="42"/>
      <c r="FJQ4" s="42"/>
      <c r="FJR4" s="42"/>
      <c r="FJS4" s="42"/>
      <c r="FJT4" s="42"/>
      <c r="FJU4" s="42"/>
      <c r="FJV4" s="42"/>
      <c r="FJW4" s="42"/>
      <c r="FJX4" s="42"/>
      <c r="FJY4" s="42"/>
      <c r="FJZ4" s="42"/>
      <c r="FKA4" s="42"/>
      <c r="FKB4" s="42"/>
      <c r="FKC4" s="42"/>
      <c r="FKD4" s="42"/>
      <c r="FKE4" s="42"/>
      <c r="FKF4" s="42"/>
      <c r="FKG4" s="42"/>
      <c r="FKH4" s="42"/>
      <c r="FKI4" s="42"/>
      <c r="FKJ4" s="42"/>
      <c r="FKK4" s="42"/>
      <c r="FKL4" s="42"/>
      <c r="FKM4" s="42"/>
      <c r="FKN4" s="42"/>
      <c r="FKO4" s="42"/>
      <c r="FKP4" s="42"/>
      <c r="FKQ4" s="42"/>
      <c r="FKR4" s="42"/>
      <c r="FKS4" s="42"/>
      <c r="FKT4" s="42"/>
      <c r="FKU4" s="42"/>
      <c r="FKV4" s="42"/>
      <c r="FKW4" s="42"/>
      <c r="FKX4" s="42"/>
      <c r="FKY4" s="42"/>
      <c r="FKZ4" s="42"/>
      <c r="FLA4" s="42"/>
      <c r="FLB4" s="42"/>
      <c r="FLC4" s="42"/>
      <c r="FLD4" s="42"/>
      <c r="FLE4" s="42"/>
      <c r="FLF4" s="42"/>
      <c r="FLG4" s="42"/>
      <c r="FLH4" s="42"/>
      <c r="FLI4" s="42"/>
      <c r="FLJ4" s="42"/>
      <c r="FLK4" s="42"/>
      <c r="FLL4" s="42"/>
      <c r="FLM4" s="42"/>
      <c r="FLN4" s="42"/>
      <c r="FLO4" s="42"/>
      <c r="FLP4" s="42"/>
      <c r="FLQ4" s="42"/>
      <c r="FLR4" s="42"/>
      <c r="FLS4" s="42"/>
      <c r="FLT4" s="42"/>
      <c r="FLU4" s="42"/>
      <c r="FLV4" s="42"/>
      <c r="FLW4" s="42"/>
      <c r="FLX4" s="42"/>
      <c r="FLY4" s="42"/>
      <c r="FLZ4" s="42"/>
      <c r="FMA4" s="42"/>
      <c r="FMB4" s="42"/>
      <c r="FMC4" s="42"/>
      <c r="FMD4" s="42"/>
      <c r="FME4" s="42"/>
      <c r="FMF4" s="42"/>
      <c r="FMG4" s="42"/>
      <c r="FMH4" s="42"/>
      <c r="FMI4" s="42"/>
      <c r="FMJ4" s="42"/>
      <c r="FMK4" s="42"/>
      <c r="FML4" s="42"/>
      <c r="FMM4" s="42"/>
      <c r="FMN4" s="42"/>
      <c r="FMO4" s="42"/>
      <c r="FMP4" s="42"/>
      <c r="FMQ4" s="42"/>
      <c r="FMR4" s="42"/>
      <c r="FMS4" s="42"/>
      <c r="FMT4" s="42"/>
      <c r="FMU4" s="42"/>
      <c r="FMV4" s="42"/>
      <c r="FMW4" s="42"/>
      <c r="FMX4" s="42"/>
      <c r="FMY4" s="42"/>
      <c r="FMZ4" s="42"/>
      <c r="FNA4" s="42"/>
      <c r="FNB4" s="42"/>
      <c r="FNC4" s="42"/>
      <c r="FND4" s="42"/>
      <c r="FNE4" s="42"/>
      <c r="FNF4" s="42"/>
      <c r="FNG4" s="42"/>
      <c r="FNH4" s="42"/>
      <c r="FNI4" s="42"/>
      <c r="FNJ4" s="42"/>
      <c r="FNK4" s="42"/>
      <c r="FNL4" s="42"/>
      <c r="FNM4" s="42"/>
      <c r="FNN4" s="42"/>
      <c r="FNO4" s="42"/>
      <c r="FNP4" s="42"/>
      <c r="FNQ4" s="42"/>
      <c r="FNR4" s="42"/>
      <c r="FNS4" s="42"/>
      <c r="FNT4" s="42"/>
      <c r="FNU4" s="42"/>
      <c r="FNV4" s="42"/>
      <c r="FNW4" s="42"/>
      <c r="FNX4" s="42"/>
      <c r="FNY4" s="42"/>
      <c r="FNZ4" s="42"/>
      <c r="FOA4" s="42"/>
      <c r="FOB4" s="42"/>
      <c r="FOC4" s="42"/>
      <c r="FOD4" s="42"/>
      <c r="FOE4" s="42"/>
      <c r="FOF4" s="42"/>
      <c r="FOG4" s="42"/>
      <c r="FOH4" s="42"/>
      <c r="FOI4" s="42"/>
      <c r="FOJ4" s="42"/>
      <c r="FOK4" s="42"/>
      <c r="FOL4" s="42"/>
      <c r="FOM4" s="42"/>
      <c r="FON4" s="42"/>
      <c r="FOO4" s="42"/>
      <c r="FOP4" s="42"/>
      <c r="FOQ4" s="42"/>
      <c r="FOR4" s="42"/>
      <c r="FOS4" s="42"/>
      <c r="FOT4" s="42"/>
      <c r="FOU4" s="42"/>
      <c r="FOV4" s="42"/>
      <c r="FOW4" s="42"/>
      <c r="FOX4" s="42"/>
      <c r="FOY4" s="42"/>
      <c r="FOZ4" s="42"/>
      <c r="FPA4" s="42"/>
      <c r="FPB4" s="42"/>
      <c r="FPC4" s="42"/>
      <c r="FPD4" s="42"/>
      <c r="FPE4" s="42"/>
      <c r="FPF4" s="42"/>
      <c r="FPG4" s="42"/>
      <c r="FPH4" s="42"/>
      <c r="FPI4" s="42"/>
      <c r="FPJ4" s="42"/>
      <c r="FPK4" s="42"/>
      <c r="FPL4" s="42"/>
      <c r="FPM4" s="42"/>
      <c r="FPN4" s="42"/>
      <c r="FPO4" s="42"/>
      <c r="FPP4" s="42"/>
      <c r="FPQ4" s="42"/>
      <c r="FPR4" s="42"/>
      <c r="FPS4" s="42"/>
      <c r="FPT4" s="42"/>
      <c r="FPU4" s="42"/>
      <c r="FPV4" s="42"/>
      <c r="FPW4" s="42"/>
      <c r="FPX4" s="42"/>
      <c r="FPY4" s="42"/>
      <c r="FPZ4" s="42"/>
      <c r="FQA4" s="42"/>
      <c r="FQB4" s="42"/>
      <c r="FQC4" s="42"/>
      <c r="FQD4" s="42"/>
      <c r="FQE4" s="42"/>
      <c r="FQF4" s="42"/>
      <c r="FQG4" s="42"/>
      <c r="FQH4" s="42"/>
      <c r="FQI4" s="42"/>
      <c r="FQJ4" s="42"/>
      <c r="FQK4" s="42"/>
      <c r="FQL4" s="42"/>
      <c r="FQM4" s="42"/>
      <c r="FQN4" s="42"/>
      <c r="FQO4" s="42"/>
      <c r="FQP4" s="42"/>
      <c r="FQQ4" s="42"/>
      <c r="FQR4" s="42"/>
      <c r="FQS4" s="42"/>
      <c r="FQT4" s="42"/>
      <c r="FQU4" s="42"/>
      <c r="FQV4" s="42"/>
      <c r="FQW4" s="42"/>
      <c r="FQX4" s="42"/>
      <c r="FQY4" s="42"/>
      <c r="FQZ4" s="42"/>
      <c r="FRA4" s="42"/>
      <c r="FRB4" s="42"/>
      <c r="FRC4" s="42"/>
      <c r="FRD4" s="42"/>
      <c r="FRE4" s="42"/>
      <c r="FRF4" s="42"/>
      <c r="FRG4" s="42"/>
      <c r="FRH4" s="42"/>
      <c r="FRI4" s="42"/>
      <c r="FRJ4" s="42"/>
      <c r="FRK4" s="42"/>
      <c r="FRL4" s="42"/>
      <c r="FRM4" s="42"/>
      <c r="FRN4" s="42"/>
      <c r="FRO4" s="42"/>
      <c r="FRP4" s="42"/>
      <c r="FRQ4" s="42"/>
      <c r="FRR4" s="42"/>
      <c r="FRS4" s="42"/>
      <c r="FRT4" s="42"/>
      <c r="FRU4" s="42"/>
      <c r="FRV4" s="42"/>
      <c r="FRW4" s="42"/>
      <c r="FRX4" s="42"/>
      <c r="FRY4" s="42"/>
      <c r="FRZ4" s="42"/>
      <c r="FSA4" s="42"/>
      <c r="FSB4" s="42"/>
      <c r="FSC4" s="42"/>
      <c r="FSD4" s="42"/>
      <c r="FSE4" s="42"/>
      <c r="FSF4" s="42"/>
      <c r="FSG4" s="42"/>
      <c r="FSH4" s="42"/>
      <c r="FSI4" s="42"/>
      <c r="FSJ4" s="42"/>
      <c r="FSK4" s="42"/>
      <c r="FSL4" s="42"/>
      <c r="FSM4" s="42"/>
      <c r="FSN4" s="42"/>
      <c r="FSO4" s="42"/>
      <c r="FSP4" s="42"/>
      <c r="FSQ4" s="42"/>
      <c r="FSR4" s="42"/>
      <c r="FSS4" s="42"/>
      <c r="FST4" s="42"/>
      <c r="FSU4" s="42"/>
      <c r="FSV4" s="42"/>
      <c r="FSW4" s="42"/>
      <c r="FSX4" s="42"/>
      <c r="FSY4" s="42"/>
      <c r="FSZ4" s="42"/>
      <c r="FTA4" s="42"/>
      <c r="FTB4" s="42"/>
      <c r="FTC4" s="42"/>
      <c r="FTD4" s="42"/>
      <c r="FTE4" s="42"/>
      <c r="FTF4" s="42"/>
      <c r="FTG4" s="42"/>
      <c r="FTH4" s="42"/>
      <c r="FTI4" s="42"/>
      <c r="FTJ4" s="42"/>
      <c r="FTK4" s="42"/>
      <c r="FTL4" s="42"/>
      <c r="FTM4" s="42"/>
      <c r="FTN4" s="42"/>
      <c r="FTO4" s="42"/>
      <c r="FTP4" s="42"/>
      <c r="FTQ4" s="42"/>
      <c r="FTR4" s="42"/>
      <c r="FTS4" s="42"/>
      <c r="FTT4" s="42"/>
      <c r="FTU4" s="42"/>
      <c r="FTV4" s="42"/>
      <c r="FTW4" s="42"/>
      <c r="FTX4" s="42"/>
      <c r="FTY4" s="42"/>
      <c r="FTZ4" s="42"/>
      <c r="FUA4" s="42"/>
      <c r="FUB4" s="42"/>
      <c r="FUC4" s="42"/>
      <c r="FUD4" s="42"/>
      <c r="FUE4" s="42"/>
      <c r="FUF4" s="42"/>
      <c r="FUG4" s="42"/>
      <c r="FUH4" s="42"/>
      <c r="FUI4" s="42"/>
      <c r="FUJ4" s="42"/>
      <c r="FUK4" s="42"/>
      <c r="FUL4" s="42"/>
      <c r="FUM4" s="42"/>
      <c r="FUN4" s="42"/>
      <c r="FUO4" s="42"/>
      <c r="FUP4" s="42"/>
      <c r="FUQ4" s="42"/>
      <c r="FUR4" s="42"/>
      <c r="FUS4" s="42"/>
      <c r="FUT4" s="42"/>
      <c r="FUU4" s="42"/>
      <c r="FUV4" s="42"/>
      <c r="FUW4" s="42"/>
      <c r="FUX4" s="42"/>
      <c r="FUY4" s="42"/>
      <c r="FUZ4" s="42"/>
      <c r="FVA4" s="42"/>
      <c r="FVB4" s="42"/>
      <c r="FVC4" s="42"/>
      <c r="FVD4" s="42"/>
      <c r="FVE4" s="42"/>
      <c r="FVF4" s="42"/>
      <c r="FVG4" s="42"/>
      <c r="FVH4" s="42"/>
      <c r="FVI4" s="42"/>
      <c r="FVJ4" s="42"/>
      <c r="FVK4" s="42"/>
      <c r="FVL4" s="42"/>
      <c r="FVM4" s="42"/>
      <c r="FVN4" s="42"/>
      <c r="FVO4" s="42"/>
      <c r="FVP4" s="42"/>
      <c r="FVQ4" s="42"/>
      <c r="FVR4" s="42"/>
      <c r="FVS4" s="42"/>
      <c r="FVT4" s="42"/>
      <c r="FVU4" s="42"/>
      <c r="FVV4" s="42"/>
      <c r="FVW4" s="42"/>
      <c r="FVX4" s="42"/>
      <c r="FVY4" s="42"/>
      <c r="FVZ4" s="42"/>
      <c r="FWA4" s="42"/>
      <c r="FWB4" s="42"/>
      <c r="FWC4" s="42"/>
      <c r="FWD4" s="42"/>
      <c r="FWE4" s="42"/>
      <c r="FWF4" s="42"/>
      <c r="FWG4" s="42"/>
      <c r="FWH4" s="42"/>
      <c r="FWI4" s="42"/>
      <c r="FWJ4" s="42"/>
      <c r="FWK4" s="42"/>
      <c r="FWL4" s="42"/>
      <c r="FWM4" s="42"/>
      <c r="FWN4" s="42"/>
      <c r="FWO4" s="42"/>
      <c r="FWP4" s="42"/>
      <c r="FWQ4" s="42"/>
      <c r="FWR4" s="42"/>
      <c r="FWS4" s="42"/>
      <c r="FWT4" s="42"/>
      <c r="FWU4" s="42"/>
      <c r="FWV4" s="42"/>
      <c r="FWW4" s="42"/>
      <c r="FWX4" s="42"/>
      <c r="FWY4" s="42"/>
      <c r="FWZ4" s="42"/>
      <c r="FXA4" s="42"/>
      <c r="FXB4" s="42"/>
      <c r="FXC4" s="42"/>
      <c r="FXD4" s="42"/>
      <c r="FXE4" s="42"/>
      <c r="FXF4" s="42"/>
      <c r="FXG4" s="42"/>
      <c r="FXH4" s="42"/>
      <c r="FXI4" s="42"/>
      <c r="FXJ4" s="42"/>
      <c r="FXK4" s="42"/>
      <c r="FXL4" s="42"/>
      <c r="FXM4" s="42"/>
      <c r="FXN4" s="42"/>
      <c r="FXO4" s="42"/>
      <c r="FXP4" s="42"/>
      <c r="FXQ4" s="42"/>
      <c r="FXR4" s="42"/>
      <c r="FXS4" s="42"/>
      <c r="FXT4" s="42"/>
      <c r="FXU4" s="42"/>
      <c r="FXV4" s="42"/>
      <c r="FXW4" s="42"/>
      <c r="FXX4" s="42"/>
      <c r="FXY4" s="42"/>
      <c r="FXZ4" s="42"/>
      <c r="FYA4" s="42"/>
      <c r="FYB4" s="42"/>
      <c r="FYC4" s="42"/>
      <c r="FYD4" s="42"/>
      <c r="FYE4" s="42"/>
      <c r="FYF4" s="42"/>
      <c r="FYG4" s="42"/>
      <c r="FYH4" s="42"/>
      <c r="FYI4" s="42"/>
      <c r="FYJ4" s="42"/>
      <c r="FYK4" s="42"/>
      <c r="FYL4" s="42"/>
      <c r="FYM4" s="42"/>
      <c r="FYN4" s="42"/>
      <c r="FYO4" s="42"/>
      <c r="FYP4" s="42"/>
      <c r="FYQ4" s="42"/>
      <c r="FYR4" s="42"/>
      <c r="FYS4" s="42"/>
      <c r="FYT4" s="42"/>
      <c r="FYU4" s="42"/>
      <c r="FYV4" s="42"/>
      <c r="FYW4" s="42"/>
      <c r="FYX4" s="42"/>
      <c r="FYY4" s="42"/>
      <c r="FYZ4" s="42"/>
      <c r="FZA4" s="42"/>
      <c r="FZB4" s="42"/>
      <c r="FZC4" s="42"/>
      <c r="FZD4" s="42"/>
      <c r="FZE4" s="42"/>
      <c r="FZF4" s="42"/>
      <c r="FZG4" s="42"/>
      <c r="FZH4" s="42"/>
      <c r="FZI4" s="42"/>
      <c r="FZJ4" s="42"/>
      <c r="FZK4" s="42"/>
      <c r="FZL4" s="42"/>
      <c r="FZM4" s="42"/>
      <c r="FZN4" s="42"/>
      <c r="FZO4" s="42"/>
      <c r="FZP4" s="42"/>
      <c r="FZQ4" s="42"/>
      <c r="FZR4" s="42"/>
      <c r="FZS4" s="42"/>
      <c r="FZT4" s="42"/>
      <c r="FZU4" s="42"/>
      <c r="FZV4" s="42"/>
      <c r="FZW4" s="42"/>
      <c r="FZX4" s="42"/>
      <c r="FZY4" s="42"/>
      <c r="FZZ4" s="42"/>
      <c r="GAA4" s="42"/>
      <c r="GAB4" s="42"/>
      <c r="GAC4" s="42"/>
      <c r="GAD4" s="42"/>
      <c r="GAE4" s="42"/>
      <c r="GAF4" s="42"/>
      <c r="GAG4" s="42"/>
      <c r="GAH4" s="42"/>
      <c r="GAI4" s="42"/>
      <c r="GAJ4" s="42"/>
      <c r="GAK4" s="42"/>
      <c r="GAL4" s="42"/>
      <c r="GAM4" s="42"/>
      <c r="GAN4" s="42"/>
      <c r="GAO4" s="42"/>
      <c r="GAP4" s="42"/>
      <c r="GAQ4" s="42"/>
      <c r="GAR4" s="42"/>
      <c r="GAS4" s="42"/>
      <c r="GAT4" s="42"/>
      <c r="GAU4" s="42"/>
      <c r="GAV4" s="42"/>
      <c r="GAW4" s="42"/>
      <c r="GAX4" s="42"/>
      <c r="GAY4" s="42"/>
      <c r="GAZ4" s="42"/>
      <c r="GBA4" s="42"/>
      <c r="GBB4" s="42"/>
      <c r="GBC4" s="42"/>
      <c r="GBD4" s="42"/>
      <c r="GBE4" s="42"/>
      <c r="GBF4" s="42"/>
      <c r="GBG4" s="42"/>
      <c r="GBH4" s="42"/>
      <c r="GBI4" s="42"/>
      <c r="GBJ4" s="42"/>
      <c r="GBK4" s="42"/>
      <c r="GBL4" s="42"/>
      <c r="GBM4" s="42"/>
      <c r="GBN4" s="42"/>
      <c r="GBO4" s="42"/>
      <c r="GBP4" s="42"/>
      <c r="GBQ4" s="42"/>
      <c r="GBR4" s="42"/>
      <c r="GBS4" s="42"/>
      <c r="GBT4" s="42"/>
      <c r="GBU4" s="42"/>
      <c r="GBV4" s="42"/>
      <c r="GBW4" s="42"/>
      <c r="GBX4" s="42"/>
      <c r="GBY4" s="42"/>
      <c r="GBZ4" s="42"/>
      <c r="GCA4" s="42"/>
      <c r="GCB4" s="42"/>
      <c r="GCC4" s="42"/>
      <c r="GCD4" s="42"/>
      <c r="GCE4" s="42"/>
      <c r="GCF4" s="42"/>
      <c r="GCG4" s="42"/>
      <c r="GCH4" s="42"/>
      <c r="GCI4" s="42"/>
      <c r="GCJ4" s="42"/>
      <c r="GCK4" s="42"/>
      <c r="GCL4" s="42"/>
      <c r="GCM4" s="42"/>
      <c r="GCN4" s="42"/>
      <c r="GCO4" s="42"/>
      <c r="GCP4" s="42"/>
      <c r="GCQ4" s="42"/>
      <c r="GCR4" s="42"/>
      <c r="GCS4" s="42"/>
      <c r="GCT4" s="42"/>
      <c r="GCU4" s="42"/>
      <c r="GCV4" s="42"/>
      <c r="GCW4" s="42"/>
      <c r="GCX4" s="42"/>
      <c r="GCY4" s="42"/>
      <c r="GCZ4" s="42"/>
      <c r="GDA4" s="42"/>
      <c r="GDB4" s="42"/>
      <c r="GDC4" s="42"/>
      <c r="GDD4" s="42"/>
      <c r="GDE4" s="42"/>
      <c r="GDF4" s="42"/>
      <c r="GDG4" s="42"/>
      <c r="GDH4" s="42"/>
      <c r="GDI4" s="42"/>
      <c r="GDJ4" s="42"/>
      <c r="GDK4" s="42"/>
      <c r="GDL4" s="42"/>
      <c r="GDM4" s="42"/>
      <c r="GDN4" s="42"/>
      <c r="GDO4" s="42"/>
      <c r="GDP4" s="42"/>
      <c r="GDQ4" s="42"/>
      <c r="GDR4" s="42"/>
      <c r="GDS4" s="42"/>
      <c r="GDT4" s="42"/>
      <c r="GDU4" s="42"/>
      <c r="GDV4" s="42"/>
      <c r="GDW4" s="42"/>
      <c r="GDX4" s="42"/>
      <c r="GDY4" s="42"/>
      <c r="GDZ4" s="42"/>
      <c r="GEA4" s="42"/>
      <c r="GEB4" s="42"/>
      <c r="GEC4" s="42"/>
      <c r="GED4" s="42"/>
      <c r="GEE4" s="42"/>
      <c r="GEF4" s="42"/>
      <c r="GEG4" s="42"/>
      <c r="GEH4" s="42"/>
      <c r="GEI4" s="42"/>
      <c r="GEJ4" s="42"/>
      <c r="GEK4" s="42"/>
      <c r="GEL4" s="42"/>
      <c r="GEM4" s="42"/>
      <c r="GEN4" s="42"/>
      <c r="GEO4" s="42"/>
      <c r="GEP4" s="42"/>
      <c r="GEQ4" s="42"/>
      <c r="GER4" s="42"/>
      <c r="GES4" s="42"/>
      <c r="GET4" s="42"/>
      <c r="GEU4" s="42"/>
      <c r="GEV4" s="42"/>
      <c r="GEW4" s="42"/>
      <c r="GEX4" s="42"/>
      <c r="GEY4" s="42"/>
      <c r="GEZ4" s="42"/>
      <c r="GFA4" s="42"/>
      <c r="GFB4" s="42"/>
      <c r="GFC4" s="42"/>
      <c r="GFD4" s="42"/>
      <c r="GFE4" s="42"/>
      <c r="GFF4" s="42"/>
      <c r="GFG4" s="42"/>
      <c r="GFH4" s="42"/>
      <c r="GFI4" s="42"/>
      <c r="GFJ4" s="42"/>
      <c r="GFK4" s="42"/>
      <c r="GFL4" s="42"/>
      <c r="GFM4" s="42"/>
      <c r="GFN4" s="42"/>
      <c r="GFO4" s="42"/>
      <c r="GFP4" s="42"/>
      <c r="GFQ4" s="42"/>
      <c r="GFR4" s="42"/>
      <c r="GFS4" s="42"/>
      <c r="GFT4" s="42"/>
      <c r="GFU4" s="42"/>
      <c r="GFV4" s="42"/>
      <c r="GFW4" s="42"/>
      <c r="GFX4" s="42"/>
      <c r="GFY4" s="42"/>
      <c r="GFZ4" s="42"/>
      <c r="GGA4" s="42"/>
      <c r="GGB4" s="42"/>
      <c r="GGC4" s="42"/>
      <c r="GGD4" s="42"/>
      <c r="GGE4" s="42"/>
      <c r="GGF4" s="42"/>
      <c r="GGG4" s="42"/>
      <c r="GGH4" s="42"/>
      <c r="GGI4" s="42"/>
      <c r="GGJ4" s="42"/>
      <c r="GGK4" s="42"/>
      <c r="GGL4" s="42"/>
      <c r="GGM4" s="42"/>
      <c r="GGN4" s="42"/>
      <c r="GGO4" s="42"/>
      <c r="GGP4" s="42"/>
      <c r="GGQ4" s="42"/>
      <c r="GGR4" s="42"/>
      <c r="GGS4" s="42"/>
      <c r="GGT4" s="42"/>
      <c r="GGU4" s="42"/>
      <c r="GGV4" s="42"/>
      <c r="GGW4" s="42"/>
      <c r="GGX4" s="42"/>
      <c r="GGY4" s="42"/>
      <c r="GGZ4" s="42"/>
      <c r="GHA4" s="42"/>
      <c r="GHB4" s="42"/>
      <c r="GHC4" s="42"/>
      <c r="GHD4" s="42"/>
      <c r="GHE4" s="42"/>
      <c r="GHF4" s="42"/>
      <c r="GHG4" s="42"/>
      <c r="GHH4" s="42"/>
      <c r="GHI4" s="42"/>
      <c r="GHJ4" s="42"/>
      <c r="GHK4" s="42"/>
      <c r="GHL4" s="42"/>
      <c r="GHM4" s="42"/>
      <c r="GHN4" s="42"/>
      <c r="GHO4" s="42"/>
      <c r="GHP4" s="42"/>
      <c r="GHQ4" s="42"/>
      <c r="GHR4" s="42"/>
      <c r="GHS4" s="42"/>
      <c r="GHT4" s="42"/>
      <c r="GHU4" s="42"/>
      <c r="GHV4" s="42"/>
      <c r="GHW4" s="42"/>
      <c r="GHX4" s="42"/>
      <c r="GHY4" s="42"/>
      <c r="GHZ4" s="42"/>
      <c r="GIA4" s="42"/>
      <c r="GIB4" s="42"/>
      <c r="GIC4" s="42"/>
      <c r="GID4" s="42"/>
      <c r="GIE4" s="42"/>
      <c r="GIF4" s="42"/>
      <c r="GIG4" s="42"/>
      <c r="GIH4" s="42"/>
      <c r="GII4" s="42"/>
      <c r="GIJ4" s="42"/>
      <c r="GIK4" s="42"/>
      <c r="GIL4" s="42"/>
      <c r="GIM4" s="42"/>
      <c r="GIN4" s="42"/>
      <c r="GIO4" s="42"/>
      <c r="GIP4" s="42"/>
      <c r="GIQ4" s="42"/>
      <c r="GIR4" s="42"/>
      <c r="GIS4" s="42"/>
      <c r="GIT4" s="42"/>
      <c r="GIU4" s="42"/>
      <c r="GIV4" s="42"/>
      <c r="GIW4" s="42"/>
      <c r="GIX4" s="42"/>
      <c r="GIY4" s="42"/>
      <c r="GIZ4" s="42"/>
      <c r="GJA4" s="42"/>
      <c r="GJB4" s="42"/>
      <c r="GJC4" s="42"/>
      <c r="GJD4" s="42"/>
      <c r="GJE4" s="42"/>
      <c r="GJF4" s="42"/>
      <c r="GJG4" s="42"/>
      <c r="GJH4" s="42"/>
      <c r="GJI4" s="42"/>
      <c r="GJJ4" s="42"/>
      <c r="GJK4" s="42"/>
      <c r="GJL4" s="42"/>
      <c r="GJM4" s="42"/>
      <c r="GJN4" s="42"/>
      <c r="GJO4" s="42"/>
      <c r="GJP4" s="42"/>
      <c r="GJQ4" s="42"/>
      <c r="GJR4" s="42"/>
      <c r="GJS4" s="42"/>
      <c r="GJT4" s="42"/>
      <c r="GJU4" s="42"/>
      <c r="GJV4" s="42"/>
      <c r="GJW4" s="42"/>
      <c r="GJX4" s="42"/>
      <c r="GJY4" s="42"/>
      <c r="GJZ4" s="42"/>
      <c r="GKA4" s="42"/>
      <c r="GKB4" s="42"/>
      <c r="GKC4" s="42"/>
      <c r="GKD4" s="42"/>
      <c r="GKE4" s="42"/>
      <c r="GKF4" s="42"/>
      <c r="GKG4" s="42"/>
      <c r="GKH4" s="42"/>
      <c r="GKI4" s="42"/>
      <c r="GKJ4" s="42"/>
      <c r="GKK4" s="42"/>
      <c r="GKL4" s="42"/>
      <c r="GKM4" s="42"/>
      <c r="GKN4" s="42"/>
      <c r="GKO4" s="42"/>
      <c r="GKP4" s="42"/>
      <c r="GKQ4" s="42"/>
      <c r="GKR4" s="42"/>
      <c r="GKS4" s="42"/>
      <c r="GKT4" s="42"/>
      <c r="GKU4" s="42"/>
      <c r="GKV4" s="42"/>
      <c r="GKW4" s="42"/>
      <c r="GKX4" s="42"/>
      <c r="GKY4" s="42"/>
      <c r="GKZ4" s="42"/>
      <c r="GLA4" s="42"/>
      <c r="GLB4" s="42"/>
      <c r="GLC4" s="42"/>
      <c r="GLD4" s="42"/>
      <c r="GLE4" s="42"/>
      <c r="GLF4" s="42"/>
      <c r="GLG4" s="42"/>
      <c r="GLH4" s="42"/>
      <c r="GLI4" s="42"/>
      <c r="GLJ4" s="42"/>
      <c r="GLK4" s="42"/>
      <c r="GLL4" s="42"/>
      <c r="GLM4" s="42"/>
      <c r="GLN4" s="42"/>
      <c r="GLO4" s="42"/>
      <c r="GLP4" s="42"/>
      <c r="GLQ4" s="42"/>
      <c r="GLR4" s="42"/>
      <c r="GLS4" s="42"/>
      <c r="GLT4" s="42"/>
      <c r="GLU4" s="42"/>
      <c r="GLV4" s="42"/>
      <c r="GLW4" s="42"/>
      <c r="GLX4" s="42"/>
      <c r="GLY4" s="42"/>
      <c r="GLZ4" s="42"/>
      <c r="GMA4" s="42"/>
      <c r="GMB4" s="42"/>
      <c r="GMC4" s="42"/>
      <c r="GMD4" s="42"/>
      <c r="GME4" s="42"/>
      <c r="GMF4" s="42"/>
      <c r="GMG4" s="42"/>
      <c r="GMH4" s="42"/>
      <c r="GMI4" s="42"/>
      <c r="GMJ4" s="42"/>
      <c r="GMK4" s="42"/>
      <c r="GML4" s="42"/>
      <c r="GMM4" s="42"/>
      <c r="GMN4" s="42"/>
      <c r="GMO4" s="42"/>
      <c r="GMP4" s="42"/>
      <c r="GMQ4" s="42"/>
      <c r="GMR4" s="42"/>
      <c r="GMS4" s="42"/>
      <c r="GMT4" s="42"/>
      <c r="GMU4" s="42"/>
      <c r="GMV4" s="42"/>
      <c r="GMW4" s="42"/>
      <c r="GMX4" s="42"/>
      <c r="GMY4" s="42"/>
      <c r="GMZ4" s="42"/>
      <c r="GNA4" s="42"/>
      <c r="GNB4" s="42"/>
      <c r="GNC4" s="42"/>
      <c r="GND4" s="42"/>
      <c r="GNE4" s="42"/>
      <c r="GNF4" s="42"/>
      <c r="GNG4" s="42"/>
      <c r="GNH4" s="42"/>
      <c r="GNI4" s="42"/>
      <c r="GNJ4" s="42"/>
      <c r="GNK4" s="42"/>
      <c r="GNL4" s="42"/>
      <c r="GNM4" s="42"/>
      <c r="GNN4" s="42"/>
      <c r="GNO4" s="42"/>
      <c r="GNP4" s="42"/>
      <c r="GNQ4" s="42"/>
      <c r="GNR4" s="42"/>
      <c r="GNS4" s="42"/>
      <c r="GNT4" s="42"/>
      <c r="GNU4" s="42"/>
      <c r="GNV4" s="42"/>
      <c r="GNW4" s="42"/>
      <c r="GNX4" s="42"/>
      <c r="GNY4" s="42"/>
      <c r="GNZ4" s="42"/>
      <c r="GOA4" s="42"/>
      <c r="GOB4" s="42"/>
      <c r="GOC4" s="42"/>
      <c r="GOD4" s="42"/>
      <c r="GOE4" s="42"/>
      <c r="GOF4" s="42"/>
      <c r="GOG4" s="42"/>
      <c r="GOH4" s="42"/>
      <c r="GOI4" s="42"/>
      <c r="GOJ4" s="42"/>
      <c r="GOK4" s="42"/>
      <c r="GOL4" s="42"/>
      <c r="GOM4" s="42"/>
      <c r="GON4" s="42"/>
      <c r="GOO4" s="42"/>
      <c r="GOP4" s="42"/>
      <c r="GOQ4" s="42"/>
      <c r="GOR4" s="42"/>
      <c r="GOS4" s="42"/>
      <c r="GOT4" s="42"/>
      <c r="GOU4" s="42"/>
      <c r="GOV4" s="42"/>
      <c r="GOW4" s="42"/>
      <c r="GOX4" s="42"/>
      <c r="GOY4" s="42"/>
      <c r="GOZ4" s="42"/>
      <c r="GPA4" s="42"/>
      <c r="GPB4" s="42"/>
      <c r="GPC4" s="42"/>
      <c r="GPD4" s="42"/>
      <c r="GPE4" s="42"/>
      <c r="GPF4" s="42"/>
      <c r="GPG4" s="42"/>
      <c r="GPH4" s="42"/>
      <c r="GPI4" s="42"/>
      <c r="GPJ4" s="42"/>
      <c r="GPK4" s="42"/>
      <c r="GPL4" s="42"/>
      <c r="GPM4" s="42"/>
      <c r="GPN4" s="42"/>
      <c r="GPO4" s="42"/>
      <c r="GPP4" s="42"/>
      <c r="GPQ4" s="42"/>
      <c r="GPR4" s="42"/>
      <c r="GPS4" s="42"/>
      <c r="GPT4" s="42"/>
      <c r="GPU4" s="42"/>
      <c r="GPV4" s="42"/>
      <c r="GPW4" s="42"/>
      <c r="GPX4" s="42"/>
      <c r="GPY4" s="42"/>
      <c r="GPZ4" s="42"/>
      <c r="GQA4" s="42"/>
      <c r="GQB4" s="42"/>
      <c r="GQC4" s="42"/>
      <c r="GQD4" s="42"/>
      <c r="GQE4" s="42"/>
      <c r="GQF4" s="42"/>
      <c r="GQG4" s="42"/>
      <c r="GQH4" s="42"/>
      <c r="GQI4" s="42"/>
      <c r="GQJ4" s="42"/>
      <c r="GQK4" s="42"/>
      <c r="GQL4" s="42"/>
      <c r="GQM4" s="42"/>
      <c r="GQN4" s="42"/>
      <c r="GQO4" s="42"/>
      <c r="GQP4" s="42"/>
      <c r="GQQ4" s="42"/>
      <c r="GQR4" s="42"/>
      <c r="GQS4" s="42"/>
      <c r="GQT4" s="42"/>
      <c r="GQU4" s="42"/>
      <c r="GQV4" s="42"/>
      <c r="GQW4" s="42"/>
      <c r="GQX4" s="42"/>
      <c r="GQY4" s="42"/>
      <c r="GQZ4" s="42"/>
      <c r="GRA4" s="42"/>
      <c r="GRB4" s="42"/>
      <c r="GRC4" s="42"/>
      <c r="GRD4" s="42"/>
      <c r="GRE4" s="42"/>
      <c r="GRF4" s="42"/>
      <c r="GRG4" s="42"/>
      <c r="GRH4" s="42"/>
      <c r="GRI4" s="42"/>
      <c r="GRJ4" s="42"/>
      <c r="GRK4" s="42"/>
      <c r="GRL4" s="42"/>
      <c r="GRM4" s="42"/>
      <c r="GRN4" s="42"/>
      <c r="GRO4" s="42"/>
      <c r="GRP4" s="42"/>
      <c r="GRQ4" s="42"/>
      <c r="GRR4" s="42"/>
      <c r="GRS4" s="42"/>
      <c r="GRT4" s="42"/>
      <c r="GRU4" s="42"/>
      <c r="GRV4" s="42"/>
      <c r="GRW4" s="42"/>
      <c r="GRX4" s="42"/>
      <c r="GRY4" s="42"/>
      <c r="GRZ4" s="42"/>
      <c r="GSA4" s="42"/>
      <c r="GSB4" s="42"/>
      <c r="GSC4" s="42"/>
      <c r="GSD4" s="42"/>
      <c r="GSE4" s="42"/>
      <c r="GSF4" s="42"/>
      <c r="GSG4" s="42"/>
      <c r="GSH4" s="42"/>
      <c r="GSI4" s="42"/>
      <c r="GSJ4" s="42"/>
      <c r="GSK4" s="42"/>
      <c r="GSL4" s="42"/>
      <c r="GSM4" s="42"/>
      <c r="GSN4" s="42"/>
      <c r="GSO4" s="42"/>
      <c r="GSP4" s="42"/>
      <c r="GSQ4" s="42"/>
      <c r="GSR4" s="42"/>
      <c r="GSS4" s="42"/>
      <c r="GST4" s="42"/>
      <c r="GSU4" s="42"/>
      <c r="GSV4" s="42"/>
      <c r="GSW4" s="42"/>
      <c r="GSX4" s="42"/>
      <c r="GSY4" s="42"/>
      <c r="GSZ4" s="42"/>
      <c r="GTA4" s="42"/>
      <c r="GTB4" s="42"/>
      <c r="GTC4" s="42"/>
      <c r="GTD4" s="42"/>
      <c r="GTE4" s="42"/>
      <c r="GTF4" s="42"/>
      <c r="GTG4" s="42"/>
      <c r="GTH4" s="42"/>
      <c r="GTI4" s="42"/>
      <c r="GTJ4" s="42"/>
      <c r="GTK4" s="42"/>
      <c r="GTL4" s="42"/>
      <c r="GTM4" s="42"/>
      <c r="GTN4" s="42"/>
      <c r="GTO4" s="42"/>
      <c r="GTP4" s="42"/>
      <c r="GTQ4" s="42"/>
      <c r="GTR4" s="42"/>
      <c r="GTS4" s="42"/>
      <c r="GTT4" s="42"/>
      <c r="GTU4" s="42"/>
      <c r="GTV4" s="42"/>
      <c r="GTW4" s="42"/>
      <c r="GTX4" s="42"/>
      <c r="GTY4" s="42"/>
      <c r="GTZ4" s="42"/>
      <c r="GUA4" s="42"/>
      <c r="GUB4" s="42"/>
      <c r="GUC4" s="42"/>
      <c r="GUD4" s="42"/>
      <c r="GUE4" s="42"/>
      <c r="GUF4" s="42"/>
      <c r="GUG4" s="42"/>
      <c r="GUH4" s="42"/>
      <c r="GUI4" s="42"/>
      <c r="GUJ4" s="42"/>
      <c r="GUK4" s="42"/>
      <c r="GUL4" s="42"/>
      <c r="GUM4" s="42"/>
      <c r="GUN4" s="42"/>
      <c r="GUO4" s="42"/>
      <c r="GUP4" s="42"/>
      <c r="GUQ4" s="42"/>
      <c r="GUR4" s="42"/>
      <c r="GUS4" s="42"/>
      <c r="GUT4" s="42"/>
      <c r="GUU4" s="42"/>
      <c r="GUV4" s="42"/>
      <c r="GUW4" s="42"/>
      <c r="GUX4" s="42"/>
      <c r="GUY4" s="42"/>
      <c r="GUZ4" s="42"/>
      <c r="GVA4" s="42"/>
      <c r="GVB4" s="42"/>
      <c r="GVC4" s="42"/>
      <c r="GVD4" s="42"/>
      <c r="GVE4" s="42"/>
      <c r="GVF4" s="42"/>
      <c r="GVG4" s="42"/>
      <c r="GVH4" s="42"/>
      <c r="GVI4" s="42"/>
      <c r="GVJ4" s="42"/>
      <c r="GVK4" s="42"/>
      <c r="GVL4" s="42"/>
      <c r="GVM4" s="42"/>
      <c r="GVN4" s="42"/>
      <c r="GVO4" s="42"/>
      <c r="GVP4" s="42"/>
      <c r="GVQ4" s="42"/>
      <c r="GVR4" s="42"/>
      <c r="GVS4" s="42"/>
      <c r="GVT4" s="42"/>
      <c r="GVU4" s="42"/>
      <c r="GVV4" s="42"/>
      <c r="GVW4" s="42"/>
      <c r="GVX4" s="42"/>
      <c r="GVY4" s="42"/>
      <c r="GVZ4" s="42"/>
      <c r="GWA4" s="42"/>
      <c r="GWB4" s="42"/>
      <c r="GWC4" s="42"/>
      <c r="GWD4" s="42"/>
      <c r="GWE4" s="42"/>
      <c r="GWF4" s="42"/>
      <c r="GWG4" s="42"/>
      <c r="GWH4" s="42"/>
      <c r="GWI4" s="42"/>
      <c r="GWJ4" s="42"/>
      <c r="GWK4" s="42"/>
      <c r="GWL4" s="42"/>
      <c r="GWM4" s="42"/>
      <c r="GWN4" s="42"/>
      <c r="GWO4" s="42"/>
      <c r="GWP4" s="42"/>
      <c r="GWQ4" s="42"/>
      <c r="GWR4" s="42"/>
      <c r="GWS4" s="42"/>
      <c r="GWT4" s="42"/>
      <c r="GWU4" s="42"/>
      <c r="GWV4" s="42"/>
      <c r="GWW4" s="42"/>
      <c r="GWX4" s="42"/>
      <c r="GWY4" s="42"/>
      <c r="GWZ4" s="42"/>
      <c r="GXA4" s="42"/>
      <c r="GXB4" s="42"/>
      <c r="GXC4" s="42"/>
      <c r="GXD4" s="42"/>
      <c r="GXE4" s="42"/>
      <c r="GXF4" s="42"/>
      <c r="GXG4" s="42"/>
      <c r="GXH4" s="42"/>
      <c r="GXI4" s="42"/>
      <c r="GXJ4" s="42"/>
      <c r="GXK4" s="42"/>
      <c r="GXL4" s="42"/>
      <c r="GXM4" s="42"/>
      <c r="GXN4" s="42"/>
      <c r="GXO4" s="42"/>
      <c r="GXP4" s="42"/>
      <c r="GXQ4" s="42"/>
      <c r="GXR4" s="42"/>
      <c r="GXS4" s="42"/>
      <c r="GXT4" s="42"/>
      <c r="GXU4" s="42"/>
      <c r="GXV4" s="42"/>
      <c r="GXW4" s="42"/>
      <c r="GXX4" s="42"/>
      <c r="GXY4" s="42"/>
      <c r="GXZ4" s="42"/>
      <c r="GYA4" s="42"/>
      <c r="GYB4" s="42"/>
      <c r="GYC4" s="42"/>
      <c r="GYD4" s="42"/>
      <c r="GYE4" s="42"/>
      <c r="GYF4" s="42"/>
      <c r="GYG4" s="42"/>
      <c r="GYH4" s="42"/>
      <c r="GYI4" s="42"/>
      <c r="GYJ4" s="42"/>
      <c r="GYK4" s="42"/>
      <c r="GYL4" s="42"/>
      <c r="GYM4" s="42"/>
      <c r="GYN4" s="42"/>
      <c r="GYO4" s="42"/>
      <c r="GYP4" s="42"/>
      <c r="GYQ4" s="42"/>
      <c r="GYR4" s="42"/>
      <c r="GYS4" s="42"/>
      <c r="GYT4" s="42"/>
      <c r="GYU4" s="42"/>
      <c r="GYV4" s="42"/>
      <c r="GYW4" s="42"/>
      <c r="GYX4" s="42"/>
      <c r="GYY4" s="42"/>
      <c r="GYZ4" s="42"/>
      <c r="GZA4" s="42"/>
      <c r="GZB4" s="42"/>
      <c r="GZC4" s="42"/>
      <c r="GZD4" s="42"/>
      <c r="GZE4" s="42"/>
      <c r="GZF4" s="42"/>
      <c r="GZG4" s="42"/>
      <c r="GZH4" s="42"/>
      <c r="GZI4" s="42"/>
      <c r="GZJ4" s="42"/>
      <c r="GZK4" s="42"/>
      <c r="GZL4" s="42"/>
      <c r="GZM4" s="42"/>
      <c r="GZN4" s="42"/>
      <c r="GZO4" s="42"/>
      <c r="GZP4" s="42"/>
      <c r="GZQ4" s="42"/>
      <c r="GZR4" s="42"/>
      <c r="GZS4" s="42"/>
      <c r="GZT4" s="42"/>
      <c r="GZU4" s="42"/>
      <c r="GZV4" s="42"/>
      <c r="GZW4" s="42"/>
      <c r="GZX4" s="42"/>
      <c r="GZY4" s="42"/>
      <c r="GZZ4" s="42"/>
      <c r="HAA4" s="42"/>
      <c r="HAB4" s="42"/>
      <c r="HAC4" s="42"/>
      <c r="HAD4" s="42"/>
      <c r="HAE4" s="42"/>
      <c r="HAF4" s="42"/>
      <c r="HAG4" s="42"/>
      <c r="HAH4" s="42"/>
      <c r="HAI4" s="42"/>
      <c r="HAJ4" s="42"/>
      <c r="HAK4" s="42"/>
      <c r="HAL4" s="42"/>
      <c r="HAM4" s="42"/>
      <c r="HAN4" s="42"/>
      <c r="HAO4" s="42"/>
      <c r="HAP4" s="42"/>
      <c r="HAQ4" s="42"/>
      <c r="HAR4" s="42"/>
      <c r="HAS4" s="42"/>
      <c r="HAT4" s="42"/>
      <c r="HAU4" s="42"/>
      <c r="HAV4" s="42"/>
      <c r="HAW4" s="42"/>
      <c r="HAX4" s="42"/>
      <c r="HAY4" s="42"/>
      <c r="HAZ4" s="42"/>
      <c r="HBA4" s="42"/>
      <c r="HBB4" s="42"/>
      <c r="HBC4" s="42"/>
      <c r="HBD4" s="42"/>
      <c r="HBE4" s="42"/>
      <c r="HBF4" s="42"/>
      <c r="HBG4" s="42"/>
      <c r="HBH4" s="42"/>
      <c r="HBI4" s="42"/>
      <c r="HBJ4" s="42"/>
      <c r="HBK4" s="42"/>
      <c r="HBL4" s="42"/>
      <c r="HBM4" s="42"/>
      <c r="HBN4" s="42"/>
      <c r="HBO4" s="42"/>
      <c r="HBP4" s="42"/>
      <c r="HBQ4" s="42"/>
      <c r="HBR4" s="42"/>
      <c r="HBS4" s="42"/>
      <c r="HBT4" s="42"/>
      <c r="HBU4" s="42"/>
      <c r="HBV4" s="42"/>
      <c r="HBW4" s="42"/>
      <c r="HBX4" s="42"/>
      <c r="HBY4" s="42"/>
      <c r="HBZ4" s="42"/>
      <c r="HCA4" s="42"/>
      <c r="HCB4" s="42"/>
      <c r="HCC4" s="42"/>
      <c r="HCD4" s="42"/>
      <c r="HCE4" s="42"/>
      <c r="HCF4" s="42"/>
      <c r="HCG4" s="42"/>
      <c r="HCH4" s="42"/>
      <c r="HCI4" s="42"/>
      <c r="HCJ4" s="42"/>
      <c r="HCK4" s="42"/>
      <c r="HCL4" s="42"/>
      <c r="HCM4" s="42"/>
      <c r="HCN4" s="42"/>
      <c r="HCO4" s="42"/>
      <c r="HCP4" s="42"/>
      <c r="HCQ4" s="42"/>
      <c r="HCR4" s="42"/>
      <c r="HCS4" s="42"/>
      <c r="HCT4" s="42"/>
      <c r="HCU4" s="42"/>
      <c r="HCV4" s="42"/>
      <c r="HCW4" s="42"/>
      <c r="HCX4" s="42"/>
      <c r="HCY4" s="42"/>
      <c r="HCZ4" s="42"/>
      <c r="HDA4" s="42"/>
      <c r="HDB4" s="42"/>
      <c r="HDC4" s="42"/>
      <c r="HDD4" s="42"/>
      <c r="HDE4" s="42"/>
      <c r="HDF4" s="42"/>
      <c r="HDG4" s="42"/>
      <c r="HDH4" s="42"/>
      <c r="HDI4" s="42"/>
      <c r="HDJ4" s="42"/>
      <c r="HDK4" s="42"/>
      <c r="HDL4" s="42"/>
      <c r="HDM4" s="42"/>
      <c r="HDN4" s="42"/>
      <c r="HDO4" s="42"/>
      <c r="HDP4" s="42"/>
      <c r="HDQ4" s="42"/>
      <c r="HDR4" s="42"/>
      <c r="HDS4" s="42"/>
      <c r="HDT4" s="42"/>
      <c r="HDU4" s="42"/>
      <c r="HDV4" s="42"/>
      <c r="HDW4" s="42"/>
      <c r="HDX4" s="42"/>
      <c r="HDY4" s="42"/>
      <c r="HDZ4" s="42"/>
      <c r="HEA4" s="42"/>
      <c r="HEB4" s="42"/>
      <c r="HEC4" s="42"/>
      <c r="HED4" s="42"/>
      <c r="HEE4" s="42"/>
      <c r="HEF4" s="42"/>
      <c r="HEG4" s="42"/>
      <c r="HEH4" s="42"/>
      <c r="HEI4" s="42"/>
      <c r="HEJ4" s="42"/>
      <c r="HEK4" s="42"/>
      <c r="HEL4" s="42"/>
      <c r="HEM4" s="42"/>
      <c r="HEN4" s="42"/>
      <c r="HEO4" s="42"/>
      <c r="HEP4" s="42"/>
      <c r="HEQ4" s="42"/>
      <c r="HER4" s="42"/>
      <c r="HES4" s="42"/>
      <c r="HET4" s="42"/>
      <c r="HEU4" s="42"/>
      <c r="HEV4" s="42"/>
      <c r="HEW4" s="42"/>
      <c r="HEX4" s="42"/>
      <c r="HEY4" s="42"/>
      <c r="HEZ4" s="42"/>
      <c r="HFA4" s="42"/>
      <c r="HFB4" s="42"/>
      <c r="HFC4" s="42"/>
      <c r="HFD4" s="42"/>
      <c r="HFE4" s="42"/>
      <c r="HFF4" s="42"/>
      <c r="HFG4" s="42"/>
      <c r="HFH4" s="42"/>
      <c r="HFI4" s="42"/>
      <c r="HFJ4" s="42"/>
      <c r="HFK4" s="42"/>
      <c r="HFL4" s="42"/>
      <c r="HFM4" s="42"/>
      <c r="HFN4" s="42"/>
      <c r="HFO4" s="42"/>
      <c r="HFP4" s="42"/>
      <c r="HFQ4" s="42"/>
      <c r="HFR4" s="42"/>
      <c r="HFS4" s="42"/>
      <c r="HFT4" s="42"/>
      <c r="HFU4" s="42"/>
      <c r="HFV4" s="42"/>
      <c r="HFW4" s="42"/>
      <c r="HFX4" s="42"/>
      <c r="HFY4" s="42"/>
      <c r="HFZ4" s="42"/>
      <c r="HGA4" s="42"/>
      <c r="HGB4" s="42"/>
      <c r="HGC4" s="42"/>
      <c r="HGD4" s="42"/>
      <c r="HGE4" s="42"/>
      <c r="HGF4" s="42"/>
      <c r="HGG4" s="42"/>
      <c r="HGH4" s="42"/>
      <c r="HGI4" s="42"/>
      <c r="HGJ4" s="42"/>
      <c r="HGK4" s="42"/>
      <c r="HGL4" s="42"/>
      <c r="HGM4" s="42"/>
      <c r="HGN4" s="42"/>
      <c r="HGO4" s="42"/>
      <c r="HGP4" s="42"/>
      <c r="HGQ4" s="42"/>
      <c r="HGR4" s="42"/>
      <c r="HGS4" s="42"/>
      <c r="HGT4" s="42"/>
      <c r="HGU4" s="42"/>
      <c r="HGV4" s="42"/>
      <c r="HGW4" s="42"/>
      <c r="HGX4" s="42"/>
      <c r="HGY4" s="42"/>
      <c r="HGZ4" s="42"/>
      <c r="HHA4" s="42"/>
      <c r="HHB4" s="42"/>
      <c r="HHC4" s="42"/>
      <c r="HHD4" s="42"/>
      <c r="HHE4" s="42"/>
      <c r="HHF4" s="42"/>
      <c r="HHG4" s="42"/>
      <c r="HHH4" s="42"/>
      <c r="HHI4" s="42"/>
      <c r="HHJ4" s="42"/>
      <c r="HHK4" s="42"/>
      <c r="HHL4" s="42"/>
      <c r="HHM4" s="42"/>
      <c r="HHN4" s="42"/>
      <c r="HHO4" s="42"/>
      <c r="HHP4" s="42"/>
      <c r="HHQ4" s="42"/>
      <c r="HHR4" s="42"/>
      <c r="HHS4" s="42"/>
      <c r="HHT4" s="42"/>
      <c r="HHU4" s="42"/>
      <c r="HHV4" s="42"/>
      <c r="HHW4" s="42"/>
      <c r="HHX4" s="42"/>
      <c r="HHY4" s="42"/>
      <c r="HHZ4" s="42"/>
      <c r="HIA4" s="42"/>
      <c r="HIB4" s="42"/>
      <c r="HIC4" s="42"/>
      <c r="HID4" s="42"/>
      <c r="HIE4" s="42"/>
      <c r="HIF4" s="42"/>
      <c r="HIG4" s="42"/>
      <c r="HIH4" s="42"/>
      <c r="HII4" s="42"/>
      <c r="HIJ4" s="42"/>
      <c r="HIK4" s="42"/>
      <c r="HIL4" s="42"/>
      <c r="HIM4" s="42"/>
      <c r="HIN4" s="42"/>
      <c r="HIO4" s="42"/>
      <c r="HIP4" s="42"/>
      <c r="HIQ4" s="42"/>
      <c r="HIR4" s="42"/>
      <c r="HIS4" s="42"/>
      <c r="HIT4" s="42"/>
      <c r="HIU4" s="42"/>
      <c r="HIV4" s="42"/>
      <c r="HIW4" s="42"/>
      <c r="HIX4" s="42"/>
      <c r="HIY4" s="42"/>
      <c r="HIZ4" s="42"/>
      <c r="HJA4" s="42"/>
      <c r="HJB4" s="42"/>
      <c r="HJC4" s="42"/>
      <c r="HJD4" s="42"/>
      <c r="HJE4" s="42"/>
      <c r="HJF4" s="42"/>
      <c r="HJG4" s="42"/>
      <c r="HJH4" s="42"/>
      <c r="HJI4" s="42"/>
      <c r="HJJ4" s="42"/>
      <c r="HJK4" s="42"/>
      <c r="HJL4" s="42"/>
      <c r="HJM4" s="42"/>
      <c r="HJN4" s="42"/>
      <c r="HJO4" s="42"/>
      <c r="HJP4" s="42"/>
      <c r="HJQ4" s="42"/>
      <c r="HJR4" s="42"/>
      <c r="HJS4" s="42"/>
      <c r="HJT4" s="42"/>
      <c r="HJU4" s="42"/>
      <c r="HJV4" s="42"/>
      <c r="HJW4" s="42"/>
      <c r="HJX4" s="42"/>
      <c r="HJY4" s="42"/>
      <c r="HJZ4" s="42"/>
      <c r="HKA4" s="42"/>
      <c r="HKB4" s="42"/>
      <c r="HKC4" s="42"/>
      <c r="HKD4" s="42"/>
      <c r="HKE4" s="42"/>
      <c r="HKF4" s="42"/>
      <c r="HKG4" s="42"/>
      <c r="HKH4" s="42"/>
      <c r="HKI4" s="42"/>
      <c r="HKJ4" s="42"/>
      <c r="HKK4" s="42"/>
      <c r="HKL4" s="42"/>
      <c r="HKM4" s="42"/>
      <c r="HKN4" s="42"/>
      <c r="HKO4" s="42"/>
      <c r="HKP4" s="42"/>
      <c r="HKQ4" s="42"/>
      <c r="HKR4" s="42"/>
      <c r="HKS4" s="42"/>
      <c r="HKT4" s="42"/>
      <c r="HKU4" s="42"/>
      <c r="HKV4" s="42"/>
      <c r="HKW4" s="42"/>
      <c r="HKX4" s="42"/>
      <c r="HKY4" s="42"/>
      <c r="HKZ4" s="42"/>
      <c r="HLA4" s="42"/>
      <c r="HLB4" s="42"/>
      <c r="HLC4" s="42"/>
      <c r="HLD4" s="42"/>
      <c r="HLE4" s="42"/>
      <c r="HLF4" s="42"/>
      <c r="HLG4" s="42"/>
      <c r="HLH4" s="42"/>
      <c r="HLI4" s="42"/>
      <c r="HLJ4" s="42"/>
      <c r="HLK4" s="42"/>
      <c r="HLL4" s="42"/>
      <c r="HLM4" s="42"/>
      <c r="HLN4" s="42"/>
      <c r="HLO4" s="42"/>
      <c r="HLP4" s="42"/>
      <c r="HLQ4" s="42"/>
      <c r="HLR4" s="42"/>
      <c r="HLS4" s="42"/>
      <c r="HLT4" s="42"/>
      <c r="HLU4" s="42"/>
      <c r="HLV4" s="42"/>
      <c r="HLW4" s="42"/>
      <c r="HLX4" s="42"/>
      <c r="HLY4" s="42"/>
      <c r="HLZ4" s="42"/>
      <c r="HMA4" s="42"/>
      <c r="HMB4" s="42"/>
      <c r="HMC4" s="42"/>
      <c r="HMD4" s="42"/>
      <c r="HME4" s="42"/>
      <c r="HMF4" s="42"/>
      <c r="HMG4" s="42"/>
      <c r="HMH4" s="42"/>
      <c r="HMI4" s="42"/>
      <c r="HMJ4" s="42"/>
      <c r="HMK4" s="42"/>
      <c r="HML4" s="42"/>
      <c r="HMM4" s="42"/>
      <c r="HMN4" s="42"/>
      <c r="HMO4" s="42"/>
      <c r="HMP4" s="42"/>
      <c r="HMQ4" s="42"/>
      <c r="HMR4" s="42"/>
      <c r="HMS4" s="42"/>
      <c r="HMT4" s="42"/>
      <c r="HMU4" s="42"/>
      <c r="HMV4" s="42"/>
      <c r="HMW4" s="42"/>
      <c r="HMX4" s="42"/>
      <c r="HMY4" s="42"/>
      <c r="HMZ4" s="42"/>
      <c r="HNA4" s="42"/>
      <c r="HNB4" s="42"/>
      <c r="HNC4" s="42"/>
      <c r="HND4" s="42"/>
      <c r="HNE4" s="42"/>
      <c r="HNF4" s="42"/>
      <c r="HNG4" s="42"/>
      <c r="HNH4" s="42"/>
      <c r="HNI4" s="42"/>
      <c r="HNJ4" s="42"/>
      <c r="HNK4" s="42"/>
      <c r="HNL4" s="42"/>
      <c r="HNM4" s="42"/>
      <c r="HNN4" s="42"/>
      <c r="HNO4" s="42"/>
      <c r="HNP4" s="42"/>
      <c r="HNQ4" s="42"/>
      <c r="HNR4" s="42"/>
      <c r="HNS4" s="42"/>
      <c r="HNT4" s="42"/>
      <c r="HNU4" s="42"/>
      <c r="HNV4" s="42"/>
      <c r="HNW4" s="42"/>
      <c r="HNX4" s="42"/>
      <c r="HNY4" s="42"/>
      <c r="HNZ4" s="42"/>
      <c r="HOA4" s="42"/>
      <c r="HOB4" s="42"/>
      <c r="HOC4" s="42"/>
      <c r="HOD4" s="42"/>
      <c r="HOE4" s="42"/>
      <c r="HOF4" s="42"/>
      <c r="HOG4" s="42"/>
      <c r="HOH4" s="42"/>
      <c r="HOI4" s="42"/>
      <c r="HOJ4" s="42"/>
      <c r="HOK4" s="42"/>
      <c r="HOL4" s="42"/>
      <c r="HOM4" s="42"/>
      <c r="HON4" s="42"/>
      <c r="HOO4" s="42"/>
      <c r="HOP4" s="42"/>
      <c r="HOQ4" s="42"/>
      <c r="HOR4" s="42"/>
      <c r="HOS4" s="42"/>
      <c r="HOT4" s="42"/>
      <c r="HOU4" s="42"/>
      <c r="HOV4" s="42"/>
      <c r="HOW4" s="42"/>
      <c r="HOX4" s="42"/>
      <c r="HOY4" s="42"/>
      <c r="HOZ4" s="42"/>
      <c r="HPA4" s="42"/>
      <c r="HPB4" s="42"/>
      <c r="HPC4" s="42"/>
      <c r="HPD4" s="42"/>
      <c r="HPE4" s="42"/>
      <c r="HPF4" s="42"/>
      <c r="HPG4" s="42"/>
      <c r="HPH4" s="42"/>
      <c r="HPI4" s="42"/>
      <c r="HPJ4" s="42"/>
      <c r="HPK4" s="42"/>
      <c r="HPL4" s="42"/>
      <c r="HPM4" s="42"/>
      <c r="HPN4" s="42"/>
      <c r="HPO4" s="42"/>
      <c r="HPP4" s="42"/>
      <c r="HPQ4" s="42"/>
      <c r="HPR4" s="42"/>
      <c r="HPS4" s="42"/>
      <c r="HPT4" s="42"/>
      <c r="HPU4" s="42"/>
      <c r="HPV4" s="42"/>
      <c r="HPW4" s="42"/>
      <c r="HPX4" s="42"/>
      <c r="HPY4" s="42"/>
      <c r="HPZ4" s="42"/>
      <c r="HQA4" s="42"/>
      <c r="HQB4" s="42"/>
      <c r="HQC4" s="42"/>
      <c r="HQD4" s="42"/>
      <c r="HQE4" s="42"/>
      <c r="HQF4" s="42"/>
      <c r="HQG4" s="42"/>
      <c r="HQH4" s="42"/>
      <c r="HQI4" s="42"/>
      <c r="HQJ4" s="42"/>
      <c r="HQK4" s="42"/>
      <c r="HQL4" s="42"/>
      <c r="HQM4" s="42"/>
      <c r="HQN4" s="42"/>
      <c r="HQO4" s="42"/>
      <c r="HQP4" s="42"/>
      <c r="HQQ4" s="42"/>
      <c r="HQR4" s="42"/>
      <c r="HQS4" s="42"/>
      <c r="HQT4" s="42"/>
      <c r="HQU4" s="42"/>
      <c r="HQV4" s="42"/>
      <c r="HQW4" s="42"/>
      <c r="HQX4" s="42"/>
      <c r="HQY4" s="42"/>
      <c r="HQZ4" s="42"/>
      <c r="HRA4" s="42"/>
      <c r="HRB4" s="42"/>
      <c r="HRC4" s="42"/>
      <c r="HRD4" s="42"/>
      <c r="HRE4" s="42"/>
      <c r="HRF4" s="42"/>
      <c r="HRG4" s="42"/>
      <c r="HRH4" s="42"/>
      <c r="HRI4" s="42"/>
      <c r="HRJ4" s="42"/>
      <c r="HRK4" s="42"/>
      <c r="HRL4" s="42"/>
      <c r="HRM4" s="42"/>
      <c r="HRN4" s="42"/>
      <c r="HRO4" s="42"/>
      <c r="HRP4" s="42"/>
      <c r="HRQ4" s="42"/>
      <c r="HRR4" s="42"/>
      <c r="HRS4" s="42"/>
      <c r="HRT4" s="42"/>
      <c r="HRU4" s="42"/>
      <c r="HRV4" s="42"/>
      <c r="HRW4" s="42"/>
      <c r="HRX4" s="42"/>
      <c r="HRY4" s="42"/>
      <c r="HRZ4" s="42"/>
      <c r="HSA4" s="42"/>
      <c r="HSB4" s="42"/>
      <c r="HSC4" s="42"/>
      <c r="HSD4" s="42"/>
      <c r="HSE4" s="42"/>
      <c r="HSF4" s="42"/>
      <c r="HSG4" s="42"/>
      <c r="HSH4" s="42"/>
      <c r="HSI4" s="42"/>
      <c r="HSJ4" s="42"/>
      <c r="HSK4" s="42"/>
      <c r="HSL4" s="42"/>
      <c r="HSM4" s="42"/>
      <c r="HSN4" s="42"/>
      <c r="HSO4" s="42"/>
      <c r="HSP4" s="42"/>
      <c r="HSQ4" s="42"/>
      <c r="HSR4" s="42"/>
      <c r="HSS4" s="42"/>
      <c r="HST4" s="42"/>
      <c r="HSU4" s="42"/>
      <c r="HSV4" s="42"/>
      <c r="HSW4" s="42"/>
      <c r="HSX4" s="42"/>
      <c r="HSY4" s="42"/>
      <c r="HSZ4" s="42"/>
      <c r="HTA4" s="42"/>
      <c r="HTB4" s="42"/>
      <c r="HTC4" s="42"/>
      <c r="HTD4" s="42"/>
      <c r="HTE4" s="42"/>
      <c r="HTF4" s="42"/>
      <c r="HTG4" s="42"/>
      <c r="HTH4" s="42"/>
      <c r="HTI4" s="42"/>
      <c r="HTJ4" s="42"/>
      <c r="HTK4" s="42"/>
      <c r="HTL4" s="42"/>
      <c r="HTM4" s="42"/>
      <c r="HTN4" s="42"/>
      <c r="HTO4" s="42"/>
      <c r="HTP4" s="42"/>
      <c r="HTQ4" s="42"/>
      <c r="HTR4" s="42"/>
      <c r="HTS4" s="42"/>
      <c r="HTT4" s="42"/>
      <c r="HTU4" s="42"/>
      <c r="HTV4" s="42"/>
      <c r="HTW4" s="42"/>
      <c r="HTX4" s="42"/>
      <c r="HTY4" s="42"/>
      <c r="HTZ4" s="42"/>
      <c r="HUA4" s="42"/>
      <c r="HUB4" s="42"/>
      <c r="HUC4" s="42"/>
      <c r="HUD4" s="42"/>
      <c r="HUE4" s="42"/>
      <c r="HUF4" s="42"/>
      <c r="HUG4" s="42"/>
      <c r="HUH4" s="42"/>
      <c r="HUI4" s="42"/>
      <c r="HUJ4" s="42"/>
      <c r="HUK4" s="42"/>
      <c r="HUL4" s="42"/>
      <c r="HUM4" s="42"/>
      <c r="HUN4" s="42"/>
      <c r="HUO4" s="42"/>
      <c r="HUP4" s="42"/>
      <c r="HUQ4" s="42"/>
      <c r="HUR4" s="42"/>
      <c r="HUS4" s="42"/>
      <c r="HUT4" s="42"/>
      <c r="HUU4" s="42"/>
      <c r="HUV4" s="42"/>
      <c r="HUW4" s="42"/>
      <c r="HUX4" s="42"/>
      <c r="HUY4" s="42"/>
      <c r="HUZ4" s="42"/>
      <c r="HVA4" s="42"/>
      <c r="HVB4" s="42"/>
      <c r="HVC4" s="42"/>
      <c r="HVD4" s="42"/>
      <c r="HVE4" s="42"/>
      <c r="HVF4" s="42"/>
      <c r="HVG4" s="42"/>
      <c r="HVH4" s="42"/>
      <c r="HVI4" s="42"/>
      <c r="HVJ4" s="42"/>
      <c r="HVK4" s="42"/>
      <c r="HVL4" s="42"/>
      <c r="HVM4" s="42"/>
      <c r="HVN4" s="42"/>
      <c r="HVO4" s="42"/>
      <c r="HVP4" s="42"/>
      <c r="HVQ4" s="42"/>
      <c r="HVR4" s="42"/>
      <c r="HVS4" s="42"/>
      <c r="HVT4" s="42"/>
      <c r="HVU4" s="42"/>
      <c r="HVV4" s="42"/>
      <c r="HVW4" s="42"/>
      <c r="HVX4" s="42"/>
      <c r="HVY4" s="42"/>
      <c r="HVZ4" s="42"/>
      <c r="HWA4" s="42"/>
      <c r="HWB4" s="42"/>
      <c r="HWC4" s="42"/>
      <c r="HWD4" s="42"/>
      <c r="HWE4" s="42"/>
      <c r="HWF4" s="42"/>
      <c r="HWG4" s="42"/>
      <c r="HWH4" s="42"/>
      <c r="HWI4" s="42"/>
      <c r="HWJ4" s="42"/>
      <c r="HWK4" s="42"/>
      <c r="HWL4" s="42"/>
      <c r="HWM4" s="42"/>
      <c r="HWN4" s="42"/>
      <c r="HWO4" s="42"/>
      <c r="HWP4" s="42"/>
      <c r="HWQ4" s="42"/>
      <c r="HWR4" s="42"/>
      <c r="HWS4" s="42"/>
      <c r="HWT4" s="42"/>
      <c r="HWU4" s="42"/>
      <c r="HWV4" s="42"/>
      <c r="HWW4" s="42"/>
      <c r="HWX4" s="42"/>
      <c r="HWY4" s="42"/>
      <c r="HWZ4" s="42"/>
      <c r="HXA4" s="42"/>
      <c r="HXB4" s="42"/>
      <c r="HXC4" s="42"/>
      <c r="HXD4" s="42"/>
      <c r="HXE4" s="42"/>
      <c r="HXF4" s="42"/>
      <c r="HXG4" s="42"/>
      <c r="HXH4" s="42"/>
      <c r="HXI4" s="42"/>
      <c r="HXJ4" s="42"/>
      <c r="HXK4" s="42"/>
      <c r="HXL4" s="42"/>
      <c r="HXM4" s="42"/>
      <c r="HXN4" s="42"/>
      <c r="HXO4" s="42"/>
      <c r="HXP4" s="42"/>
      <c r="HXQ4" s="42"/>
      <c r="HXR4" s="42"/>
      <c r="HXS4" s="42"/>
      <c r="HXT4" s="42"/>
      <c r="HXU4" s="42"/>
      <c r="HXV4" s="42"/>
      <c r="HXW4" s="42"/>
      <c r="HXX4" s="42"/>
      <c r="HXY4" s="42"/>
      <c r="HXZ4" s="42"/>
      <c r="HYA4" s="42"/>
      <c r="HYB4" s="42"/>
      <c r="HYC4" s="42"/>
      <c r="HYD4" s="42"/>
      <c r="HYE4" s="42"/>
      <c r="HYF4" s="42"/>
      <c r="HYG4" s="42"/>
      <c r="HYH4" s="42"/>
      <c r="HYI4" s="42"/>
      <c r="HYJ4" s="42"/>
      <c r="HYK4" s="42"/>
      <c r="HYL4" s="42"/>
      <c r="HYM4" s="42"/>
      <c r="HYN4" s="42"/>
      <c r="HYO4" s="42"/>
      <c r="HYP4" s="42"/>
      <c r="HYQ4" s="42"/>
      <c r="HYR4" s="42"/>
      <c r="HYS4" s="42"/>
      <c r="HYT4" s="42"/>
      <c r="HYU4" s="42"/>
      <c r="HYV4" s="42"/>
      <c r="HYW4" s="42"/>
      <c r="HYX4" s="42"/>
      <c r="HYY4" s="42"/>
      <c r="HYZ4" s="42"/>
      <c r="HZA4" s="42"/>
      <c r="HZB4" s="42"/>
      <c r="HZC4" s="42"/>
      <c r="HZD4" s="42"/>
      <c r="HZE4" s="42"/>
      <c r="HZF4" s="42"/>
      <c r="HZG4" s="42"/>
      <c r="HZH4" s="42"/>
      <c r="HZI4" s="42"/>
      <c r="HZJ4" s="42"/>
      <c r="HZK4" s="42"/>
      <c r="HZL4" s="42"/>
      <c r="HZM4" s="42"/>
      <c r="HZN4" s="42"/>
      <c r="HZO4" s="42"/>
      <c r="HZP4" s="42"/>
      <c r="HZQ4" s="42"/>
      <c r="HZR4" s="42"/>
      <c r="HZS4" s="42"/>
      <c r="HZT4" s="42"/>
      <c r="HZU4" s="42"/>
      <c r="HZV4" s="42"/>
      <c r="HZW4" s="42"/>
      <c r="HZX4" s="42"/>
      <c r="HZY4" s="42"/>
      <c r="HZZ4" s="42"/>
      <c r="IAA4" s="42"/>
      <c r="IAB4" s="42"/>
      <c r="IAC4" s="42"/>
      <c r="IAD4" s="42"/>
      <c r="IAE4" s="42"/>
      <c r="IAF4" s="42"/>
      <c r="IAG4" s="42"/>
      <c r="IAH4" s="42"/>
      <c r="IAI4" s="42"/>
      <c r="IAJ4" s="42"/>
      <c r="IAK4" s="42"/>
      <c r="IAL4" s="42"/>
      <c r="IAM4" s="42"/>
      <c r="IAN4" s="42"/>
      <c r="IAO4" s="42"/>
      <c r="IAP4" s="42"/>
      <c r="IAQ4" s="42"/>
      <c r="IAR4" s="42"/>
      <c r="IAS4" s="42"/>
      <c r="IAT4" s="42"/>
      <c r="IAU4" s="42"/>
      <c r="IAV4" s="42"/>
      <c r="IAW4" s="42"/>
      <c r="IAX4" s="42"/>
      <c r="IAY4" s="42"/>
      <c r="IAZ4" s="42"/>
      <c r="IBA4" s="42"/>
      <c r="IBB4" s="42"/>
      <c r="IBC4" s="42"/>
      <c r="IBD4" s="42"/>
      <c r="IBE4" s="42"/>
      <c r="IBF4" s="42"/>
      <c r="IBG4" s="42"/>
      <c r="IBH4" s="42"/>
      <c r="IBI4" s="42"/>
      <c r="IBJ4" s="42"/>
      <c r="IBK4" s="42"/>
      <c r="IBL4" s="42"/>
      <c r="IBM4" s="42"/>
      <c r="IBN4" s="42"/>
      <c r="IBO4" s="42"/>
      <c r="IBP4" s="42"/>
      <c r="IBQ4" s="42"/>
      <c r="IBR4" s="42"/>
      <c r="IBS4" s="42"/>
      <c r="IBT4" s="42"/>
      <c r="IBU4" s="42"/>
      <c r="IBV4" s="42"/>
      <c r="IBW4" s="42"/>
      <c r="IBX4" s="42"/>
      <c r="IBY4" s="42"/>
      <c r="IBZ4" s="42"/>
      <c r="ICA4" s="42"/>
      <c r="ICB4" s="42"/>
      <c r="ICC4" s="42"/>
      <c r="ICD4" s="42"/>
      <c r="ICE4" s="42"/>
      <c r="ICF4" s="42"/>
      <c r="ICG4" s="42"/>
      <c r="ICH4" s="42"/>
      <c r="ICI4" s="42"/>
      <c r="ICJ4" s="42"/>
      <c r="ICK4" s="42"/>
      <c r="ICL4" s="42"/>
      <c r="ICM4" s="42"/>
      <c r="ICN4" s="42"/>
      <c r="ICO4" s="42"/>
      <c r="ICP4" s="42"/>
      <c r="ICQ4" s="42"/>
      <c r="ICR4" s="42"/>
      <c r="ICS4" s="42"/>
      <c r="ICT4" s="42"/>
      <c r="ICU4" s="42"/>
      <c r="ICV4" s="42"/>
      <c r="ICW4" s="42"/>
      <c r="ICX4" s="42"/>
      <c r="ICY4" s="42"/>
      <c r="ICZ4" s="42"/>
      <c r="IDA4" s="42"/>
      <c r="IDB4" s="42"/>
      <c r="IDC4" s="42"/>
      <c r="IDD4" s="42"/>
      <c r="IDE4" s="42"/>
      <c r="IDF4" s="42"/>
      <c r="IDG4" s="42"/>
      <c r="IDH4" s="42"/>
      <c r="IDI4" s="42"/>
      <c r="IDJ4" s="42"/>
      <c r="IDK4" s="42"/>
      <c r="IDL4" s="42"/>
      <c r="IDM4" s="42"/>
      <c r="IDN4" s="42"/>
      <c r="IDO4" s="42"/>
      <c r="IDP4" s="42"/>
      <c r="IDQ4" s="42"/>
      <c r="IDR4" s="42"/>
      <c r="IDS4" s="42"/>
      <c r="IDT4" s="42"/>
      <c r="IDU4" s="42"/>
      <c r="IDV4" s="42"/>
      <c r="IDW4" s="42"/>
      <c r="IDX4" s="42"/>
      <c r="IDY4" s="42"/>
      <c r="IDZ4" s="42"/>
      <c r="IEA4" s="42"/>
      <c r="IEB4" s="42"/>
      <c r="IEC4" s="42"/>
      <c r="IED4" s="42"/>
      <c r="IEE4" s="42"/>
      <c r="IEF4" s="42"/>
      <c r="IEG4" s="42"/>
      <c r="IEH4" s="42"/>
      <c r="IEI4" s="42"/>
      <c r="IEJ4" s="42"/>
      <c r="IEK4" s="42"/>
      <c r="IEL4" s="42"/>
      <c r="IEM4" s="42"/>
      <c r="IEN4" s="42"/>
      <c r="IEO4" s="42"/>
      <c r="IEP4" s="42"/>
      <c r="IEQ4" s="42"/>
      <c r="IER4" s="42"/>
      <c r="IES4" s="42"/>
      <c r="IET4" s="42"/>
      <c r="IEU4" s="42"/>
      <c r="IEV4" s="42"/>
      <c r="IEW4" s="42"/>
      <c r="IEX4" s="42"/>
      <c r="IEY4" s="42"/>
      <c r="IEZ4" s="42"/>
      <c r="IFA4" s="42"/>
      <c r="IFB4" s="42"/>
      <c r="IFC4" s="42"/>
      <c r="IFD4" s="42"/>
      <c r="IFE4" s="42"/>
      <c r="IFF4" s="42"/>
      <c r="IFG4" s="42"/>
      <c r="IFH4" s="42"/>
      <c r="IFI4" s="42"/>
      <c r="IFJ4" s="42"/>
      <c r="IFK4" s="42"/>
      <c r="IFL4" s="42"/>
      <c r="IFM4" s="42"/>
      <c r="IFN4" s="42"/>
      <c r="IFO4" s="42"/>
      <c r="IFP4" s="42"/>
      <c r="IFQ4" s="42"/>
      <c r="IFR4" s="42"/>
      <c r="IFS4" s="42"/>
      <c r="IFT4" s="42"/>
      <c r="IFU4" s="42"/>
      <c r="IFV4" s="42"/>
      <c r="IFW4" s="42"/>
      <c r="IFX4" s="42"/>
      <c r="IFY4" s="42"/>
      <c r="IFZ4" s="42"/>
      <c r="IGA4" s="42"/>
      <c r="IGB4" s="42"/>
      <c r="IGC4" s="42"/>
      <c r="IGD4" s="42"/>
      <c r="IGE4" s="42"/>
      <c r="IGF4" s="42"/>
      <c r="IGG4" s="42"/>
      <c r="IGH4" s="42"/>
      <c r="IGI4" s="42"/>
      <c r="IGJ4" s="42"/>
      <c r="IGK4" s="42"/>
      <c r="IGL4" s="42"/>
      <c r="IGM4" s="42"/>
      <c r="IGN4" s="42"/>
      <c r="IGO4" s="42"/>
      <c r="IGP4" s="42"/>
      <c r="IGQ4" s="42"/>
      <c r="IGR4" s="42"/>
      <c r="IGS4" s="42"/>
      <c r="IGT4" s="42"/>
      <c r="IGU4" s="42"/>
      <c r="IGV4" s="42"/>
      <c r="IGW4" s="42"/>
      <c r="IGX4" s="42"/>
      <c r="IGY4" s="42"/>
      <c r="IGZ4" s="42"/>
      <c r="IHA4" s="42"/>
      <c r="IHB4" s="42"/>
      <c r="IHC4" s="42"/>
      <c r="IHD4" s="42"/>
      <c r="IHE4" s="42"/>
      <c r="IHF4" s="42"/>
      <c r="IHG4" s="42"/>
      <c r="IHH4" s="42"/>
      <c r="IHI4" s="42"/>
      <c r="IHJ4" s="42"/>
      <c r="IHK4" s="42"/>
      <c r="IHL4" s="42"/>
      <c r="IHM4" s="42"/>
      <c r="IHN4" s="42"/>
      <c r="IHO4" s="42"/>
      <c r="IHP4" s="42"/>
      <c r="IHQ4" s="42"/>
      <c r="IHR4" s="42"/>
      <c r="IHS4" s="42"/>
      <c r="IHT4" s="42"/>
      <c r="IHU4" s="42"/>
      <c r="IHV4" s="42"/>
      <c r="IHW4" s="42"/>
      <c r="IHX4" s="42"/>
      <c r="IHY4" s="42"/>
      <c r="IHZ4" s="42"/>
      <c r="IIA4" s="42"/>
      <c r="IIB4" s="42"/>
      <c r="IIC4" s="42"/>
      <c r="IID4" s="42"/>
      <c r="IIE4" s="42"/>
      <c r="IIF4" s="42"/>
      <c r="IIG4" s="42"/>
      <c r="IIH4" s="42"/>
      <c r="III4" s="42"/>
      <c r="IIJ4" s="42"/>
      <c r="IIK4" s="42"/>
      <c r="IIL4" s="42"/>
      <c r="IIM4" s="42"/>
      <c r="IIN4" s="42"/>
      <c r="IIO4" s="42"/>
      <c r="IIP4" s="42"/>
      <c r="IIQ4" s="42"/>
      <c r="IIR4" s="42"/>
      <c r="IIS4" s="42"/>
      <c r="IIT4" s="42"/>
      <c r="IIU4" s="42"/>
      <c r="IIV4" s="42"/>
      <c r="IIW4" s="42"/>
      <c r="IIX4" s="42"/>
      <c r="IIY4" s="42"/>
      <c r="IIZ4" s="42"/>
      <c r="IJA4" s="42"/>
      <c r="IJB4" s="42"/>
      <c r="IJC4" s="42"/>
      <c r="IJD4" s="42"/>
      <c r="IJE4" s="42"/>
      <c r="IJF4" s="42"/>
      <c r="IJG4" s="42"/>
      <c r="IJH4" s="42"/>
      <c r="IJI4" s="42"/>
      <c r="IJJ4" s="42"/>
      <c r="IJK4" s="42"/>
      <c r="IJL4" s="42"/>
      <c r="IJM4" s="42"/>
      <c r="IJN4" s="42"/>
      <c r="IJO4" s="42"/>
      <c r="IJP4" s="42"/>
      <c r="IJQ4" s="42"/>
      <c r="IJR4" s="42"/>
      <c r="IJS4" s="42"/>
      <c r="IJT4" s="42"/>
      <c r="IJU4" s="42"/>
      <c r="IJV4" s="42"/>
      <c r="IJW4" s="42"/>
      <c r="IJX4" s="42"/>
      <c r="IJY4" s="42"/>
      <c r="IJZ4" s="42"/>
      <c r="IKA4" s="42"/>
      <c r="IKB4" s="42"/>
      <c r="IKC4" s="42"/>
      <c r="IKD4" s="42"/>
      <c r="IKE4" s="42"/>
      <c r="IKF4" s="42"/>
      <c r="IKG4" s="42"/>
      <c r="IKH4" s="42"/>
      <c r="IKI4" s="42"/>
      <c r="IKJ4" s="42"/>
      <c r="IKK4" s="42"/>
      <c r="IKL4" s="42"/>
      <c r="IKM4" s="42"/>
      <c r="IKN4" s="42"/>
      <c r="IKO4" s="42"/>
      <c r="IKP4" s="42"/>
      <c r="IKQ4" s="42"/>
      <c r="IKR4" s="42"/>
      <c r="IKS4" s="42"/>
      <c r="IKT4" s="42"/>
      <c r="IKU4" s="42"/>
      <c r="IKV4" s="42"/>
      <c r="IKW4" s="42"/>
      <c r="IKX4" s="42"/>
      <c r="IKY4" s="42"/>
      <c r="IKZ4" s="42"/>
      <c r="ILA4" s="42"/>
      <c r="ILB4" s="42"/>
      <c r="ILC4" s="42"/>
      <c r="ILD4" s="42"/>
      <c r="ILE4" s="42"/>
      <c r="ILF4" s="42"/>
      <c r="ILG4" s="42"/>
      <c r="ILH4" s="42"/>
      <c r="ILI4" s="42"/>
      <c r="ILJ4" s="42"/>
      <c r="ILK4" s="42"/>
      <c r="ILL4" s="42"/>
      <c r="ILM4" s="42"/>
      <c r="ILN4" s="42"/>
      <c r="ILO4" s="42"/>
      <c r="ILP4" s="42"/>
      <c r="ILQ4" s="42"/>
      <c r="ILR4" s="42"/>
      <c r="ILS4" s="42"/>
      <c r="ILT4" s="42"/>
      <c r="ILU4" s="42"/>
      <c r="ILV4" s="42"/>
      <c r="ILW4" s="42"/>
      <c r="ILX4" s="42"/>
      <c r="ILY4" s="42"/>
      <c r="ILZ4" s="42"/>
      <c r="IMA4" s="42"/>
      <c r="IMB4" s="42"/>
      <c r="IMC4" s="42"/>
      <c r="IMD4" s="42"/>
      <c r="IME4" s="42"/>
      <c r="IMF4" s="42"/>
      <c r="IMG4" s="42"/>
      <c r="IMH4" s="42"/>
      <c r="IMI4" s="42"/>
      <c r="IMJ4" s="42"/>
      <c r="IMK4" s="42"/>
      <c r="IML4" s="42"/>
      <c r="IMM4" s="42"/>
      <c r="IMN4" s="42"/>
      <c r="IMO4" s="42"/>
      <c r="IMP4" s="42"/>
      <c r="IMQ4" s="42"/>
      <c r="IMR4" s="42"/>
      <c r="IMS4" s="42"/>
      <c r="IMT4" s="42"/>
      <c r="IMU4" s="42"/>
      <c r="IMV4" s="42"/>
      <c r="IMW4" s="42"/>
      <c r="IMX4" s="42"/>
      <c r="IMY4" s="42"/>
      <c r="IMZ4" s="42"/>
      <c r="INA4" s="42"/>
      <c r="INB4" s="42"/>
      <c r="INC4" s="42"/>
      <c r="IND4" s="42"/>
      <c r="INE4" s="42"/>
      <c r="INF4" s="42"/>
      <c r="ING4" s="42"/>
      <c r="INH4" s="42"/>
      <c r="INI4" s="42"/>
      <c r="INJ4" s="42"/>
      <c r="INK4" s="42"/>
      <c r="INL4" s="42"/>
      <c r="INM4" s="42"/>
      <c r="INN4" s="42"/>
      <c r="INO4" s="42"/>
      <c r="INP4" s="42"/>
      <c r="INQ4" s="42"/>
      <c r="INR4" s="42"/>
      <c r="INS4" s="42"/>
      <c r="INT4" s="42"/>
      <c r="INU4" s="42"/>
      <c r="INV4" s="42"/>
      <c r="INW4" s="42"/>
      <c r="INX4" s="42"/>
      <c r="INY4" s="42"/>
      <c r="INZ4" s="42"/>
      <c r="IOA4" s="42"/>
      <c r="IOB4" s="42"/>
      <c r="IOC4" s="42"/>
      <c r="IOD4" s="42"/>
      <c r="IOE4" s="42"/>
      <c r="IOF4" s="42"/>
      <c r="IOG4" s="42"/>
      <c r="IOH4" s="42"/>
      <c r="IOI4" s="42"/>
      <c r="IOJ4" s="42"/>
      <c r="IOK4" s="42"/>
      <c r="IOL4" s="42"/>
      <c r="IOM4" s="42"/>
      <c r="ION4" s="42"/>
      <c r="IOO4" s="42"/>
      <c r="IOP4" s="42"/>
      <c r="IOQ4" s="42"/>
      <c r="IOR4" s="42"/>
      <c r="IOS4" s="42"/>
      <c r="IOT4" s="42"/>
      <c r="IOU4" s="42"/>
      <c r="IOV4" s="42"/>
      <c r="IOW4" s="42"/>
      <c r="IOX4" s="42"/>
      <c r="IOY4" s="42"/>
      <c r="IOZ4" s="42"/>
      <c r="IPA4" s="42"/>
      <c r="IPB4" s="42"/>
      <c r="IPC4" s="42"/>
      <c r="IPD4" s="42"/>
      <c r="IPE4" s="42"/>
      <c r="IPF4" s="42"/>
      <c r="IPG4" s="42"/>
      <c r="IPH4" s="42"/>
      <c r="IPI4" s="42"/>
      <c r="IPJ4" s="42"/>
      <c r="IPK4" s="42"/>
      <c r="IPL4" s="42"/>
      <c r="IPM4" s="42"/>
      <c r="IPN4" s="42"/>
      <c r="IPO4" s="42"/>
      <c r="IPP4" s="42"/>
      <c r="IPQ4" s="42"/>
      <c r="IPR4" s="42"/>
      <c r="IPS4" s="42"/>
      <c r="IPT4" s="42"/>
      <c r="IPU4" s="42"/>
      <c r="IPV4" s="42"/>
      <c r="IPW4" s="42"/>
      <c r="IPX4" s="42"/>
      <c r="IPY4" s="42"/>
      <c r="IPZ4" s="42"/>
      <c r="IQA4" s="42"/>
      <c r="IQB4" s="42"/>
      <c r="IQC4" s="42"/>
      <c r="IQD4" s="42"/>
      <c r="IQE4" s="42"/>
      <c r="IQF4" s="42"/>
      <c r="IQG4" s="42"/>
      <c r="IQH4" s="42"/>
      <c r="IQI4" s="42"/>
      <c r="IQJ4" s="42"/>
      <c r="IQK4" s="42"/>
      <c r="IQL4" s="42"/>
      <c r="IQM4" s="42"/>
      <c r="IQN4" s="42"/>
      <c r="IQO4" s="42"/>
      <c r="IQP4" s="42"/>
      <c r="IQQ4" s="42"/>
      <c r="IQR4" s="42"/>
      <c r="IQS4" s="42"/>
      <c r="IQT4" s="42"/>
      <c r="IQU4" s="42"/>
      <c r="IQV4" s="42"/>
      <c r="IQW4" s="42"/>
      <c r="IQX4" s="42"/>
      <c r="IQY4" s="42"/>
      <c r="IQZ4" s="42"/>
      <c r="IRA4" s="42"/>
      <c r="IRB4" s="42"/>
      <c r="IRC4" s="42"/>
      <c r="IRD4" s="42"/>
      <c r="IRE4" s="42"/>
      <c r="IRF4" s="42"/>
      <c r="IRG4" s="42"/>
      <c r="IRH4" s="42"/>
      <c r="IRI4" s="42"/>
      <c r="IRJ4" s="42"/>
      <c r="IRK4" s="42"/>
      <c r="IRL4" s="42"/>
      <c r="IRM4" s="42"/>
      <c r="IRN4" s="42"/>
      <c r="IRO4" s="42"/>
      <c r="IRP4" s="42"/>
      <c r="IRQ4" s="42"/>
      <c r="IRR4" s="42"/>
      <c r="IRS4" s="42"/>
      <c r="IRT4" s="42"/>
      <c r="IRU4" s="42"/>
      <c r="IRV4" s="42"/>
      <c r="IRW4" s="42"/>
      <c r="IRX4" s="42"/>
      <c r="IRY4" s="42"/>
      <c r="IRZ4" s="42"/>
      <c r="ISA4" s="42"/>
      <c r="ISB4" s="42"/>
      <c r="ISC4" s="42"/>
      <c r="ISD4" s="42"/>
      <c r="ISE4" s="42"/>
      <c r="ISF4" s="42"/>
      <c r="ISG4" s="42"/>
      <c r="ISH4" s="42"/>
      <c r="ISI4" s="42"/>
      <c r="ISJ4" s="42"/>
      <c r="ISK4" s="42"/>
      <c r="ISL4" s="42"/>
      <c r="ISM4" s="42"/>
      <c r="ISN4" s="42"/>
      <c r="ISO4" s="42"/>
      <c r="ISP4" s="42"/>
      <c r="ISQ4" s="42"/>
      <c r="ISR4" s="42"/>
      <c r="ISS4" s="42"/>
      <c r="IST4" s="42"/>
      <c r="ISU4" s="42"/>
      <c r="ISV4" s="42"/>
      <c r="ISW4" s="42"/>
      <c r="ISX4" s="42"/>
      <c r="ISY4" s="42"/>
      <c r="ISZ4" s="42"/>
      <c r="ITA4" s="42"/>
      <c r="ITB4" s="42"/>
      <c r="ITC4" s="42"/>
      <c r="ITD4" s="42"/>
      <c r="ITE4" s="42"/>
      <c r="ITF4" s="42"/>
      <c r="ITG4" s="42"/>
      <c r="ITH4" s="42"/>
      <c r="ITI4" s="42"/>
      <c r="ITJ4" s="42"/>
      <c r="ITK4" s="42"/>
      <c r="ITL4" s="42"/>
      <c r="ITM4" s="42"/>
      <c r="ITN4" s="42"/>
      <c r="ITO4" s="42"/>
      <c r="ITP4" s="42"/>
      <c r="ITQ4" s="42"/>
      <c r="ITR4" s="42"/>
      <c r="ITS4" s="42"/>
      <c r="ITT4" s="42"/>
      <c r="ITU4" s="42"/>
      <c r="ITV4" s="42"/>
      <c r="ITW4" s="42"/>
      <c r="ITX4" s="42"/>
      <c r="ITY4" s="42"/>
      <c r="ITZ4" s="42"/>
      <c r="IUA4" s="42"/>
      <c r="IUB4" s="42"/>
      <c r="IUC4" s="42"/>
      <c r="IUD4" s="42"/>
      <c r="IUE4" s="42"/>
      <c r="IUF4" s="42"/>
      <c r="IUG4" s="42"/>
      <c r="IUH4" s="42"/>
      <c r="IUI4" s="42"/>
      <c r="IUJ4" s="42"/>
      <c r="IUK4" s="42"/>
      <c r="IUL4" s="42"/>
      <c r="IUM4" s="42"/>
      <c r="IUN4" s="42"/>
      <c r="IUO4" s="42"/>
      <c r="IUP4" s="42"/>
      <c r="IUQ4" s="42"/>
      <c r="IUR4" s="42"/>
      <c r="IUS4" s="42"/>
      <c r="IUT4" s="42"/>
      <c r="IUU4" s="42"/>
      <c r="IUV4" s="42"/>
      <c r="IUW4" s="42"/>
      <c r="IUX4" s="42"/>
      <c r="IUY4" s="42"/>
      <c r="IUZ4" s="42"/>
      <c r="IVA4" s="42"/>
      <c r="IVB4" s="42"/>
      <c r="IVC4" s="42"/>
      <c r="IVD4" s="42"/>
      <c r="IVE4" s="42"/>
      <c r="IVF4" s="42"/>
      <c r="IVG4" s="42"/>
      <c r="IVH4" s="42"/>
      <c r="IVI4" s="42"/>
      <c r="IVJ4" s="42"/>
      <c r="IVK4" s="42"/>
      <c r="IVL4" s="42"/>
      <c r="IVM4" s="42"/>
      <c r="IVN4" s="42"/>
      <c r="IVO4" s="42"/>
      <c r="IVP4" s="42"/>
      <c r="IVQ4" s="42"/>
      <c r="IVR4" s="42"/>
      <c r="IVS4" s="42"/>
      <c r="IVT4" s="42"/>
      <c r="IVU4" s="42"/>
      <c r="IVV4" s="42"/>
      <c r="IVW4" s="42"/>
      <c r="IVX4" s="42"/>
      <c r="IVY4" s="42"/>
      <c r="IVZ4" s="42"/>
      <c r="IWA4" s="42"/>
      <c r="IWB4" s="42"/>
      <c r="IWC4" s="42"/>
      <c r="IWD4" s="42"/>
      <c r="IWE4" s="42"/>
      <c r="IWF4" s="42"/>
      <c r="IWG4" s="42"/>
      <c r="IWH4" s="42"/>
      <c r="IWI4" s="42"/>
      <c r="IWJ4" s="42"/>
      <c r="IWK4" s="42"/>
      <c r="IWL4" s="42"/>
      <c r="IWM4" s="42"/>
      <c r="IWN4" s="42"/>
      <c r="IWO4" s="42"/>
      <c r="IWP4" s="42"/>
      <c r="IWQ4" s="42"/>
      <c r="IWR4" s="42"/>
      <c r="IWS4" s="42"/>
      <c r="IWT4" s="42"/>
      <c r="IWU4" s="42"/>
      <c r="IWV4" s="42"/>
      <c r="IWW4" s="42"/>
      <c r="IWX4" s="42"/>
      <c r="IWY4" s="42"/>
      <c r="IWZ4" s="42"/>
      <c r="IXA4" s="42"/>
      <c r="IXB4" s="42"/>
      <c r="IXC4" s="42"/>
      <c r="IXD4" s="42"/>
      <c r="IXE4" s="42"/>
      <c r="IXF4" s="42"/>
      <c r="IXG4" s="42"/>
      <c r="IXH4" s="42"/>
      <c r="IXI4" s="42"/>
      <c r="IXJ4" s="42"/>
      <c r="IXK4" s="42"/>
      <c r="IXL4" s="42"/>
      <c r="IXM4" s="42"/>
      <c r="IXN4" s="42"/>
      <c r="IXO4" s="42"/>
      <c r="IXP4" s="42"/>
      <c r="IXQ4" s="42"/>
      <c r="IXR4" s="42"/>
      <c r="IXS4" s="42"/>
      <c r="IXT4" s="42"/>
      <c r="IXU4" s="42"/>
      <c r="IXV4" s="42"/>
      <c r="IXW4" s="42"/>
      <c r="IXX4" s="42"/>
      <c r="IXY4" s="42"/>
      <c r="IXZ4" s="42"/>
      <c r="IYA4" s="42"/>
      <c r="IYB4" s="42"/>
      <c r="IYC4" s="42"/>
      <c r="IYD4" s="42"/>
      <c r="IYE4" s="42"/>
      <c r="IYF4" s="42"/>
      <c r="IYG4" s="42"/>
      <c r="IYH4" s="42"/>
      <c r="IYI4" s="42"/>
      <c r="IYJ4" s="42"/>
      <c r="IYK4" s="42"/>
      <c r="IYL4" s="42"/>
      <c r="IYM4" s="42"/>
      <c r="IYN4" s="42"/>
      <c r="IYO4" s="42"/>
      <c r="IYP4" s="42"/>
      <c r="IYQ4" s="42"/>
      <c r="IYR4" s="42"/>
      <c r="IYS4" s="42"/>
      <c r="IYT4" s="42"/>
      <c r="IYU4" s="42"/>
      <c r="IYV4" s="42"/>
      <c r="IYW4" s="42"/>
      <c r="IYX4" s="42"/>
      <c r="IYY4" s="42"/>
      <c r="IYZ4" s="42"/>
      <c r="IZA4" s="42"/>
      <c r="IZB4" s="42"/>
      <c r="IZC4" s="42"/>
      <c r="IZD4" s="42"/>
      <c r="IZE4" s="42"/>
      <c r="IZF4" s="42"/>
      <c r="IZG4" s="42"/>
      <c r="IZH4" s="42"/>
      <c r="IZI4" s="42"/>
      <c r="IZJ4" s="42"/>
      <c r="IZK4" s="42"/>
      <c r="IZL4" s="42"/>
      <c r="IZM4" s="42"/>
      <c r="IZN4" s="42"/>
      <c r="IZO4" s="42"/>
      <c r="IZP4" s="42"/>
      <c r="IZQ4" s="42"/>
      <c r="IZR4" s="42"/>
      <c r="IZS4" s="42"/>
      <c r="IZT4" s="42"/>
      <c r="IZU4" s="42"/>
      <c r="IZV4" s="42"/>
      <c r="IZW4" s="42"/>
      <c r="IZX4" s="42"/>
      <c r="IZY4" s="42"/>
      <c r="IZZ4" s="42"/>
      <c r="JAA4" s="42"/>
      <c r="JAB4" s="42"/>
      <c r="JAC4" s="42"/>
      <c r="JAD4" s="42"/>
      <c r="JAE4" s="42"/>
      <c r="JAF4" s="42"/>
      <c r="JAG4" s="42"/>
      <c r="JAH4" s="42"/>
      <c r="JAI4" s="42"/>
      <c r="JAJ4" s="42"/>
      <c r="JAK4" s="42"/>
      <c r="JAL4" s="42"/>
      <c r="JAM4" s="42"/>
      <c r="JAN4" s="42"/>
      <c r="JAO4" s="42"/>
      <c r="JAP4" s="42"/>
      <c r="JAQ4" s="42"/>
      <c r="JAR4" s="42"/>
      <c r="JAS4" s="42"/>
      <c r="JAT4" s="42"/>
      <c r="JAU4" s="42"/>
      <c r="JAV4" s="42"/>
      <c r="JAW4" s="42"/>
      <c r="JAX4" s="42"/>
      <c r="JAY4" s="42"/>
      <c r="JAZ4" s="42"/>
      <c r="JBA4" s="42"/>
      <c r="JBB4" s="42"/>
      <c r="JBC4" s="42"/>
      <c r="JBD4" s="42"/>
      <c r="JBE4" s="42"/>
      <c r="JBF4" s="42"/>
      <c r="JBG4" s="42"/>
      <c r="JBH4" s="42"/>
      <c r="JBI4" s="42"/>
      <c r="JBJ4" s="42"/>
      <c r="JBK4" s="42"/>
      <c r="JBL4" s="42"/>
      <c r="JBM4" s="42"/>
      <c r="JBN4" s="42"/>
      <c r="JBO4" s="42"/>
      <c r="JBP4" s="42"/>
      <c r="JBQ4" s="42"/>
      <c r="JBR4" s="42"/>
      <c r="JBS4" s="42"/>
      <c r="JBT4" s="42"/>
      <c r="JBU4" s="42"/>
      <c r="JBV4" s="42"/>
      <c r="JBW4" s="42"/>
      <c r="JBX4" s="42"/>
      <c r="JBY4" s="42"/>
      <c r="JBZ4" s="42"/>
      <c r="JCA4" s="42"/>
      <c r="JCB4" s="42"/>
      <c r="JCC4" s="42"/>
      <c r="JCD4" s="42"/>
      <c r="JCE4" s="42"/>
      <c r="JCF4" s="42"/>
      <c r="JCG4" s="42"/>
      <c r="JCH4" s="42"/>
      <c r="JCI4" s="42"/>
      <c r="JCJ4" s="42"/>
      <c r="JCK4" s="42"/>
      <c r="JCL4" s="42"/>
      <c r="JCM4" s="42"/>
      <c r="JCN4" s="42"/>
      <c r="JCO4" s="42"/>
      <c r="JCP4" s="42"/>
      <c r="JCQ4" s="42"/>
      <c r="JCR4" s="42"/>
      <c r="JCS4" s="42"/>
      <c r="JCT4" s="42"/>
      <c r="JCU4" s="42"/>
      <c r="JCV4" s="42"/>
      <c r="JCW4" s="42"/>
      <c r="JCX4" s="42"/>
      <c r="JCY4" s="42"/>
      <c r="JCZ4" s="42"/>
      <c r="JDA4" s="42"/>
      <c r="JDB4" s="42"/>
      <c r="JDC4" s="42"/>
      <c r="JDD4" s="42"/>
      <c r="JDE4" s="42"/>
      <c r="JDF4" s="42"/>
      <c r="JDG4" s="42"/>
      <c r="JDH4" s="42"/>
      <c r="JDI4" s="42"/>
      <c r="JDJ4" s="42"/>
      <c r="JDK4" s="42"/>
      <c r="JDL4" s="42"/>
      <c r="JDM4" s="42"/>
      <c r="JDN4" s="42"/>
      <c r="JDO4" s="42"/>
      <c r="JDP4" s="42"/>
      <c r="JDQ4" s="42"/>
      <c r="JDR4" s="42"/>
      <c r="JDS4" s="42"/>
      <c r="JDT4" s="42"/>
      <c r="JDU4" s="42"/>
      <c r="JDV4" s="42"/>
      <c r="JDW4" s="42"/>
      <c r="JDX4" s="42"/>
      <c r="JDY4" s="42"/>
      <c r="JDZ4" s="42"/>
      <c r="JEA4" s="42"/>
      <c r="JEB4" s="42"/>
      <c r="JEC4" s="42"/>
      <c r="JED4" s="42"/>
      <c r="JEE4" s="42"/>
      <c r="JEF4" s="42"/>
      <c r="JEG4" s="42"/>
      <c r="JEH4" s="42"/>
      <c r="JEI4" s="42"/>
      <c r="JEJ4" s="42"/>
      <c r="JEK4" s="42"/>
      <c r="JEL4" s="42"/>
      <c r="JEM4" s="42"/>
      <c r="JEN4" s="42"/>
      <c r="JEO4" s="42"/>
      <c r="JEP4" s="42"/>
      <c r="JEQ4" s="42"/>
      <c r="JER4" s="42"/>
      <c r="JES4" s="42"/>
      <c r="JET4" s="42"/>
      <c r="JEU4" s="42"/>
      <c r="JEV4" s="42"/>
      <c r="JEW4" s="42"/>
      <c r="JEX4" s="42"/>
      <c r="JEY4" s="42"/>
      <c r="JEZ4" s="42"/>
      <c r="JFA4" s="42"/>
      <c r="JFB4" s="42"/>
      <c r="JFC4" s="42"/>
      <c r="JFD4" s="42"/>
      <c r="JFE4" s="42"/>
      <c r="JFF4" s="42"/>
      <c r="JFG4" s="42"/>
      <c r="JFH4" s="42"/>
      <c r="JFI4" s="42"/>
      <c r="JFJ4" s="42"/>
      <c r="JFK4" s="42"/>
      <c r="JFL4" s="42"/>
      <c r="JFM4" s="42"/>
      <c r="JFN4" s="42"/>
      <c r="JFO4" s="42"/>
      <c r="JFP4" s="42"/>
      <c r="JFQ4" s="42"/>
      <c r="JFR4" s="42"/>
      <c r="JFS4" s="42"/>
      <c r="JFT4" s="42"/>
      <c r="JFU4" s="42"/>
      <c r="JFV4" s="42"/>
      <c r="JFW4" s="42"/>
      <c r="JFX4" s="42"/>
      <c r="JFY4" s="42"/>
      <c r="JFZ4" s="42"/>
      <c r="JGA4" s="42"/>
      <c r="JGB4" s="42"/>
      <c r="JGC4" s="42"/>
      <c r="JGD4" s="42"/>
      <c r="JGE4" s="42"/>
      <c r="JGF4" s="42"/>
      <c r="JGG4" s="42"/>
      <c r="JGH4" s="42"/>
      <c r="JGI4" s="42"/>
      <c r="JGJ4" s="42"/>
      <c r="JGK4" s="42"/>
      <c r="JGL4" s="42"/>
      <c r="JGM4" s="42"/>
      <c r="JGN4" s="42"/>
      <c r="JGO4" s="42"/>
      <c r="JGP4" s="42"/>
      <c r="JGQ4" s="42"/>
      <c r="JGR4" s="42"/>
      <c r="JGS4" s="42"/>
      <c r="JGT4" s="42"/>
      <c r="JGU4" s="42"/>
      <c r="JGV4" s="42"/>
      <c r="JGW4" s="42"/>
      <c r="JGX4" s="42"/>
      <c r="JGY4" s="42"/>
      <c r="JGZ4" s="42"/>
      <c r="JHA4" s="42"/>
      <c r="JHB4" s="42"/>
      <c r="JHC4" s="42"/>
      <c r="JHD4" s="42"/>
      <c r="JHE4" s="42"/>
      <c r="JHF4" s="42"/>
      <c r="JHG4" s="42"/>
      <c r="JHH4" s="42"/>
      <c r="JHI4" s="42"/>
      <c r="JHJ4" s="42"/>
      <c r="JHK4" s="42"/>
      <c r="JHL4" s="42"/>
      <c r="JHM4" s="42"/>
      <c r="JHN4" s="42"/>
      <c r="JHO4" s="42"/>
      <c r="JHP4" s="42"/>
      <c r="JHQ4" s="42"/>
      <c r="JHR4" s="42"/>
      <c r="JHS4" s="42"/>
      <c r="JHT4" s="42"/>
      <c r="JHU4" s="42"/>
      <c r="JHV4" s="42"/>
      <c r="JHW4" s="42"/>
      <c r="JHX4" s="42"/>
      <c r="JHY4" s="42"/>
      <c r="JHZ4" s="42"/>
      <c r="JIA4" s="42"/>
      <c r="JIB4" s="42"/>
      <c r="JIC4" s="42"/>
      <c r="JID4" s="42"/>
      <c r="JIE4" s="42"/>
      <c r="JIF4" s="42"/>
      <c r="JIG4" s="42"/>
      <c r="JIH4" s="42"/>
      <c r="JII4" s="42"/>
      <c r="JIJ4" s="42"/>
      <c r="JIK4" s="42"/>
      <c r="JIL4" s="42"/>
      <c r="JIM4" s="42"/>
      <c r="JIN4" s="42"/>
      <c r="JIO4" s="42"/>
      <c r="JIP4" s="42"/>
      <c r="JIQ4" s="42"/>
      <c r="JIR4" s="42"/>
      <c r="JIS4" s="42"/>
      <c r="JIT4" s="42"/>
      <c r="JIU4" s="42"/>
      <c r="JIV4" s="42"/>
      <c r="JIW4" s="42"/>
      <c r="JIX4" s="42"/>
      <c r="JIY4" s="42"/>
      <c r="JIZ4" s="42"/>
      <c r="JJA4" s="42"/>
      <c r="JJB4" s="42"/>
      <c r="JJC4" s="42"/>
      <c r="JJD4" s="42"/>
      <c r="JJE4" s="42"/>
      <c r="JJF4" s="42"/>
      <c r="JJG4" s="42"/>
      <c r="JJH4" s="42"/>
      <c r="JJI4" s="42"/>
      <c r="JJJ4" s="42"/>
      <c r="JJK4" s="42"/>
      <c r="JJL4" s="42"/>
      <c r="JJM4" s="42"/>
      <c r="JJN4" s="42"/>
      <c r="JJO4" s="42"/>
      <c r="JJP4" s="42"/>
      <c r="JJQ4" s="42"/>
      <c r="JJR4" s="42"/>
      <c r="JJS4" s="42"/>
      <c r="JJT4" s="42"/>
      <c r="JJU4" s="42"/>
      <c r="JJV4" s="42"/>
      <c r="JJW4" s="42"/>
      <c r="JJX4" s="42"/>
      <c r="JJY4" s="42"/>
      <c r="JJZ4" s="42"/>
      <c r="JKA4" s="42"/>
      <c r="JKB4" s="42"/>
      <c r="JKC4" s="42"/>
      <c r="JKD4" s="42"/>
      <c r="JKE4" s="42"/>
      <c r="JKF4" s="42"/>
      <c r="JKG4" s="42"/>
      <c r="JKH4" s="42"/>
      <c r="JKI4" s="42"/>
      <c r="JKJ4" s="42"/>
      <c r="JKK4" s="42"/>
      <c r="JKL4" s="42"/>
      <c r="JKM4" s="42"/>
      <c r="JKN4" s="42"/>
      <c r="JKO4" s="42"/>
      <c r="JKP4" s="42"/>
      <c r="JKQ4" s="42"/>
      <c r="JKR4" s="42"/>
      <c r="JKS4" s="42"/>
      <c r="JKT4" s="42"/>
      <c r="JKU4" s="42"/>
      <c r="JKV4" s="42"/>
      <c r="JKW4" s="42"/>
      <c r="JKX4" s="42"/>
      <c r="JKY4" s="42"/>
      <c r="JKZ4" s="42"/>
      <c r="JLA4" s="42"/>
      <c r="JLB4" s="42"/>
      <c r="JLC4" s="42"/>
      <c r="JLD4" s="42"/>
      <c r="JLE4" s="42"/>
      <c r="JLF4" s="42"/>
      <c r="JLG4" s="42"/>
      <c r="JLH4" s="42"/>
      <c r="JLI4" s="42"/>
      <c r="JLJ4" s="42"/>
      <c r="JLK4" s="42"/>
      <c r="JLL4" s="42"/>
      <c r="JLM4" s="42"/>
      <c r="JLN4" s="42"/>
      <c r="JLO4" s="42"/>
      <c r="JLP4" s="42"/>
      <c r="JLQ4" s="42"/>
      <c r="JLR4" s="42"/>
      <c r="JLS4" s="42"/>
      <c r="JLT4" s="42"/>
      <c r="JLU4" s="42"/>
      <c r="JLV4" s="42"/>
      <c r="JLW4" s="42"/>
      <c r="JLX4" s="42"/>
      <c r="JLY4" s="42"/>
      <c r="JLZ4" s="42"/>
      <c r="JMA4" s="42"/>
      <c r="JMB4" s="42"/>
      <c r="JMC4" s="42"/>
      <c r="JMD4" s="42"/>
      <c r="JME4" s="42"/>
      <c r="JMF4" s="42"/>
      <c r="JMG4" s="42"/>
      <c r="JMH4" s="42"/>
      <c r="JMI4" s="42"/>
      <c r="JMJ4" s="42"/>
      <c r="JMK4" s="42"/>
      <c r="JML4" s="42"/>
      <c r="JMM4" s="42"/>
      <c r="JMN4" s="42"/>
      <c r="JMO4" s="42"/>
      <c r="JMP4" s="42"/>
      <c r="JMQ4" s="42"/>
      <c r="JMR4" s="42"/>
      <c r="JMS4" s="42"/>
      <c r="JMT4" s="42"/>
      <c r="JMU4" s="42"/>
      <c r="JMV4" s="42"/>
      <c r="JMW4" s="42"/>
      <c r="JMX4" s="42"/>
      <c r="JMY4" s="42"/>
      <c r="JMZ4" s="42"/>
      <c r="JNA4" s="42"/>
      <c r="JNB4" s="42"/>
      <c r="JNC4" s="42"/>
      <c r="JND4" s="42"/>
      <c r="JNE4" s="42"/>
      <c r="JNF4" s="42"/>
      <c r="JNG4" s="42"/>
      <c r="JNH4" s="42"/>
      <c r="JNI4" s="42"/>
      <c r="JNJ4" s="42"/>
      <c r="JNK4" s="42"/>
      <c r="JNL4" s="42"/>
      <c r="JNM4" s="42"/>
      <c r="JNN4" s="42"/>
      <c r="JNO4" s="42"/>
      <c r="JNP4" s="42"/>
      <c r="JNQ4" s="42"/>
      <c r="JNR4" s="42"/>
      <c r="JNS4" s="42"/>
      <c r="JNT4" s="42"/>
      <c r="JNU4" s="42"/>
      <c r="JNV4" s="42"/>
      <c r="JNW4" s="42"/>
      <c r="JNX4" s="42"/>
      <c r="JNY4" s="42"/>
      <c r="JNZ4" s="42"/>
      <c r="JOA4" s="42"/>
      <c r="JOB4" s="42"/>
      <c r="JOC4" s="42"/>
      <c r="JOD4" s="42"/>
      <c r="JOE4" s="42"/>
      <c r="JOF4" s="42"/>
      <c r="JOG4" s="42"/>
      <c r="JOH4" s="42"/>
      <c r="JOI4" s="42"/>
      <c r="JOJ4" s="42"/>
      <c r="JOK4" s="42"/>
      <c r="JOL4" s="42"/>
      <c r="JOM4" s="42"/>
      <c r="JON4" s="42"/>
      <c r="JOO4" s="42"/>
      <c r="JOP4" s="42"/>
      <c r="JOQ4" s="42"/>
      <c r="JOR4" s="42"/>
      <c r="JOS4" s="42"/>
      <c r="JOT4" s="42"/>
      <c r="JOU4" s="42"/>
      <c r="JOV4" s="42"/>
      <c r="JOW4" s="42"/>
      <c r="JOX4" s="42"/>
      <c r="JOY4" s="42"/>
      <c r="JOZ4" s="42"/>
      <c r="JPA4" s="42"/>
      <c r="JPB4" s="42"/>
      <c r="JPC4" s="42"/>
      <c r="JPD4" s="42"/>
      <c r="JPE4" s="42"/>
      <c r="JPF4" s="42"/>
      <c r="JPG4" s="42"/>
      <c r="JPH4" s="42"/>
      <c r="JPI4" s="42"/>
      <c r="JPJ4" s="42"/>
      <c r="JPK4" s="42"/>
      <c r="JPL4" s="42"/>
      <c r="JPM4" s="42"/>
      <c r="JPN4" s="42"/>
      <c r="JPO4" s="42"/>
      <c r="JPP4" s="42"/>
      <c r="JPQ4" s="42"/>
      <c r="JPR4" s="42"/>
      <c r="JPS4" s="42"/>
      <c r="JPT4" s="42"/>
      <c r="JPU4" s="42"/>
      <c r="JPV4" s="42"/>
      <c r="JPW4" s="42"/>
      <c r="JPX4" s="42"/>
      <c r="JPY4" s="42"/>
      <c r="JPZ4" s="42"/>
      <c r="JQA4" s="42"/>
      <c r="JQB4" s="42"/>
      <c r="JQC4" s="42"/>
      <c r="JQD4" s="42"/>
      <c r="JQE4" s="42"/>
      <c r="JQF4" s="42"/>
      <c r="JQG4" s="42"/>
      <c r="JQH4" s="42"/>
      <c r="JQI4" s="42"/>
      <c r="JQJ4" s="42"/>
      <c r="JQK4" s="42"/>
      <c r="JQL4" s="42"/>
      <c r="JQM4" s="42"/>
      <c r="JQN4" s="42"/>
      <c r="JQO4" s="42"/>
      <c r="JQP4" s="42"/>
      <c r="JQQ4" s="42"/>
      <c r="JQR4" s="42"/>
      <c r="JQS4" s="42"/>
      <c r="JQT4" s="42"/>
      <c r="JQU4" s="42"/>
      <c r="JQV4" s="42"/>
      <c r="JQW4" s="42"/>
      <c r="JQX4" s="42"/>
      <c r="JQY4" s="42"/>
      <c r="JQZ4" s="42"/>
      <c r="JRA4" s="42"/>
      <c r="JRB4" s="42"/>
      <c r="JRC4" s="42"/>
      <c r="JRD4" s="42"/>
      <c r="JRE4" s="42"/>
      <c r="JRF4" s="42"/>
      <c r="JRG4" s="42"/>
      <c r="JRH4" s="42"/>
      <c r="JRI4" s="42"/>
      <c r="JRJ4" s="42"/>
      <c r="JRK4" s="42"/>
      <c r="JRL4" s="42"/>
      <c r="JRM4" s="42"/>
      <c r="JRN4" s="42"/>
      <c r="JRO4" s="42"/>
      <c r="JRP4" s="42"/>
      <c r="JRQ4" s="42"/>
      <c r="JRR4" s="42"/>
      <c r="JRS4" s="42"/>
      <c r="JRT4" s="42"/>
      <c r="JRU4" s="42"/>
      <c r="JRV4" s="42"/>
      <c r="JRW4" s="42"/>
      <c r="JRX4" s="42"/>
      <c r="JRY4" s="42"/>
      <c r="JRZ4" s="42"/>
      <c r="JSA4" s="42"/>
      <c r="JSB4" s="42"/>
      <c r="JSC4" s="42"/>
      <c r="JSD4" s="42"/>
      <c r="JSE4" s="42"/>
      <c r="JSF4" s="42"/>
      <c r="JSG4" s="42"/>
      <c r="JSH4" s="42"/>
      <c r="JSI4" s="42"/>
      <c r="JSJ4" s="42"/>
      <c r="JSK4" s="42"/>
      <c r="JSL4" s="42"/>
      <c r="JSM4" s="42"/>
      <c r="JSN4" s="42"/>
      <c r="JSO4" s="42"/>
      <c r="JSP4" s="42"/>
      <c r="JSQ4" s="42"/>
      <c r="JSR4" s="42"/>
      <c r="JSS4" s="42"/>
      <c r="JST4" s="42"/>
      <c r="JSU4" s="42"/>
      <c r="JSV4" s="42"/>
      <c r="JSW4" s="42"/>
      <c r="JSX4" s="42"/>
      <c r="JSY4" s="42"/>
      <c r="JSZ4" s="42"/>
      <c r="JTA4" s="42"/>
      <c r="JTB4" s="42"/>
      <c r="JTC4" s="42"/>
      <c r="JTD4" s="42"/>
      <c r="JTE4" s="42"/>
      <c r="JTF4" s="42"/>
      <c r="JTG4" s="42"/>
      <c r="JTH4" s="42"/>
      <c r="JTI4" s="42"/>
      <c r="JTJ4" s="42"/>
      <c r="JTK4" s="42"/>
      <c r="JTL4" s="42"/>
      <c r="JTM4" s="42"/>
      <c r="JTN4" s="42"/>
      <c r="JTO4" s="42"/>
      <c r="JTP4" s="42"/>
      <c r="JTQ4" s="42"/>
      <c r="JTR4" s="42"/>
      <c r="JTS4" s="42"/>
      <c r="JTT4" s="42"/>
      <c r="JTU4" s="42"/>
      <c r="JTV4" s="42"/>
      <c r="JTW4" s="42"/>
      <c r="JTX4" s="42"/>
      <c r="JTY4" s="42"/>
      <c r="JTZ4" s="42"/>
      <c r="JUA4" s="42"/>
      <c r="JUB4" s="42"/>
      <c r="JUC4" s="42"/>
      <c r="JUD4" s="42"/>
      <c r="JUE4" s="42"/>
      <c r="JUF4" s="42"/>
      <c r="JUG4" s="42"/>
      <c r="JUH4" s="42"/>
      <c r="JUI4" s="42"/>
      <c r="JUJ4" s="42"/>
      <c r="JUK4" s="42"/>
      <c r="JUL4" s="42"/>
      <c r="JUM4" s="42"/>
      <c r="JUN4" s="42"/>
      <c r="JUO4" s="42"/>
      <c r="JUP4" s="42"/>
      <c r="JUQ4" s="42"/>
      <c r="JUR4" s="42"/>
      <c r="JUS4" s="42"/>
      <c r="JUT4" s="42"/>
      <c r="JUU4" s="42"/>
      <c r="JUV4" s="42"/>
      <c r="JUW4" s="42"/>
      <c r="JUX4" s="42"/>
      <c r="JUY4" s="42"/>
      <c r="JUZ4" s="42"/>
      <c r="JVA4" s="42"/>
      <c r="JVB4" s="42"/>
      <c r="JVC4" s="42"/>
      <c r="JVD4" s="42"/>
      <c r="JVE4" s="42"/>
      <c r="JVF4" s="42"/>
      <c r="JVG4" s="42"/>
      <c r="JVH4" s="42"/>
      <c r="JVI4" s="42"/>
      <c r="JVJ4" s="42"/>
      <c r="JVK4" s="42"/>
      <c r="JVL4" s="42"/>
      <c r="JVM4" s="42"/>
      <c r="JVN4" s="42"/>
      <c r="JVO4" s="42"/>
      <c r="JVP4" s="42"/>
      <c r="JVQ4" s="42"/>
      <c r="JVR4" s="42"/>
      <c r="JVS4" s="42"/>
      <c r="JVT4" s="42"/>
      <c r="JVU4" s="42"/>
      <c r="JVV4" s="42"/>
      <c r="JVW4" s="42"/>
      <c r="JVX4" s="42"/>
      <c r="JVY4" s="42"/>
      <c r="JVZ4" s="42"/>
      <c r="JWA4" s="42"/>
      <c r="JWB4" s="42"/>
      <c r="JWC4" s="42"/>
      <c r="JWD4" s="42"/>
      <c r="JWE4" s="42"/>
      <c r="JWF4" s="42"/>
      <c r="JWG4" s="42"/>
      <c r="JWH4" s="42"/>
      <c r="JWI4" s="42"/>
      <c r="JWJ4" s="42"/>
      <c r="JWK4" s="42"/>
      <c r="JWL4" s="42"/>
      <c r="JWM4" s="42"/>
      <c r="JWN4" s="42"/>
      <c r="JWO4" s="42"/>
      <c r="JWP4" s="42"/>
      <c r="JWQ4" s="42"/>
      <c r="JWR4" s="42"/>
      <c r="JWS4" s="42"/>
      <c r="JWT4" s="42"/>
      <c r="JWU4" s="42"/>
      <c r="JWV4" s="42"/>
      <c r="JWW4" s="42"/>
      <c r="JWX4" s="42"/>
      <c r="JWY4" s="42"/>
      <c r="JWZ4" s="42"/>
      <c r="JXA4" s="42"/>
      <c r="JXB4" s="42"/>
      <c r="JXC4" s="42"/>
      <c r="JXD4" s="42"/>
      <c r="JXE4" s="42"/>
      <c r="JXF4" s="42"/>
      <c r="JXG4" s="42"/>
      <c r="JXH4" s="42"/>
      <c r="JXI4" s="42"/>
      <c r="JXJ4" s="42"/>
      <c r="JXK4" s="42"/>
      <c r="JXL4" s="42"/>
      <c r="JXM4" s="42"/>
      <c r="JXN4" s="42"/>
      <c r="JXO4" s="42"/>
      <c r="JXP4" s="42"/>
      <c r="JXQ4" s="42"/>
      <c r="JXR4" s="42"/>
      <c r="JXS4" s="42"/>
      <c r="JXT4" s="42"/>
      <c r="JXU4" s="42"/>
      <c r="JXV4" s="42"/>
      <c r="JXW4" s="42"/>
      <c r="JXX4" s="42"/>
      <c r="JXY4" s="42"/>
      <c r="JXZ4" s="42"/>
      <c r="JYA4" s="42"/>
      <c r="JYB4" s="42"/>
      <c r="JYC4" s="42"/>
      <c r="JYD4" s="42"/>
      <c r="JYE4" s="42"/>
      <c r="JYF4" s="42"/>
      <c r="JYG4" s="42"/>
      <c r="JYH4" s="42"/>
      <c r="JYI4" s="42"/>
      <c r="JYJ4" s="42"/>
      <c r="JYK4" s="42"/>
      <c r="JYL4" s="42"/>
      <c r="JYM4" s="42"/>
      <c r="JYN4" s="42"/>
      <c r="JYO4" s="42"/>
      <c r="JYP4" s="42"/>
      <c r="JYQ4" s="42"/>
      <c r="JYR4" s="42"/>
      <c r="JYS4" s="42"/>
      <c r="JYT4" s="42"/>
      <c r="JYU4" s="42"/>
      <c r="JYV4" s="42"/>
      <c r="JYW4" s="42"/>
      <c r="JYX4" s="42"/>
      <c r="JYY4" s="42"/>
      <c r="JYZ4" s="42"/>
      <c r="JZA4" s="42"/>
      <c r="JZB4" s="42"/>
      <c r="JZC4" s="42"/>
      <c r="JZD4" s="42"/>
      <c r="JZE4" s="42"/>
      <c r="JZF4" s="42"/>
      <c r="JZG4" s="42"/>
      <c r="JZH4" s="42"/>
      <c r="JZI4" s="42"/>
      <c r="JZJ4" s="42"/>
      <c r="JZK4" s="42"/>
      <c r="JZL4" s="42"/>
      <c r="JZM4" s="42"/>
      <c r="JZN4" s="42"/>
      <c r="JZO4" s="42"/>
      <c r="JZP4" s="42"/>
      <c r="JZQ4" s="42"/>
      <c r="JZR4" s="42"/>
      <c r="JZS4" s="42"/>
      <c r="JZT4" s="42"/>
      <c r="JZU4" s="42"/>
      <c r="JZV4" s="42"/>
      <c r="JZW4" s="42"/>
      <c r="JZX4" s="42"/>
      <c r="JZY4" s="42"/>
      <c r="JZZ4" s="42"/>
      <c r="KAA4" s="42"/>
      <c r="KAB4" s="42"/>
      <c r="KAC4" s="42"/>
      <c r="KAD4" s="42"/>
      <c r="KAE4" s="42"/>
      <c r="KAF4" s="42"/>
      <c r="KAG4" s="42"/>
      <c r="KAH4" s="42"/>
      <c r="KAI4" s="42"/>
      <c r="KAJ4" s="42"/>
      <c r="KAK4" s="42"/>
      <c r="KAL4" s="42"/>
      <c r="KAM4" s="42"/>
      <c r="KAN4" s="42"/>
      <c r="KAO4" s="42"/>
      <c r="KAP4" s="42"/>
      <c r="KAQ4" s="42"/>
      <c r="KAR4" s="42"/>
      <c r="KAS4" s="42"/>
      <c r="KAT4" s="42"/>
      <c r="KAU4" s="42"/>
      <c r="KAV4" s="42"/>
      <c r="KAW4" s="42"/>
      <c r="KAX4" s="42"/>
      <c r="KAY4" s="42"/>
      <c r="KAZ4" s="42"/>
      <c r="KBA4" s="42"/>
      <c r="KBB4" s="42"/>
      <c r="KBC4" s="42"/>
      <c r="KBD4" s="42"/>
      <c r="KBE4" s="42"/>
      <c r="KBF4" s="42"/>
      <c r="KBG4" s="42"/>
      <c r="KBH4" s="42"/>
      <c r="KBI4" s="42"/>
      <c r="KBJ4" s="42"/>
      <c r="KBK4" s="42"/>
      <c r="KBL4" s="42"/>
      <c r="KBM4" s="42"/>
      <c r="KBN4" s="42"/>
      <c r="KBO4" s="42"/>
      <c r="KBP4" s="42"/>
      <c r="KBQ4" s="42"/>
      <c r="KBR4" s="42"/>
      <c r="KBS4" s="42"/>
      <c r="KBT4" s="42"/>
      <c r="KBU4" s="42"/>
      <c r="KBV4" s="42"/>
      <c r="KBW4" s="42"/>
      <c r="KBX4" s="42"/>
      <c r="KBY4" s="42"/>
      <c r="KBZ4" s="42"/>
      <c r="KCA4" s="42"/>
      <c r="KCB4" s="42"/>
      <c r="KCC4" s="42"/>
      <c r="KCD4" s="42"/>
      <c r="KCE4" s="42"/>
      <c r="KCF4" s="42"/>
      <c r="KCG4" s="42"/>
      <c r="KCH4" s="42"/>
      <c r="KCI4" s="42"/>
      <c r="KCJ4" s="42"/>
      <c r="KCK4" s="42"/>
      <c r="KCL4" s="42"/>
      <c r="KCM4" s="42"/>
      <c r="KCN4" s="42"/>
      <c r="KCO4" s="42"/>
      <c r="KCP4" s="42"/>
      <c r="KCQ4" s="42"/>
      <c r="KCR4" s="42"/>
      <c r="KCS4" s="42"/>
      <c r="KCT4" s="42"/>
      <c r="KCU4" s="42"/>
      <c r="KCV4" s="42"/>
      <c r="KCW4" s="42"/>
      <c r="KCX4" s="42"/>
      <c r="KCY4" s="42"/>
      <c r="KCZ4" s="42"/>
      <c r="KDA4" s="42"/>
      <c r="KDB4" s="42"/>
      <c r="KDC4" s="42"/>
      <c r="KDD4" s="42"/>
      <c r="KDE4" s="42"/>
      <c r="KDF4" s="42"/>
      <c r="KDG4" s="42"/>
      <c r="KDH4" s="42"/>
      <c r="KDI4" s="42"/>
      <c r="KDJ4" s="42"/>
      <c r="KDK4" s="42"/>
      <c r="KDL4" s="42"/>
      <c r="KDM4" s="42"/>
      <c r="KDN4" s="42"/>
      <c r="KDO4" s="42"/>
      <c r="KDP4" s="42"/>
      <c r="KDQ4" s="42"/>
      <c r="KDR4" s="42"/>
      <c r="KDS4" s="42"/>
      <c r="KDT4" s="42"/>
      <c r="KDU4" s="42"/>
      <c r="KDV4" s="42"/>
      <c r="KDW4" s="42"/>
      <c r="KDX4" s="42"/>
      <c r="KDY4" s="42"/>
      <c r="KDZ4" s="42"/>
      <c r="KEA4" s="42"/>
      <c r="KEB4" s="42"/>
      <c r="KEC4" s="42"/>
      <c r="KED4" s="42"/>
      <c r="KEE4" s="42"/>
      <c r="KEF4" s="42"/>
      <c r="KEG4" s="42"/>
      <c r="KEH4" s="42"/>
      <c r="KEI4" s="42"/>
      <c r="KEJ4" s="42"/>
      <c r="KEK4" s="42"/>
      <c r="KEL4" s="42"/>
      <c r="KEM4" s="42"/>
      <c r="KEN4" s="42"/>
      <c r="KEO4" s="42"/>
      <c r="KEP4" s="42"/>
      <c r="KEQ4" s="42"/>
      <c r="KER4" s="42"/>
      <c r="KES4" s="42"/>
      <c r="KET4" s="42"/>
      <c r="KEU4" s="42"/>
      <c r="KEV4" s="42"/>
      <c r="KEW4" s="42"/>
      <c r="KEX4" s="42"/>
      <c r="KEY4" s="42"/>
      <c r="KEZ4" s="42"/>
      <c r="KFA4" s="42"/>
      <c r="KFB4" s="42"/>
      <c r="KFC4" s="42"/>
      <c r="KFD4" s="42"/>
      <c r="KFE4" s="42"/>
      <c r="KFF4" s="42"/>
      <c r="KFG4" s="42"/>
      <c r="KFH4" s="42"/>
      <c r="KFI4" s="42"/>
      <c r="KFJ4" s="42"/>
      <c r="KFK4" s="42"/>
      <c r="KFL4" s="42"/>
      <c r="KFM4" s="42"/>
      <c r="KFN4" s="42"/>
      <c r="KFO4" s="42"/>
      <c r="KFP4" s="42"/>
      <c r="KFQ4" s="42"/>
      <c r="KFR4" s="42"/>
      <c r="KFS4" s="42"/>
      <c r="KFT4" s="42"/>
      <c r="KFU4" s="42"/>
      <c r="KFV4" s="42"/>
      <c r="KFW4" s="42"/>
      <c r="KFX4" s="42"/>
      <c r="KFY4" s="42"/>
      <c r="KFZ4" s="42"/>
      <c r="KGA4" s="42"/>
      <c r="KGB4" s="42"/>
      <c r="KGC4" s="42"/>
      <c r="KGD4" s="42"/>
      <c r="KGE4" s="42"/>
      <c r="KGF4" s="42"/>
      <c r="KGG4" s="42"/>
      <c r="KGH4" s="42"/>
      <c r="KGI4" s="42"/>
      <c r="KGJ4" s="42"/>
      <c r="KGK4" s="42"/>
      <c r="KGL4" s="42"/>
      <c r="KGM4" s="42"/>
      <c r="KGN4" s="42"/>
      <c r="KGO4" s="42"/>
      <c r="KGP4" s="42"/>
      <c r="KGQ4" s="42"/>
      <c r="KGR4" s="42"/>
      <c r="KGS4" s="42"/>
      <c r="KGT4" s="42"/>
      <c r="KGU4" s="42"/>
      <c r="KGV4" s="42"/>
      <c r="KGW4" s="42"/>
      <c r="KGX4" s="42"/>
      <c r="KGY4" s="42"/>
      <c r="KGZ4" s="42"/>
      <c r="KHA4" s="42"/>
      <c r="KHB4" s="42"/>
      <c r="KHC4" s="42"/>
      <c r="KHD4" s="42"/>
      <c r="KHE4" s="42"/>
      <c r="KHF4" s="42"/>
      <c r="KHG4" s="42"/>
      <c r="KHH4" s="42"/>
      <c r="KHI4" s="42"/>
      <c r="KHJ4" s="42"/>
      <c r="KHK4" s="42"/>
      <c r="KHL4" s="42"/>
      <c r="KHM4" s="42"/>
      <c r="KHN4" s="42"/>
      <c r="KHO4" s="42"/>
      <c r="KHP4" s="42"/>
      <c r="KHQ4" s="42"/>
      <c r="KHR4" s="42"/>
      <c r="KHS4" s="42"/>
      <c r="KHT4" s="42"/>
      <c r="KHU4" s="42"/>
      <c r="KHV4" s="42"/>
      <c r="KHW4" s="42"/>
      <c r="KHX4" s="42"/>
      <c r="KHY4" s="42"/>
      <c r="KHZ4" s="42"/>
      <c r="KIA4" s="42"/>
      <c r="KIB4" s="42"/>
      <c r="KIC4" s="42"/>
      <c r="KID4" s="42"/>
      <c r="KIE4" s="42"/>
      <c r="KIF4" s="42"/>
      <c r="KIG4" s="42"/>
      <c r="KIH4" s="42"/>
      <c r="KII4" s="42"/>
      <c r="KIJ4" s="42"/>
      <c r="KIK4" s="42"/>
      <c r="KIL4" s="42"/>
      <c r="KIM4" s="42"/>
      <c r="KIN4" s="42"/>
      <c r="KIO4" s="42"/>
      <c r="KIP4" s="42"/>
      <c r="KIQ4" s="42"/>
      <c r="KIR4" s="42"/>
      <c r="KIS4" s="42"/>
      <c r="KIT4" s="42"/>
      <c r="KIU4" s="42"/>
      <c r="KIV4" s="42"/>
      <c r="KIW4" s="42"/>
      <c r="KIX4" s="42"/>
      <c r="KIY4" s="42"/>
      <c r="KIZ4" s="42"/>
      <c r="KJA4" s="42"/>
      <c r="KJB4" s="42"/>
      <c r="KJC4" s="42"/>
      <c r="KJD4" s="42"/>
      <c r="KJE4" s="42"/>
      <c r="KJF4" s="42"/>
      <c r="KJG4" s="42"/>
      <c r="KJH4" s="42"/>
      <c r="KJI4" s="42"/>
      <c r="KJJ4" s="42"/>
      <c r="KJK4" s="42"/>
      <c r="KJL4" s="42"/>
      <c r="KJM4" s="42"/>
      <c r="KJN4" s="42"/>
      <c r="KJO4" s="42"/>
      <c r="KJP4" s="42"/>
      <c r="KJQ4" s="42"/>
      <c r="KJR4" s="42"/>
      <c r="KJS4" s="42"/>
      <c r="KJT4" s="42"/>
      <c r="KJU4" s="42"/>
      <c r="KJV4" s="42"/>
      <c r="KJW4" s="42"/>
      <c r="KJX4" s="42"/>
      <c r="KJY4" s="42"/>
      <c r="KJZ4" s="42"/>
      <c r="KKA4" s="42"/>
      <c r="KKB4" s="42"/>
      <c r="KKC4" s="42"/>
      <c r="KKD4" s="42"/>
      <c r="KKE4" s="42"/>
      <c r="KKF4" s="42"/>
      <c r="KKG4" s="42"/>
      <c r="KKH4" s="42"/>
      <c r="KKI4" s="42"/>
      <c r="KKJ4" s="42"/>
      <c r="KKK4" s="42"/>
      <c r="KKL4" s="42"/>
      <c r="KKM4" s="42"/>
      <c r="KKN4" s="42"/>
      <c r="KKO4" s="42"/>
      <c r="KKP4" s="42"/>
      <c r="KKQ4" s="42"/>
      <c r="KKR4" s="42"/>
      <c r="KKS4" s="42"/>
      <c r="KKT4" s="42"/>
      <c r="KKU4" s="42"/>
      <c r="KKV4" s="42"/>
      <c r="KKW4" s="42"/>
      <c r="KKX4" s="42"/>
      <c r="KKY4" s="42"/>
      <c r="KKZ4" s="42"/>
      <c r="KLA4" s="42"/>
      <c r="KLB4" s="42"/>
      <c r="KLC4" s="42"/>
      <c r="KLD4" s="42"/>
      <c r="KLE4" s="42"/>
      <c r="KLF4" s="42"/>
      <c r="KLG4" s="42"/>
      <c r="KLH4" s="42"/>
      <c r="KLI4" s="42"/>
      <c r="KLJ4" s="42"/>
      <c r="KLK4" s="42"/>
      <c r="KLL4" s="42"/>
      <c r="KLM4" s="42"/>
      <c r="KLN4" s="42"/>
      <c r="KLO4" s="42"/>
      <c r="KLP4" s="42"/>
      <c r="KLQ4" s="42"/>
      <c r="KLR4" s="42"/>
      <c r="KLS4" s="42"/>
      <c r="KLT4" s="42"/>
      <c r="KLU4" s="42"/>
      <c r="KLV4" s="42"/>
      <c r="KLW4" s="42"/>
      <c r="KLX4" s="42"/>
      <c r="KLY4" s="42"/>
      <c r="KLZ4" s="42"/>
      <c r="KMA4" s="42"/>
      <c r="KMB4" s="42"/>
      <c r="KMC4" s="42"/>
      <c r="KMD4" s="42"/>
      <c r="KME4" s="42"/>
      <c r="KMF4" s="42"/>
      <c r="KMG4" s="42"/>
      <c r="KMH4" s="42"/>
      <c r="KMI4" s="42"/>
      <c r="KMJ4" s="42"/>
      <c r="KMK4" s="42"/>
      <c r="KML4" s="42"/>
      <c r="KMM4" s="42"/>
      <c r="KMN4" s="42"/>
      <c r="KMO4" s="42"/>
      <c r="KMP4" s="42"/>
      <c r="KMQ4" s="42"/>
      <c r="KMR4" s="42"/>
      <c r="KMS4" s="42"/>
      <c r="KMT4" s="42"/>
      <c r="KMU4" s="42"/>
      <c r="KMV4" s="42"/>
      <c r="KMW4" s="42"/>
      <c r="KMX4" s="42"/>
      <c r="KMY4" s="42"/>
      <c r="KMZ4" s="42"/>
      <c r="KNA4" s="42"/>
      <c r="KNB4" s="42"/>
      <c r="KNC4" s="42"/>
      <c r="KND4" s="42"/>
      <c r="KNE4" s="42"/>
      <c r="KNF4" s="42"/>
      <c r="KNG4" s="42"/>
      <c r="KNH4" s="42"/>
      <c r="KNI4" s="42"/>
      <c r="KNJ4" s="42"/>
      <c r="KNK4" s="42"/>
      <c r="KNL4" s="42"/>
      <c r="KNM4" s="42"/>
      <c r="KNN4" s="42"/>
      <c r="KNO4" s="42"/>
      <c r="KNP4" s="42"/>
      <c r="KNQ4" s="42"/>
      <c r="KNR4" s="42"/>
      <c r="KNS4" s="42"/>
      <c r="KNT4" s="42"/>
      <c r="KNU4" s="42"/>
      <c r="KNV4" s="42"/>
      <c r="KNW4" s="42"/>
      <c r="KNX4" s="42"/>
      <c r="KNY4" s="42"/>
      <c r="KNZ4" s="42"/>
      <c r="KOA4" s="42"/>
      <c r="KOB4" s="42"/>
      <c r="KOC4" s="42"/>
      <c r="KOD4" s="42"/>
      <c r="KOE4" s="42"/>
      <c r="KOF4" s="42"/>
      <c r="KOG4" s="42"/>
      <c r="KOH4" s="42"/>
      <c r="KOI4" s="42"/>
      <c r="KOJ4" s="42"/>
      <c r="KOK4" s="42"/>
      <c r="KOL4" s="42"/>
      <c r="KOM4" s="42"/>
      <c r="KON4" s="42"/>
      <c r="KOO4" s="42"/>
      <c r="KOP4" s="42"/>
      <c r="KOQ4" s="42"/>
      <c r="KOR4" s="42"/>
      <c r="KOS4" s="42"/>
      <c r="KOT4" s="42"/>
      <c r="KOU4" s="42"/>
      <c r="KOV4" s="42"/>
      <c r="KOW4" s="42"/>
      <c r="KOX4" s="42"/>
      <c r="KOY4" s="42"/>
      <c r="KOZ4" s="42"/>
      <c r="KPA4" s="42"/>
      <c r="KPB4" s="42"/>
      <c r="KPC4" s="42"/>
      <c r="KPD4" s="42"/>
      <c r="KPE4" s="42"/>
      <c r="KPF4" s="42"/>
      <c r="KPG4" s="42"/>
      <c r="KPH4" s="42"/>
      <c r="KPI4" s="42"/>
      <c r="KPJ4" s="42"/>
      <c r="KPK4" s="42"/>
      <c r="KPL4" s="42"/>
      <c r="KPM4" s="42"/>
      <c r="KPN4" s="42"/>
      <c r="KPO4" s="42"/>
      <c r="KPP4" s="42"/>
      <c r="KPQ4" s="42"/>
      <c r="KPR4" s="42"/>
      <c r="KPS4" s="42"/>
      <c r="KPT4" s="42"/>
      <c r="KPU4" s="42"/>
      <c r="KPV4" s="42"/>
      <c r="KPW4" s="42"/>
      <c r="KPX4" s="42"/>
      <c r="KPY4" s="42"/>
      <c r="KPZ4" s="42"/>
      <c r="KQA4" s="42"/>
      <c r="KQB4" s="42"/>
      <c r="KQC4" s="42"/>
      <c r="KQD4" s="42"/>
      <c r="KQE4" s="42"/>
      <c r="KQF4" s="42"/>
      <c r="KQG4" s="42"/>
      <c r="KQH4" s="42"/>
      <c r="KQI4" s="42"/>
      <c r="KQJ4" s="42"/>
      <c r="KQK4" s="42"/>
      <c r="KQL4" s="42"/>
      <c r="KQM4" s="42"/>
      <c r="KQN4" s="42"/>
      <c r="KQO4" s="42"/>
      <c r="KQP4" s="42"/>
      <c r="KQQ4" s="42"/>
      <c r="KQR4" s="42"/>
      <c r="KQS4" s="42"/>
      <c r="KQT4" s="42"/>
      <c r="KQU4" s="42"/>
      <c r="KQV4" s="42"/>
      <c r="KQW4" s="42"/>
      <c r="KQX4" s="42"/>
      <c r="KQY4" s="42"/>
      <c r="KQZ4" s="42"/>
      <c r="KRA4" s="42"/>
      <c r="KRB4" s="42"/>
      <c r="KRC4" s="42"/>
      <c r="KRD4" s="42"/>
      <c r="KRE4" s="42"/>
      <c r="KRF4" s="42"/>
      <c r="KRG4" s="42"/>
      <c r="KRH4" s="42"/>
      <c r="KRI4" s="42"/>
      <c r="KRJ4" s="42"/>
      <c r="KRK4" s="42"/>
      <c r="KRL4" s="42"/>
      <c r="KRM4" s="42"/>
      <c r="KRN4" s="42"/>
      <c r="KRO4" s="42"/>
      <c r="KRP4" s="42"/>
      <c r="KRQ4" s="42"/>
      <c r="KRR4" s="42"/>
      <c r="KRS4" s="42"/>
      <c r="KRT4" s="42"/>
      <c r="KRU4" s="42"/>
      <c r="KRV4" s="42"/>
      <c r="KRW4" s="42"/>
      <c r="KRX4" s="42"/>
      <c r="KRY4" s="42"/>
      <c r="KRZ4" s="42"/>
      <c r="KSA4" s="42"/>
      <c r="KSB4" s="42"/>
      <c r="KSC4" s="42"/>
      <c r="KSD4" s="42"/>
      <c r="KSE4" s="42"/>
      <c r="KSF4" s="42"/>
      <c r="KSG4" s="42"/>
      <c r="KSH4" s="42"/>
      <c r="KSI4" s="42"/>
      <c r="KSJ4" s="42"/>
      <c r="KSK4" s="42"/>
      <c r="KSL4" s="42"/>
      <c r="KSM4" s="42"/>
      <c r="KSN4" s="42"/>
      <c r="KSO4" s="42"/>
      <c r="KSP4" s="42"/>
      <c r="KSQ4" s="42"/>
      <c r="KSR4" s="42"/>
      <c r="KSS4" s="42"/>
      <c r="KST4" s="42"/>
      <c r="KSU4" s="42"/>
      <c r="KSV4" s="42"/>
      <c r="KSW4" s="42"/>
      <c r="KSX4" s="42"/>
      <c r="KSY4" s="42"/>
      <c r="KSZ4" s="42"/>
      <c r="KTA4" s="42"/>
      <c r="KTB4" s="42"/>
      <c r="KTC4" s="42"/>
      <c r="KTD4" s="42"/>
      <c r="KTE4" s="42"/>
      <c r="KTF4" s="42"/>
      <c r="KTG4" s="42"/>
      <c r="KTH4" s="42"/>
      <c r="KTI4" s="42"/>
      <c r="KTJ4" s="42"/>
      <c r="KTK4" s="42"/>
      <c r="KTL4" s="42"/>
      <c r="KTM4" s="42"/>
      <c r="KTN4" s="42"/>
      <c r="KTO4" s="42"/>
      <c r="KTP4" s="42"/>
      <c r="KTQ4" s="42"/>
      <c r="KTR4" s="42"/>
      <c r="KTS4" s="42"/>
      <c r="KTT4" s="42"/>
      <c r="KTU4" s="42"/>
      <c r="KTV4" s="42"/>
      <c r="KTW4" s="42"/>
      <c r="KTX4" s="42"/>
      <c r="KTY4" s="42"/>
      <c r="KTZ4" s="42"/>
      <c r="KUA4" s="42"/>
      <c r="KUB4" s="42"/>
      <c r="KUC4" s="42"/>
      <c r="KUD4" s="42"/>
      <c r="KUE4" s="42"/>
      <c r="KUF4" s="42"/>
      <c r="KUG4" s="42"/>
      <c r="KUH4" s="42"/>
      <c r="KUI4" s="42"/>
      <c r="KUJ4" s="42"/>
      <c r="KUK4" s="42"/>
      <c r="KUL4" s="42"/>
      <c r="KUM4" s="42"/>
      <c r="KUN4" s="42"/>
      <c r="KUO4" s="42"/>
      <c r="KUP4" s="42"/>
      <c r="KUQ4" s="42"/>
      <c r="KUR4" s="42"/>
      <c r="KUS4" s="42"/>
      <c r="KUT4" s="42"/>
      <c r="KUU4" s="42"/>
      <c r="KUV4" s="42"/>
      <c r="KUW4" s="42"/>
      <c r="KUX4" s="42"/>
      <c r="KUY4" s="42"/>
      <c r="KUZ4" s="42"/>
      <c r="KVA4" s="42"/>
      <c r="KVB4" s="42"/>
      <c r="KVC4" s="42"/>
      <c r="KVD4" s="42"/>
      <c r="KVE4" s="42"/>
      <c r="KVF4" s="42"/>
      <c r="KVG4" s="42"/>
      <c r="KVH4" s="42"/>
      <c r="KVI4" s="42"/>
      <c r="KVJ4" s="42"/>
      <c r="KVK4" s="42"/>
      <c r="KVL4" s="42"/>
      <c r="KVM4" s="42"/>
      <c r="KVN4" s="42"/>
      <c r="KVO4" s="42"/>
      <c r="KVP4" s="42"/>
      <c r="KVQ4" s="42"/>
      <c r="KVR4" s="42"/>
      <c r="KVS4" s="42"/>
      <c r="KVT4" s="42"/>
      <c r="KVU4" s="42"/>
      <c r="KVV4" s="42"/>
      <c r="KVW4" s="42"/>
      <c r="KVX4" s="42"/>
      <c r="KVY4" s="42"/>
      <c r="KVZ4" s="42"/>
      <c r="KWA4" s="42"/>
      <c r="KWB4" s="42"/>
      <c r="KWC4" s="42"/>
      <c r="KWD4" s="42"/>
      <c r="KWE4" s="42"/>
      <c r="KWF4" s="42"/>
      <c r="KWG4" s="42"/>
      <c r="KWH4" s="42"/>
      <c r="KWI4" s="42"/>
      <c r="KWJ4" s="42"/>
      <c r="KWK4" s="42"/>
      <c r="KWL4" s="42"/>
      <c r="KWM4" s="42"/>
      <c r="KWN4" s="42"/>
      <c r="KWO4" s="42"/>
      <c r="KWP4" s="42"/>
      <c r="KWQ4" s="42"/>
      <c r="KWR4" s="42"/>
      <c r="KWS4" s="42"/>
      <c r="KWT4" s="42"/>
      <c r="KWU4" s="42"/>
      <c r="KWV4" s="42"/>
      <c r="KWW4" s="42"/>
      <c r="KWX4" s="42"/>
      <c r="KWY4" s="42"/>
      <c r="KWZ4" s="42"/>
      <c r="KXA4" s="42"/>
      <c r="KXB4" s="42"/>
      <c r="KXC4" s="42"/>
      <c r="KXD4" s="42"/>
      <c r="KXE4" s="42"/>
      <c r="KXF4" s="42"/>
      <c r="KXG4" s="42"/>
      <c r="KXH4" s="42"/>
      <c r="KXI4" s="42"/>
      <c r="KXJ4" s="42"/>
      <c r="KXK4" s="42"/>
      <c r="KXL4" s="42"/>
      <c r="KXM4" s="42"/>
      <c r="KXN4" s="42"/>
      <c r="KXO4" s="42"/>
      <c r="KXP4" s="42"/>
      <c r="KXQ4" s="42"/>
      <c r="KXR4" s="42"/>
      <c r="KXS4" s="42"/>
      <c r="KXT4" s="42"/>
      <c r="KXU4" s="42"/>
      <c r="KXV4" s="42"/>
      <c r="KXW4" s="42"/>
      <c r="KXX4" s="42"/>
      <c r="KXY4" s="42"/>
      <c r="KXZ4" s="42"/>
      <c r="KYA4" s="42"/>
      <c r="KYB4" s="42"/>
      <c r="KYC4" s="42"/>
      <c r="KYD4" s="42"/>
      <c r="KYE4" s="42"/>
      <c r="KYF4" s="42"/>
      <c r="KYG4" s="42"/>
      <c r="KYH4" s="42"/>
      <c r="KYI4" s="42"/>
      <c r="KYJ4" s="42"/>
      <c r="KYK4" s="42"/>
      <c r="KYL4" s="42"/>
      <c r="KYM4" s="42"/>
      <c r="KYN4" s="42"/>
      <c r="KYO4" s="42"/>
      <c r="KYP4" s="42"/>
      <c r="KYQ4" s="42"/>
      <c r="KYR4" s="42"/>
      <c r="KYS4" s="42"/>
      <c r="KYT4" s="42"/>
      <c r="KYU4" s="42"/>
      <c r="KYV4" s="42"/>
      <c r="KYW4" s="42"/>
      <c r="KYX4" s="42"/>
      <c r="KYY4" s="42"/>
      <c r="KYZ4" s="42"/>
      <c r="KZA4" s="42"/>
      <c r="KZB4" s="42"/>
      <c r="KZC4" s="42"/>
      <c r="KZD4" s="42"/>
      <c r="KZE4" s="42"/>
      <c r="KZF4" s="42"/>
      <c r="KZG4" s="42"/>
      <c r="KZH4" s="42"/>
      <c r="KZI4" s="42"/>
      <c r="KZJ4" s="42"/>
      <c r="KZK4" s="42"/>
      <c r="KZL4" s="42"/>
      <c r="KZM4" s="42"/>
      <c r="KZN4" s="42"/>
      <c r="KZO4" s="42"/>
      <c r="KZP4" s="42"/>
      <c r="KZQ4" s="42"/>
      <c r="KZR4" s="42"/>
      <c r="KZS4" s="42"/>
      <c r="KZT4" s="42"/>
      <c r="KZU4" s="42"/>
      <c r="KZV4" s="42"/>
      <c r="KZW4" s="42"/>
      <c r="KZX4" s="42"/>
      <c r="KZY4" s="42"/>
      <c r="KZZ4" s="42"/>
      <c r="LAA4" s="42"/>
      <c r="LAB4" s="42"/>
      <c r="LAC4" s="42"/>
      <c r="LAD4" s="42"/>
      <c r="LAE4" s="42"/>
      <c r="LAF4" s="42"/>
      <c r="LAG4" s="42"/>
      <c r="LAH4" s="42"/>
      <c r="LAI4" s="42"/>
      <c r="LAJ4" s="42"/>
      <c r="LAK4" s="42"/>
      <c r="LAL4" s="42"/>
      <c r="LAM4" s="42"/>
      <c r="LAN4" s="42"/>
      <c r="LAO4" s="42"/>
      <c r="LAP4" s="42"/>
      <c r="LAQ4" s="42"/>
      <c r="LAR4" s="42"/>
      <c r="LAS4" s="42"/>
      <c r="LAT4" s="42"/>
      <c r="LAU4" s="42"/>
      <c r="LAV4" s="42"/>
      <c r="LAW4" s="42"/>
      <c r="LAX4" s="42"/>
      <c r="LAY4" s="42"/>
      <c r="LAZ4" s="42"/>
      <c r="LBA4" s="42"/>
      <c r="LBB4" s="42"/>
      <c r="LBC4" s="42"/>
      <c r="LBD4" s="42"/>
      <c r="LBE4" s="42"/>
      <c r="LBF4" s="42"/>
      <c r="LBG4" s="42"/>
      <c r="LBH4" s="42"/>
      <c r="LBI4" s="42"/>
      <c r="LBJ4" s="42"/>
      <c r="LBK4" s="42"/>
      <c r="LBL4" s="42"/>
      <c r="LBM4" s="42"/>
      <c r="LBN4" s="42"/>
      <c r="LBO4" s="42"/>
      <c r="LBP4" s="42"/>
      <c r="LBQ4" s="42"/>
      <c r="LBR4" s="42"/>
      <c r="LBS4" s="42"/>
      <c r="LBT4" s="42"/>
      <c r="LBU4" s="42"/>
      <c r="LBV4" s="42"/>
      <c r="LBW4" s="42"/>
      <c r="LBX4" s="42"/>
      <c r="LBY4" s="42"/>
      <c r="LBZ4" s="42"/>
      <c r="LCA4" s="42"/>
      <c r="LCB4" s="42"/>
      <c r="LCC4" s="42"/>
      <c r="LCD4" s="42"/>
      <c r="LCE4" s="42"/>
      <c r="LCF4" s="42"/>
      <c r="LCG4" s="42"/>
      <c r="LCH4" s="42"/>
      <c r="LCI4" s="42"/>
      <c r="LCJ4" s="42"/>
      <c r="LCK4" s="42"/>
      <c r="LCL4" s="42"/>
      <c r="LCM4" s="42"/>
      <c r="LCN4" s="42"/>
      <c r="LCO4" s="42"/>
      <c r="LCP4" s="42"/>
      <c r="LCQ4" s="42"/>
      <c r="LCR4" s="42"/>
      <c r="LCS4" s="42"/>
      <c r="LCT4" s="42"/>
      <c r="LCU4" s="42"/>
      <c r="LCV4" s="42"/>
      <c r="LCW4" s="42"/>
      <c r="LCX4" s="42"/>
      <c r="LCY4" s="42"/>
      <c r="LCZ4" s="42"/>
      <c r="LDA4" s="42"/>
      <c r="LDB4" s="42"/>
      <c r="LDC4" s="42"/>
      <c r="LDD4" s="42"/>
      <c r="LDE4" s="42"/>
      <c r="LDF4" s="42"/>
      <c r="LDG4" s="42"/>
      <c r="LDH4" s="42"/>
      <c r="LDI4" s="42"/>
      <c r="LDJ4" s="42"/>
      <c r="LDK4" s="42"/>
      <c r="LDL4" s="42"/>
      <c r="LDM4" s="42"/>
      <c r="LDN4" s="42"/>
      <c r="LDO4" s="42"/>
      <c r="LDP4" s="42"/>
      <c r="LDQ4" s="42"/>
      <c r="LDR4" s="42"/>
      <c r="LDS4" s="42"/>
      <c r="LDT4" s="42"/>
      <c r="LDU4" s="42"/>
      <c r="LDV4" s="42"/>
      <c r="LDW4" s="42"/>
      <c r="LDX4" s="42"/>
      <c r="LDY4" s="42"/>
      <c r="LDZ4" s="42"/>
      <c r="LEA4" s="42"/>
      <c r="LEB4" s="42"/>
      <c r="LEC4" s="42"/>
      <c r="LED4" s="42"/>
      <c r="LEE4" s="42"/>
      <c r="LEF4" s="42"/>
      <c r="LEG4" s="42"/>
      <c r="LEH4" s="42"/>
      <c r="LEI4" s="42"/>
      <c r="LEJ4" s="42"/>
      <c r="LEK4" s="42"/>
      <c r="LEL4" s="42"/>
      <c r="LEM4" s="42"/>
      <c r="LEN4" s="42"/>
      <c r="LEO4" s="42"/>
      <c r="LEP4" s="42"/>
      <c r="LEQ4" s="42"/>
      <c r="LER4" s="42"/>
      <c r="LES4" s="42"/>
      <c r="LET4" s="42"/>
      <c r="LEU4" s="42"/>
      <c r="LEV4" s="42"/>
      <c r="LEW4" s="42"/>
      <c r="LEX4" s="42"/>
      <c r="LEY4" s="42"/>
      <c r="LEZ4" s="42"/>
      <c r="LFA4" s="42"/>
      <c r="LFB4" s="42"/>
      <c r="LFC4" s="42"/>
      <c r="LFD4" s="42"/>
      <c r="LFE4" s="42"/>
      <c r="LFF4" s="42"/>
      <c r="LFG4" s="42"/>
      <c r="LFH4" s="42"/>
      <c r="LFI4" s="42"/>
      <c r="LFJ4" s="42"/>
      <c r="LFK4" s="42"/>
      <c r="LFL4" s="42"/>
      <c r="LFM4" s="42"/>
      <c r="LFN4" s="42"/>
      <c r="LFO4" s="42"/>
      <c r="LFP4" s="42"/>
      <c r="LFQ4" s="42"/>
      <c r="LFR4" s="42"/>
      <c r="LFS4" s="42"/>
      <c r="LFT4" s="42"/>
      <c r="LFU4" s="42"/>
      <c r="LFV4" s="42"/>
      <c r="LFW4" s="42"/>
      <c r="LFX4" s="42"/>
      <c r="LFY4" s="42"/>
      <c r="LFZ4" s="42"/>
      <c r="LGA4" s="42"/>
      <c r="LGB4" s="42"/>
      <c r="LGC4" s="42"/>
      <c r="LGD4" s="42"/>
      <c r="LGE4" s="42"/>
      <c r="LGF4" s="42"/>
      <c r="LGG4" s="42"/>
      <c r="LGH4" s="42"/>
      <c r="LGI4" s="42"/>
      <c r="LGJ4" s="42"/>
      <c r="LGK4" s="42"/>
      <c r="LGL4" s="42"/>
      <c r="LGM4" s="42"/>
      <c r="LGN4" s="42"/>
      <c r="LGO4" s="42"/>
      <c r="LGP4" s="42"/>
      <c r="LGQ4" s="42"/>
      <c r="LGR4" s="42"/>
      <c r="LGS4" s="42"/>
      <c r="LGT4" s="42"/>
      <c r="LGU4" s="42"/>
      <c r="LGV4" s="42"/>
      <c r="LGW4" s="42"/>
      <c r="LGX4" s="42"/>
      <c r="LGY4" s="42"/>
      <c r="LGZ4" s="42"/>
      <c r="LHA4" s="42"/>
      <c r="LHB4" s="42"/>
      <c r="LHC4" s="42"/>
      <c r="LHD4" s="42"/>
      <c r="LHE4" s="42"/>
      <c r="LHF4" s="42"/>
      <c r="LHG4" s="42"/>
      <c r="LHH4" s="42"/>
      <c r="LHI4" s="42"/>
      <c r="LHJ4" s="42"/>
      <c r="LHK4" s="42"/>
      <c r="LHL4" s="42"/>
      <c r="LHM4" s="42"/>
      <c r="LHN4" s="42"/>
      <c r="LHO4" s="42"/>
      <c r="LHP4" s="42"/>
      <c r="LHQ4" s="42"/>
      <c r="LHR4" s="42"/>
      <c r="LHS4" s="42"/>
      <c r="LHT4" s="42"/>
      <c r="LHU4" s="42"/>
      <c r="LHV4" s="42"/>
      <c r="LHW4" s="42"/>
      <c r="LHX4" s="42"/>
      <c r="LHY4" s="42"/>
      <c r="LHZ4" s="42"/>
      <c r="LIA4" s="42"/>
      <c r="LIB4" s="42"/>
      <c r="LIC4" s="42"/>
      <c r="LID4" s="42"/>
      <c r="LIE4" s="42"/>
      <c r="LIF4" s="42"/>
      <c r="LIG4" s="42"/>
      <c r="LIH4" s="42"/>
      <c r="LII4" s="42"/>
      <c r="LIJ4" s="42"/>
      <c r="LIK4" s="42"/>
      <c r="LIL4" s="42"/>
      <c r="LIM4" s="42"/>
      <c r="LIN4" s="42"/>
      <c r="LIO4" s="42"/>
      <c r="LIP4" s="42"/>
      <c r="LIQ4" s="42"/>
      <c r="LIR4" s="42"/>
      <c r="LIS4" s="42"/>
      <c r="LIT4" s="42"/>
      <c r="LIU4" s="42"/>
      <c r="LIV4" s="42"/>
      <c r="LIW4" s="42"/>
      <c r="LIX4" s="42"/>
      <c r="LIY4" s="42"/>
      <c r="LIZ4" s="42"/>
      <c r="LJA4" s="42"/>
      <c r="LJB4" s="42"/>
      <c r="LJC4" s="42"/>
      <c r="LJD4" s="42"/>
      <c r="LJE4" s="42"/>
      <c r="LJF4" s="42"/>
      <c r="LJG4" s="42"/>
      <c r="LJH4" s="42"/>
      <c r="LJI4" s="42"/>
      <c r="LJJ4" s="42"/>
      <c r="LJK4" s="42"/>
      <c r="LJL4" s="42"/>
      <c r="LJM4" s="42"/>
      <c r="LJN4" s="42"/>
      <c r="LJO4" s="42"/>
      <c r="LJP4" s="42"/>
      <c r="LJQ4" s="42"/>
      <c r="LJR4" s="42"/>
      <c r="LJS4" s="42"/>
      <c r="LJT4" s="42"/>
      <c r="LJU4" s="42"/>
      <c r="LJV4" s="42"/>
      <c r="LJW4" s="42"/>
      <c r="LJX4" s="42"/>
      <c r="LJY4" s="42"/>
      <c r="LJZ4" s="42"/>
      <c r="LKA4" s="42"/>
      <c r="LKB4" s="42"/>
      <c r="LKC4" s="42"/>
      <c r="LKD4" s="42"/>
      <c r="LKE4" s="42"/>
      <c r="LKF4" s="42"/>
      <c r="LKG4" s="42"/>
      <c r="LKH4" s="42"/>
      <c r="LKI4" s="42"/>
      <c r="LKJ4" s="42"/>
      <c r="LKK4" s="42"/>
      <c r="LKL4" s="42"/>
      <c r="LKM4" s="42"/>
      <c r="LKN4" s="42"/>
      <c r="LKO4" s="42"/>
      <c r="LKP4" s="42"/>
      <c r="LKQ4" s="42"/>
      <c r="LKR4" s="42"/>
      <c r="LKS4" s="42"/>
      <c r="LKT4" s="42"/>
      <c r="LKU4" s="42"/>
      <c r="LKV4" s="42"/>
      <c r="LKW4" s="42"/>
      <c r="LKX4" s="42"/>
      <c r="LKY4" s="42"/>
      <c r="LKZ4" s="42"/>
      <c r="LLA4" s="42"/>
      <c r="LLB4" s="42"/>
      <c r="LLC4" s="42"/>
      <c r="LLD4" s="42"/>
      <c r="LLE4" s="42"/>
      <c r="LLF4" s="42"/>
      <c r="LLG4" s="42"/>
      <c r="LLH4" s="42"/>
      <c r="LLI4" s="42"/>
      <c r="LLJ4" s="42"/>
      <c r="LLK4" s="42"/>
      <c r="LLL4" s="42"/>
      <c r="LLM4" s="42"/>
      <c r="LLN4" s="42"/>
      <c r="LLO4" s="42"/>
      <c r="LLP4" s="42"/>
      <c r="LLQ4" s="42"/>
      <c r="LLR4" s="42"/>
      <c r="LLS4" s="42"/>
      <c r="LLT4" s="42"/>
      <c r="LLU4" s="42"/>
      <c r="LLV4" s="42"/>
      <c r="LLW4" s="42"/>
      <c r="LLX4" s="42"/>
      <c r="LLY4" s="42"/>
      <c r="LLZ4" s="42"/>
      <c r="LMA4" s="42"/>
      <c r="LMB4" s="42"/>
      <c r="LMC4" s="42"/>
      <c r="LMD4" s="42"/>
      <c r="LME4" s="42"/>
      <c r="LMF4" s="42"/>
      <c r="LMG4" s="42"/>
      <c r="LMH4" s="42"/>
      <c r="LMI4" s="42"/>
      <c r="LMJ4" s="42"/>
      <c r="LMK4" s="42"/>
      <c r="LML4" s="42"/>
      <c r="LMM4" s="42"/>
      <c r="LMN4" s="42"/>
      <c r="LMO4" s="42"/>
      <c r="LMP4" s="42"/>
      <c r="LMQ4" s="42"/>
      <c r="LMR4" s="42"/>
      <c r="LMS4" s="42"/>
      <c r="LMT4" s="42"/>
      <c r="LMU4" s="42"/>
      <c r="LMV4" s="42"/>
      <c r="LMW4" s="42"/>
      <c r="LMX4" s="42"/>
      <c r="LMY4" s="42"/>
      <c r="LMZ4" s="42"/>
      <c r="LNA4" s="42"/>
      <c r="LNB4" s="42"/>
      <c r="LNC4" s="42"/>
      <c r="LND4" s="42"/>
      <c r="LNE4" s="42"/>
      <c r="LNF4" s="42"/>
      <c r="LNG4" s="42"/>
      <c r="LNH4" s="42"/>
      <c r="LNI4" s="42"/>
      <c r="LNJ4" s="42"/>
      <c r="LNK4" s="42"/>
      <c r="LNL4" s="42"/>
      <c r="LNM4" s="42"/>
      <c r="LNN4" s="42"/>
      <c r="LNO4" s="42"/>
      <c r="LNP4" s="42"/>
      <c r="LNQ4" s="42"/>
      <c r="LNR4" s="42"/>
      <c r="LNS4" s="42"/>
      <c r="LNT4" s="42"/>
      <c r="LNU4" s="42"/>
      <c r="LNV4" s="42"/>
      <c r="LNW4" s="42"/>
      <c r="LNX4" s="42"/>
      <c r="LNY4" s="42"/>
      <c r="LNZ4" s="42"/>
      <c r="LOA4" s="42"/>
      <c r="LOB4" s="42"/>
      <c r="LOC4" s="42"/>
      <c r="LOD4" s="42"/>
      <c r="LOE4" s="42"/>
      <c r="LOF4" s="42"/>
      <c r="LOG4" s="42"/>
      <c r="LOH4" s="42"/>
      <c r="LOI4" s="42"/>
      <c r="LOJ4" s="42"/>
      <c r="LOK4" s="42"/>
      <c r="LOL4" s="42"/>
      <c r="LOM4" s="42"/>
      <c r="LON4" s="42"/>
      <c r="LOO4" s="42"/>
      <c r="LOP4" s="42"/>
      <c r="LOQ4" s="42"/>
      <c r="LOR4" s="42"/>
      <c r="LOS4" s="42"/>
      <c r="LOT4" s="42"/>
      <c r="LOU4" s="42"/>
      <c r="LOV4" s="42"/>
      <c r="LOW4" s="42"/>
      <c r="LOX4" s="42"/>
      <c r="LOY4" s="42"/>
      <c r="LOZ4" s="42"/>
      <c r="LPA4" s="42"/>
      <c r="LPB4" s="42"/>
      <c r="LPC4" s="42"/>
      <c r="LPD4" s="42"/>
      <c r="LPE4" s="42"/>
      <c r="LPF4" s="42"/>
      <c r="LPG4" s="42"/>
      <c r="LPH4" s="42"/>
      <c r="LPI4" s="42"/>
      <c r="LPJ4" s="42"/>
      <c r="LPK4" s="42"/>
      <c r="LPL4" s="42"/>
      <c r="LPM4" s="42"/>
      <c r="LPN4" s="42"/>
      <c r="LPO4" s="42"/>
      <c r="LPP4" s="42"/>
      <c r="LPQ4" s="42"/>
      <c r="LPR4" s="42"/>
      <c r="LPS4" s="42"/>
      <c r="LPT4" s="42"/>
      <c r="LPU4" s="42"/>
      <c r="LPV4" s="42"/>
      <c r="LPW4" s="42"/>
      <c r="LPX4" s="42"/>
      <c r="LPY4" s="42"/>
      <c r="LPZ4" s="42"/>
      <c r="LQA4" s="42"/>
      <c r="LQB4" s="42"/>
      <c r="LQC4" s="42"/>
      <c r="LQD4" s="42"/>
      <c r="LQE4" s="42"/>
      <c r="LQF4" s="42"/>
      <c r="LQG4" s="42"/>
      <c r="LQH4" s="42"/>
      <c r="LQI4" s="42"/>
      <c r="LQJ4" s="42"/>
      <c r="LQK4" s="42"/>
      <c r="LQL4" s="42"/>
      <c r="LQM4" s="42"/>
      <c r="LQN4" s="42"/>
      <c r="LQO4" s="42"/>
      <c r="LQP4" s="42"/>
      <c r="LQQ4" s="42"/>
      <c r="LQR4" s="42"/>
      <c r="LQS4" s="42"/>
      <c r="LQT4" s="42"/>
      <c r="LQU4" s="42"/>
      <c r="LQV4" s="42"/>
      <c r="LQW4" s="42"/>
      <c r="LQX4" s="42"/>
      <c r="LQY4" s="42"/>
      <c r="LQZ4" s="42"/>
      <c r="LRA4" s="42"/>
      <c r="LRB4" s="42"/>
      <c r="LRC4" s="42"/>
      <c r="LRD4" s="42"/>
      <c r="LRE4" s="42"/>
      <c r="LRF4" s="42"/>
      <c r="LRG4" s="42"/>
      <c r="LRH4" s="42"/>
      <c r="LRI4" s="42"/>
      <c r="LRJ4" s="42"/>
      <c r="LRK4" s="42"/>
      <c r="LRL4" s="42"/>
      <c r="LRM4" s="42"/>
      <c r="LRN4" s="42"/>
      <c r="LRO4" s="42"/>
      <c r="LRP4" s="42"/>
      <c r="LRQ4" s="42"/>
      <c r="LRR4" s="42"/>
      <c r="LRS4" s="42"/>
      <c r="LRT4" s="42"/>
      <c r="LRU4" s="42"/>
      <c r="LRV4" s="42"/>
      <c r="LRW4" s="42"/>
      <c r="LRX4" s="42"/>
      <c r="LRY4" s="42"/>
      <c r="LRZ4" s="42"/>
      <c r="LSA4" s="42"/>
      <c r="LSB4" s="42"/>
      <c r="LSC4" s="42"/>
      <c r="LSD4" s="42"/>
      <c r="LSE4" s="42"/>
      <c r="LSF4" s="42"/>
      <c r="LSG4" s="42"/>
      <c r="LSH4" s="42"/>
      <c r="LSI4" s="42"/>
      <c r="LSJ4" s="42"/>
      <c r="LSK4" s="42"/>
      <c r="LSL4" s="42"/>
      <c r="LSM4" s="42"/>
      <c r="LSN4" s="42"/>
      <c r="LSO4" s="42"/>
      <c r="LSP4" s="42"/>
      <c r="LSQ4" s="42"/>
      <c r="LSR4" s="42"/>
      <c r="LSS4" s="42"/>
      <c r="LST4" s="42"/>
      <c r="LSU4" s="42"/>
      <c r="LSV4" s="42"/>
      <c r="LSW4" s="42"/>
      <c r="LSX4" s="42"/>
      <c r="LSY4" s="42"/>
      <c r="LSZ4" s="42"/>
      <c r="LTA4" s="42"/>
      <c r="LTB4" s="42"/>
      <c r="LTC4" s="42"/>
      <c r="LTD4" s="42"/>
      <c r="LTE4" s="42"/>
      <c r="LTF4" s="42"/>
      <c r="LTG4" s="42"/>
      <c r="LTH4" s="42"/>
      <c r="LTI4" s="42"/>
      <c r="LTJ4" s="42"/>
      <c r="LTK4" s="42"/>
      <c r="LTL4" s="42"/>
      <c r="LTM4" s="42"/>
      <c r="LTN4" s="42"/>
      <c r="LTO4" s="42"/>
      <c r="LTP4" s="42"/>
      <c r="LTQ4" s="42"/>
      <c r="LTR4" s="42"/>
      <c r="LTS4" s="42"/>
      <c r="LTT4" s="42"/>
      <c r="LTU4" s="42"/>
      <c r="LTV4" s="42"/>
      <c r="LTW4" s="42"/>
      <c r="LTX4" s="42"/>
      <c r="LTY4" s="42"/>
      <c r="LTZ4" s="42"/>
      <c r="LUA4" s="42"/>
      <c r="LUB4" s="42"/>
      <c r="LUC4" s="42"/>
      <c r="LUD4" s="42"/>
      <c r="LUE4" s="42"/>
      <c r="LUF4" s="42"/>
      <c r="LUG4" s="42"/>
      <c r="LUH4" s="42"/>
      <c r="LUI4" s="42"/>
      <c r="LUJ4" s="42"/>
      <c r="LUK4" s="42"/>
      <c r="LUL4" s="42"/>
      <c r="LUM4" s="42"/>
      <c r="LUN4" s="42"/>
      <c r="LUO4" s="42"/>
      <c r="LUP4" s="42"/>
      <c r="LUQ4" s="42"/>
      <c r="LUR4" s="42"/>
      <c r="LUS4" s="42"/>
      <c r="LUT4" s="42"/>
      <c r="LUU4" s="42"/>
      <c r="LUV4" s="42"/>
      <c r="LUW4" s="42"/>
      <c r="LUX4" s="42"/>
      <c r="LUY4" s="42"/>
      <c r="LUZ4" s="42"/>
      <c r="LVA4" s="42"/>
      <c r="LVB4" s="42"/>
      <c r="LVC4" s="42"/>
      <c r="LVD4" s="42"/>
      <c r="LVE4" s="42"/>
      <c r="LVF4" s="42"/>
      <c r="LVG4" s="42"/>
      <c r="LVH4" s="42"/>
      <c r="LVI4" s="42"/>
      <c r="LVJ4" s="42"/>
      <c r="LVK4" s="42"/>
      <c r="LVL4" s="42"/>
      <c r="LVM4" s="42"/>
      <c r="LVN4" s="42"/>
      <c r="LVO4" s="42"/>
      <c r="LVP4" s="42"/>
      <c r="LVQ4" s="42"/>
      <c r="LVR4" s="42"/>
      <c r="LVS4" s="42"/>
      <c r="LVT4" s="42"/>
      <c r="LVU4" s="42"/>
      <c r="LVV4" s="42"/>
      <c r="LVW4" s="42"/>
      <c r="LVX4" s="42"/>
      <c r="LVY4" s="42"/>
      <c r="LVZ4" s="42"/>
      <c r="LWA4" s="42"/>
      <c r="LWB4" s="42"/>
      <c r="LWC4" s="42"/>
      <c r="LWD4" s="42"/>
      <c r="LWE4" s="42"/>
      <c r="LWF4" s="42"/>
      <c r="LWG4" s="42"/>
      <c r="LWH4" s="42"/>
      <c r="LWI4" s="42"/>
      <c r="LWJ4" s="42"/>
      <c r="LWK4" s="42"/>
      <c r="LWL4" s="42"/>
      <c r="LWM4" s="42"/>
      <c r="LWN4" s="42"/>
      <c r="LWO4" s="42"/>
      <c r="LWP4" s="42"/>
      <c r="LWQ4" s="42"/>
      <c r="LWR4" s="42"/>
      <c r="LWS4" s="42"/>
      <c r="LWT4" s="42"/>
      <c r="LWU4" s="42"/>
      <c r="LWV4" s="42"/>
      <c r="LWW4" s="42"/>
      <c r="LWX4" s="42"/>
      <c r="LWY4" s="42"/>
      <c r="LWZ4" s="42"/>
      <c r="LXA4" s="42"/>
      <c r="LXB4" s="42"/>
      <c r="LXC4" s="42"/>
      <c r="LXD4" s="42"/>
      <c r="LXE4" s="42"/>
      <c r="LXF4" s="42"/>
      <c r="LXG4" s="42"/>
      <c r="LXH4" s="42"/>
      <c r="LXI4" s="42"/>
      <c r="LXJ4" s="42"/>
      <c r="LXK4" s="42"/>
      <c r="LXL4" s="42"/>
      <c r="LXM4" s="42"/>
      <c r="LXN4" s="42"/>
      <c r="LXO4" s="42"/>
      <c r="LXP4" s="42"/>
      <c r="LXQ4" s="42"/>
      <c r="LXR4" s="42"/>
      <c r="LXS4" s="42"/>
      <c r="LXT4" s="42"/>
      <c r="LXU4" s="42"/>
      <c r="LXV4" s="42"/>
      <c r="LXW4" s="42"/>
      <c r="LXX4" s="42"/>
      <c r="LXY4" s="42"/>
      <c r="LXZ4" s="42"/>
      <c r="LYA4" s="42"/>
      <c r="LYB4" s="42"/>
      <c r="LYC4" s="42"/>
      <c r="LYD4" s="42"/>
      <c r="LYE4" s="42"/>
      <c r="LYF4" s="42"/>
      <c r="LYG4" s="42"/>
      <c r="LYH4" s="42"/>
      <c r="LYI4" s="42"/>
      <c r="LYJ4" s="42"/>
      <c r="LYK4" s="42"/>
      <c r="LYL4" s="42"/>
      <c r="LYM4" s="42"/>
      <c r="LYN4" s="42"/>
      <c r="LYO4" s="42"/>
      <c r="LYP4" s="42"/>
      <c r="LYQ4" s="42"/>
      <c r="LYR4" s="42"/>
      <c r="LYS4" s="42"/>
      <c r="LYT4" s="42"/>
      <c r="LYU4" s="42"/>
      <c r="LYV4" s="42"/>
      <c r="LYW4" s="42"/>
      <c r="LYX4" s="42"/>
      <c r="LYY4" s="42"/>
      <c r="LYZ4" s="42"/>
      <c r="LZA4" s="42"/>
      <c r="LZB4" s="42"/>
      <c r="LZC4" s="42"/>
      <c r="LZD4" s="42"/>
      <c r="LZE4" s="42"/>
      <c r="LZF4" s="42"/>
      <c r="LZG4" s="42"/>
      <c r="LZH4" s="42"/>
      <c r="LZI4" s="42"/>
      <c r="LZJ4" s="42"/>
      <c r="LZK4" s="42"/>
      <c r="LZL4" s="42"/>
      <c r="LZM4" s="42"/>
      <c r="LZN4" s="42"/>
      <c r="LZO4" s="42"/>
      <c r="LZP4" s="42"/>
      <c r="LZQ4" s="42"/>
      <c r="LZR4" s="42"/>
      <c r="LZS4" s="42"/>
      <c r="LZT4" s="42"/>
      <c r="LZU4" s="42"/>
      <c r="LZV4" s="42"/>
      <c r="LZW4" s="42"/>
      <c r="LZX4" s="42"/>
      <c r="LZY4" s="42"/>
      <c r="LZZ4" s="42"/>
      <c r="MAA4" s="42"/>
      <c r="MAB4" s="42"/>
      <c r="MAC4" s="42"/>
      <c r="MAD4" s="42"/>
      <c r="MAE4" s="42"/>
      <c r="MAF4" s="42"/>
      <c r="MAG4" s="42"/>
      <c r="MAH4" s="42"/>
      <c r="MAI4" s="42"/>
      <c r="MAJ4" s="42"/>
      <c r="MAK4" s="42"/>
      <c r="MAL4" s="42"/>
      <c r="MAM4" s="42"/>
      <c r="MAN4" s="42"/>
      <c r="MAO4" s="42"/>
      <c r="MAP4" s="42"/>
      <c r="MAQ4" s="42"/>
      <c r="MAR4" s="42"/>
      <c r="MAS4" s="42"/>
      <c r="MAT4" s="42"/>
      <c r="MAU4" s="42"/>
      <c r="MAV4" s="42"/>
      <c r="MAW4" s="42"/>
      <c r="MAX4" s="42"/>
      <c r="MAY4" s="42"/>
      <c r="MAZ4" s="42"/>
      <c r="MBA4" s="42"/>
      <c r="MBB4" s="42"/>
      <c r="MBC4" s="42"/>
      <c r="MBD4" s="42"/>
      <c r="MBE4" s="42"/>
      <c r="MBF4" s="42"/>
      <c r="MBG4" s="42"/>
      <c r="MBH4" s="42"/>
      <c r="MBI4" s="42"/>
      <c r="MBJ4" s="42"/>
      <c r="MBK4" s="42"/>
      <c r="MBL4" s="42"/>
      <c r="MBM4" s="42"/>
      <c r="MBN4" s="42"/>
      <c r="MBO4" s="42"/>
      <c r="MBP4" s="42"/>
      <c r="MBQ4" s="42"/>
      <c r="MBR4" s="42"/>
      <c r="MBS4" s="42"/>
      <c r="MBT4" s="42"/>
      <c r="MBU4" s="42"/>
      <c r="MBV4" s="42"/>
      <c r="MBW4" s="42"/>
      <c r="MBX4" s="42"/>
      <c r="MBY4" s="42"/>
      <c r="MBZ4" s="42"/>
      <c r="MCA4" s="42"/>
      <c r="MCB4" s="42"/>
      <c r="MCC4" s="42"/>
      <c r="MCD4" s="42"/>
      <c r="MCE4" s="42"/>
      <c r="MCF4" s="42"/>
      <c r="MCG4" s="42"/>
      <c r="MCH4" s="42"/>
      <c r="MCI4" s="42"/>
      <c r="MCJ4" s="42"/>
      <c r="MCK4" s="42"/>
      <c r="MCL4" s="42"/>
      <c r="MCM4" s="42"/>
      <c r="MCN4" s="42"/>
      <c r="MCO4" s="42"/>
      <c r="MCP4" s="42"/>
      <c r="MCQ4" s="42"/>
      <c r="MCR4" s="42"/>
      <c r="MCS4" s="42"/>
      <c r="MCT4" s="42"/>
      <c r="MCU4" s="42"/>
      <c r="MCV4" s="42"/>
      <c r="MCW4" s="42"/>
      <c r="MCX4" s="42"/>
      <c r="MCY4" s="42"/>
      <c r="MCZ4" s="42"/>
      <c r="MDA4" s="42"/>
      <c r="MDB4" s="42"/>
      <c r="MDC4" s="42"/>
      <c r="MDD4" s="42"/>
      <c r="MDE4" s="42"/>
      <c r="MDF4" s="42"/>
      <c r="MDG4" s="42"/>
      <c r="MDH4" s="42"/>
      <c r="MDI4" s="42"/>
      <c r="MDJ4" s="42"/>
      <c r="MDK4" s="42"/>
      <c r="MDL4" s="42"/>
      <c r="MDM4" s="42"/>
      <c r="MDN4" s="42"/>
      <c r="MDO4" s="42"/>
      <c r="MDP4" s="42"/>
      <c r="MDQ4" s="42"/>
      <c r="MDR4" s="42"/>
      <c r="MDS4" s="42"/>
      <c r="MDT4" s="42"/>
      <c r="MDU4" s="42"/>
      <c r="MDV4" s="42"/>
      <c r="MDW4" s="42"/>
      <c r="MDX4" s="42"/>
      <c r="MDY4" s="42"/>
      <c r="MDZ4" s="42"/>
      <c r="MEA4" s="42"/>
      <c r="MEB4" s="42"/>
      <c r="MEC4" s="42"/>
      <c r="MED4" s="42"/>
      <c r="MEE4" s="42"/>
      <c r="MEF4" s="42"/>
      <c r="MEG4" s="42"/>
      <c r="MEH4" s="42"/>
      <c r="MEI4" s="42"/>
      <c r="MEJ4" s="42"/>
      <c r="MEK4" s="42"/>
      <c r="MEL4" s="42"/>
      <c r="MEM4" s="42"/>
      <c r="MEN4" s="42"/>
      <c r="MEO4" s="42"/>
      <c r="MEP4" s="42"/>
      <c r="MEQ4" s="42"/>
      <c r="MER4" s="42"/>
      <c r="MES4" s="42"/>
      <c r="MET4" s="42"/>
      <c r="MEU4" s="42"/>
      <c r="MEV4" s="42"/>
      <c r="MEW4" s="42"/>
      <c r="MEX4" s="42"/>
      <c r="MEY4" s="42"/>
      <c r="MEZ4" s="42"/>
      <c r="MFA4" s="42"/>
      <c r="MFB4" s="42"/>
      <c r="MFC4" s="42"/>
      <c r="MFD4" s="42"/>
      <c r="MFE4" s="42"/>
      <c r="MFF4" s="42"/>
      <c r="MFG4" s="42"/>
      <c r="MFH4" s="42"/>
      <c r="MFI4" s="42"/>
      <c r="MFJ4" s="42"/>
      <c r="MFK4" s="42"/>
      <c r="MFL4" s="42"/>
      <c r="MFM4" s="42"/>
      <c r="MFN4" s="42"/>
      <c r="MFO4" s="42"/>
      <c r="MFP4" s="42"/>
      <c r="MFQ4" s="42"/>
      <c r="MFR4" s="42"/>
      <c r="MFS4" s="42"/>
      <c r="MFT4" s="42"/>
      <c r="MFU4" s="42"/>
      <c r="MFV4" s="42"/>
      <c r="MFW4" s="42"/>
      <c r="MFX4" s="42"/>
      <c r="MFY4" s="42"/>
      <c r="MFZ4" s="42"/>
      <c r="MGA4" s="42"/>
      <c r="MGB4" s="42"/>
      <c r="MGC4" s="42"/>
      <c r="MGD4" s="42"/>
      <c r="MGE4" s="42"/>
      <c r="MGF4" s="42"/>
      <c r="MGG4" s="42"/>
      <c r="MGH4" s="42"/>
      <c r="MGI4" s="42"/>
      <c r="MGJ4" s="42"/>
      <c r="MGK4" s="42"/>
      <c r="MGL4" s="42"/>
      <c r="MGM4" s="42"/>
      <c r="MGN4" s="42"/>
      <c r="MGO4" s="42"/>
      <c r="MGP4" s="42"/>
      <c r="MGQ4" s="42"/>
      <c r="MGR4" s="42"/>
      <c r="MGS4" s="42"/>
      <c r="MGT4" s="42"/>
      <c r="MGU4" s="42"/>
      <c r="MGV4" s="42"/>
      <c r="MGW4" s="42"/>
      <c r="MGX4" s="42"/>
      <c r="MGY4" s="42"/>
      <c r="MGZ4" s="42"/>
      <c r="MHA4" s="42"/>
      <c r="MHB4" s="42"/>
      <c r="MHC4" s="42"/>
      <c r="MHD4" s="42"/>
      <c r="MHE4" s="42"/>
      <c r="MHF4" s="42"/>
      <c r="MHG4" s="42"/>
      <c r="MHH4" s="42"/>
      <c r="MHI4" s="42"/>
      <c r="MHJ4" s="42"/>
      <c r="MHK4" s="42"/>
      <c r="MHL4" s="42"/>
      <c r="MHM4" s="42"/>
      <c r="MHN4" s="42"/>
      <c r="MHO4" s="42"/>
      <c r="MHP4" s="42"/>
      <c r="MHQ4" s="42"/>
      <c r="MHR4" s="42"/>
      <c r="MHS4" s="42"/>
      <c r="MHT4" s="42"/>
      <c r="MHU4" s="42"/>
      <c r="MHV4" s="42"/>
      <c r="MHW4" s="42"/>
      <c r="MHX4" s="42"/>
      <c r="MHY4" s="42"/>
      <c r="MHZ4" s="42"/>
      <c r="MIA4" s="42"/>
      <c r="MIB4" s="42"/>
      <c r="MIC4" s="42"/>
      <c r="MID4" s="42"/>
      <c r="MIE4" s="42"/>
      <c r="MIF4" s="42"/>
      <c r="MIG4" s="42"/>
      <c r="MIH4" s="42"/>
      <c r="MII4" s="42"/>
      <c r="MIJ4" s="42"/>
      <c r="MIK4" s="42"/>
      <c r="MIL4" s="42"/>
      <c r="MIM4" s="42"/>
      <c r="MIN4" s="42"/>
      <c r="MIO4" s="42"/>
      <c r="MIP4" s="42"/>
      <c r="MIQ4" s="42"/>
      <c r="MIR4" s="42"/>
      <c r="MIS4" s="42"/>
      <c r="MIT4" s="42"/>
      <c r="MIU4" s="42"/>
      <c r="MIV4" s="42"/>
      <c r="MIW4" s="42"/>
      <c r="MIX4" s="42"/>
      <c r="MIY4" s="42"/>
      <c r="MIZ4" s="42"/>
      <c r="MJA4" s="42"/>
      <c r="MJB4" s="42"/>
      <c r="MJC4" s="42"/>
      <c r="MJD4" s="42"/>
      <c r="MJE4" s="42"/>
      <c r="MJF4" s="42"/>
      <c r="MJG4" s="42"/>
      <c r="MJH4" s="42"/>
      <c r="MJI4" s="42"/>
      <c r="MJJ4" s="42"/>
      <c r="MJK4" s="42"/>
      <c r="MJL4" s="42"/>
      <c r="MJM4" s="42"/>
      <c r="MJN4" s="42"/>
      <c r="MJO4" s="42"/>
      <c r="MJP4" s="42"/>
      <c r="MJQ4" s="42"/>
      <c r="MJR4" s="42"/>
      <c r="MJS4" s="42"/>
      <c r="MJT4" s="42"/>
      <c r="MJU4" s="42"/>
      <c r="MJV4" s="42"/>
      <c r="MJW4" s="42"/>
      <c r="MJX4" s="42"/>
      <c r="MJY4" s="42"/>
      <c r="MJZ4" s="42"/>
      <c r="MKA4" s="42"/>
      <c r="MKB4" s="42"/>
      <c r="MKC4" s="42"/>
      <c r="MKD4" s="42"/>
      <c r="MKE4" s="42"/>
      <c r="MKF4" s="42"/>
      <c r="MKG4" s="42"/>
      <c r="MKH4" s="42"/>
      <c r="MKI4" s="42"/>
      <c r="MKJ4" s="42"/>
      <c r="MKK4" s="42"/>
      <c r="MKL4" s="42"/>
      <c r="MKM4" s="42"/>
      <c r="MKN4" s="42"/>
      <c r="MKO4" s="42"/>
      <c r="MKP4" s="42"/>
      <c r="MKQ4" s="42"/>
      <c r="MKR4" s="42"/>
      <c r="MKS4" s="42"/>
      <c r="MKT4" s="42"/>
      <c r="MKU4" s="42"/>
      <c r="MKV4" s="42"/>
      <c r="MKW4" s="42"/>
      <c r="MKX4" s="42"/>
      <c r="MKY4" s="42"/>
      <c r="MKZ4" s="42"/>
      <c r="MLA4" s="42"/>
      <c r="MLB4" s="42"/>
      <c r="MLC4" s="42"/>
      <c r="MLD4" s="42"/>
      <c r="MLE4" s="42"/>
      <c r="MLF4" s="42"/>
      <c r="MLG4" s="42"/>
      <c r="MLH4" s="42"/>
      <c r="MLI4" s="42"/>
      <c r="MLJ4" s="42"/>
      <c r="MLK4" s="42"/>
      <c r="MLL4" s="42"/>
      <c r="MLM4" s="42"/>
      <c r="MLN4" s="42"/>
      <c r="MLO4" s="42"/>
      <c r="MLP4" s="42"/>
      <c r="MLQ4" s="42"/>
      <c r="MLR4" s="42"/>
      <c r="MLS4" s="42"/>
      <c r="MLT4" s="42"/>
      <c r="MLU4" s="42"/>
      <c r="MLV4" s="42"/>
      <c r="MLW4" s="42"/>
      <c r="MLX4" s="42"/>
      <c r="MLY4" s="42"/>
      <c r="MLZ4" s="42"/>
      <c r="MMA4" s="42"/>
      <c r="MMB4" s="42"/>
      <c r="MMC4" s="42"/>
      <c r="MMD4" s="42"/>
      <c r="MME4" s="42"/>
      <c r="MMF4" s="42"/>
      <c r="MMG4" s="42"/>
      <c r="MMH4" s="42"/>
      <c r="MMI4" s="42"/>
      <c r="MMJ4" s="42"/>
      <c r="MMK4" s="42"/>
      <c r="MML4" s="42"/>
      <c r="MMM4" s="42"/>
      <c r="MMN4" s="42"/>
      <c r="MMO4" s="42"/>
      <c r="MMP4" s="42"/>
      <c r="MMQ4" s="42"/>
      <c r="MMR4" s="42"/>
      <c r="MMS4" s="42"/>
      <c r="MMT4" s="42"/>
      <c r="MMU4" s="42"/>
      <c r="MMV4" s="42"/>
      <c r="MMW4" s="42"/>
      <c r="MMX4" s="42"/>
      <c r="MMY4" s="42"/>
      <c r="MMZ4" s="42"/>
      <c r="MNA4" s="42"/>
      <c r="MNB4" s="42"/>
      <c r="MNC4" s="42"/>
      <c r="MND4" s="42"/>
      <c r="MNE4" s="42"/>
      <c r="MNF4" s="42"/>
      <c r="MNG4" s="42"/>
      <c r="MNH4" s="42"/>
      <c r="MNI4" s="42"/>
      <c r="MNJ4" s="42"/>
      <c r="MNK4" s="42"/>
      <c r="MNL4" s="42"/>
      <c r="MNM4" s="42"/>
      <c r="MNN4" s="42"/>
      <c r="MNO4" s="42"/>
      <c r="MNP4" s="42"/>
      <c r="MNQ4" s="42"/>
      <c r="MNR4" s="42"/>
      <c r="MNS4" s="42"/>
      <c r="MNT4" s="42"/>
      <c r="MNU4" s="42"/>
      <c r="MNV4" s="42"/>
      <c r="MNW4" s="42"/>
      <c r="MNX4" s="42"/>
      <c r="MNY4" s="42"/>
      <c r="MNZ4" s="42"/>
      <c r="MOA4" s="42"/>
      <c r="MOB4" s="42"/>
      <c r="MOC4" s="42"/>
      <c r="MOD4" s="42"/>
      <c r="MOE4" s="42"/>
      <c r="MOF4" s="42"/>
      <c r="MOG4" s="42"/>
      <c r="MOH4" s="42"/>
      <c r="MOI4" s="42"/>
      <c r="MOJ4" s="42"/>
      <c r="MOK4" s="42"/>
      <c r="MOL4" s="42"/>
      <c r="MOM4" s="42"/>
      <c r="MON4" s="42"/>
      <c r="MOO4" s="42"/>
      <c r="MOP4" s="42"/>
      <c r="MOQ4" s="42"/>
      <c r="MOR4" s="42"/>
      <c r="MOS4" s="42"/>
      <c r="MOT4" s="42"/>
      <c r="MOU4" s="42"/>
      <c r="MOV4" s="42"/>
      <c r="MOW4" s="42"/>
      <c r="MOX4" s="42"/>
      <c r="MOY4" s="42"/>
      <c r="MOZ4" s="42"/>
      <c r="MPA4" s="42"/>
      <c r="MPB4" s="42"/>
      <c r="MPC4" s="42"/>
      <c r="MPD4" s="42"/>
      <c r="MPE4" s="42"/>
      <c r="MPF4" s="42"/>
      <c r="MPG4" s="42"/>
      <c r="MPH4" s="42"/>
      <c r="MPI4" s="42"/>
      <c r="MPJ4" s="42"/>
      <c r="MPK4" s="42"/>
      <c r="MPL4" s="42"/>
      <c r="MPM4" s="42"/>
      <c r="MPN4" s="42"/>
      <c r="MPO4" s="42"/>
      <c r="MPP4" s="42"/>
      <c r="MPQ4" s="42"/>
      <c r="MPR4" s="42"/>
      <c r="MPS4" s="42"/>
      <c r="MPT4" s="42"/>
      <c r="MPU4" s="42"/>
      <c r="MPV4" s="42"/>
      <c r="MPW4" s="42"/>
      <c r="MPX4" s="42"/>
      <c r="MPY4" s="42"/>
      <c r="MPZ4" s="42"/>
      <c r="MQA4" s="42"/>
      <c r="MQB4" s="42"/>
      <c r="MQC4" s="42"/>
      <c r="MQD4" s="42"/>
      <c r="MQE4" s="42"/>
      <c r="MQF4" s="42"/>
      <c r="MQG4" s="42"/>
      <c r="MQH4" s="42"/>
      <c r="MQI4" s="42"/>
      <c r="MQJ4" s="42"/>
      <c r="MQK4" s="42"/>
      <c r="MQL4" s="42"/>
      <c r="MQM4" s="42"/>
      <c r="MQN4" s="42"/>
      <c r="MQO4" s="42"/>
      <c r="MQP4" s="42"/>
      <c r="MQQ4" s="42"/>
      <c r="MQR4" s="42"/>
      <c r="MQS4" s="42"/>
      <c r="MQT4" s="42"/>
      <c r="MQU4" s="42"/>
      <c r="MQV4" s="42"/>
      <c r="MQW4" s="42"/>
      <c r="MQX4" s="42"/>
      <c r="MQY4" s="42"/>
      <c r="MQZ4" s="42"/>
      <c r="MRA4" s="42"/>
      <c r="MRB4" s="42"/>
      <c r="MRC4" s="42"/>
      <c r="MRD4" s="42"/>
      <c r="MRE4" s="42"/>
      <c r="MRF4" s="42"/>
      <c r="MRG4" s="42"/>
      <c r="MRH4" s="42"/>
      <c r="MRI4" s="42"/>
      <c r="MRJ4" s="42"/>
      <c r="MRK4" s="42"/>
      <c r="MRL4" s="42"/>
      <c r="MRM4" s="42"/>
      <c r="MRN4" s="42"/>
      <c r="MRO4" s="42"/>
      <c r="MRP4" s="42"/>
      <c r="MRQ4" s="42"/>
      <c r="MRR4" s="42"/>
      <c r="MRS4" s="42"/>
      <c r="MRT4" s="42"/>
      <c r="MRU4" s="42"/>
      <c r="MRV4" s="42"/>
      <c r="MRW4" s="42"/>
      <c r="MRX4" s="42"/>
      <c r="MRY4" s="42"/>
      <c r="MRZ4" s="42"/>
      <c r="MSA4" s="42"/>
      <c r="MSB4" s="42"/>
      <c r="MSC4" s="42"/>
      <c r="MSD4" s="42"/>
      <c r="MSE4" s="42"/>
      <c r="MSF4" s="42"/>
      <c r="MSG4" s="42"/>
      <c r="MSH4" s="42"/>
      <c r="MSI4" s="42"/>
      <c r="MSJ4" s="42"/>
      <c r="MSK4" s="42"/>
      <c r="MSL4" s="42"/>
      <c r="MSM4" s="42"/>
      <c r="MSN4" s="42"/>
      <c r="MSO4" s="42"/>
      <c r="MSP4" s="42"/>
      <c r="MSQ4" s="42"/>
      <c r="MSR4" s="42"/>
      <c r="MSS4" s="42"/>
      <c r="MST4" s="42"/>
      <c r="MSU4" s="42"/>
      <c r="MSV4" s="42"/>
      <c r="MSW4" s="42"/>
      <c r="MSX4" s="42"/>
      <c r="MSY4" s="42"/>
      <c r="MSZ4" s="42"/>
      <c r="MTA4" s="42"/>
      <c r="MTB4" s="42"/>
      <c r="MTC4" s="42"/>
      <c r="MTD4" s="42"/>
      <c r="MTE4" s="42"/>
      <c r="MTF4" s="42"/>
      <c r="MTG4" s="42"/>
      <c r="MTH4" s="42"/>
      <c r="MTI4" s="42"/>
      <c r="MTJ4" s="42"/>
      <c r="MTK4" s="42"/>
      <c r="MTL4" s="42"/>
      <c r="MTM4" s="42"/>
      <c r="MTN4" s="42"/>
      <c r="MTO4" s="42"/>
      <c r="MTP4" s="42"/>
      <c r="MTQ4" s="42"/>
      <c r="MTR4" s="42"/>
      <c r="MTS4" s="42"/>
      <c r="MTT4" s="42"/>
      <c r="MTU4" s="42"/>
      <c r="MTV4" s="42"/>
      <c r="MTW4" s="42"/>
      <c r="MTX4" s="42"/>
      <c r="MTY4" s="42"/>
      <c r="MTZ4" s="42"/>
      <c r="MUA4" s="42"/>
      <c r="MUB4" s="42"/>
      <c r="MUC4" s="42"/>
      <c r="MUD4" s="42"/>
      <c r="MUE4" s="42"/>
      <c r="MUF4" s="42"/>
      <c r="MUG4" s="42"/>
      <c r="MUH4" s="42"/>
      <c r="MUI4" s="42"/>
      <c r="MUJ4" s="42"/>
      <c r="MUK4" s="42"/>
      <c r="MUL4" s="42"/>
      <c r="MUM4" s="42"/>
      <c r="MUN4" s="42"/>
      <c r="MUO4" s="42"/>
      <c r="MUP4" s="42"/>
      <c r="MUQ4" s="42"/>
      <c r="MUR4" s="42"/>
      <c r="MUS4" s="42"/>
      <c r="MUT4" s="42"/>
      <c r="MUU4" s="42"/>
      <c r="MUV4" s="42"/>
      <c r="MUW4" s="42"/>
      <c r="MUX4" s="42"/>
      <c r="MUY4" s="42"/>
      <c r="MUZ4" s="42"/>
      <c r="MVA4" s="42"/>
      <c r="MVB4" s="42"/>
      <c r="MVC4" s="42"/>
      <c r="MVD4" s="42"/>
      <c r="MVE4" s="42"/>
      <c r="MVF4" s="42"/>
      <c r="MVG4" s="42"/>
      <c r="MVH4" s="42"/>
      <c r="MVI4" s="42"/>
      <c r="MVJ4" s="42"/>
      <c r="MVK4" s="42"/>
      <c r="MVL4" s="42"/>
      <c r="MVM4" s="42"/>
      <c r="MVN4" s="42"/>
      <c r="MVO4" s="42"/>
      <c r="MVP4" s="42"/>
      <c r="MVQ4" s="42"/>
      <c r="MVR4" s="42"/>
      <c r="MVS4" s="42"/>
      <c r="MVT4" s="42"/>
      <c r="MVU4" s="42"/>
      <c r="MVV4" s="42"/>
      <c r="MVW4" s="42"/>
      <c r="MVX4" s="42"/>
      <c r="MVY4" s="42"/>
      <c r="MVZ4" s="42"/>
      <c r="MWA4" s="42"/>
      <c r="MWB4" s="42"/>
      <c r="MWC4" s="42"/>
      <c r="MWD4" s="42"/>
      <c r="MWE4" s="42"/>
      <c r="MWF4" s="42"/>
      <c r="MWG4" s="42"/>
      <c r="MWH4" s="42"/>
      <c r="MWI4" s="42"/>
      <c r="MWJ4" s="42"/>
      <c r="MWK4" s="42"/>
      <c r="MWL4" s="42"/>
      <c r="MWM4" s="42"/>
      <c r="MWN4" s="42"/>
      <c r="MWO4" s="42"/>
      <c r="MWP4" s="42"/>
      <c r="MWQ4" s="42"/>
      <c r="MWR4" s="42"/>
      <c r="MWS4" s="42"/>
      <c r="MWT4" s="42"/>
      <c r="MWU4" s="42"/>
      <c r="MWV4" s="42"/>
      <c r="MWW4" s="42"/>
      <c r="MWX4" s="42"/>
      <c r="MWY4" s="42"/>
      <c r="MWZ4" s="42"/>
      <c r="MXA4" s="42"/>
      <c r="MXB4" s="42"/>
      <c r="MXC4" s="42"/>
      <c r="MXD4" s="42"/>
      <c r="MXE4" s="42"/>
      <c r="MXF4" s="42"/>
      <c r="MXG4" s="42"/>
      <c r="MXH4" s="42"/>
      <c r="MXI4" s="42"/>
      <c r="MXJ4" s="42"/>
      <c r="MXK4" s="42"/>
      <c r="MXL4" s="42"/>
      <c r="MXM4" s="42"/>
      <c r="MXN4" s="42"/>
      <c r="MXO4" s="42"/>
      <c r="MXP4" s="42"/>
      <c r="MXQ4" s="42"/>
      <c r="MXR4" s="42"/>
      <c r="MXS4" s="42"/>
      <c r="MXT4" s="42"/>
      <c r="MXU4" s="42"/>
      <c r="MXV4" s="42"/>
      <c r="MXW4" s="42"/>
      <c r="MXX4" s="42"/>
      <c r="MXY4" s="42"/>
      <c r="MXZ4" s="42"/>
      <c r="MYA4" s="42"/>
      <c r="MYB4" s="42"/>
      <c r="MYC4" s="42"/>
      <c r="MYD4" s="42"/>
      <c r="MYE4" s="42"/>
      <c r="MYF4" s="42"/>
      <c r="MYG4" s="42"/>
      <c r="MYH4" s="42"/>
      <c r="MYI4" s="42"/>
      <c r="MYJ4" s="42"/>
      <c r="MYK4" s="42"/>
      <c r="MYL4" s="42"/>
      <c r="MYM4" s="42"/>
      <c r="MYN4" s="42"/>
      <c r="MYO4" s="42"/>
      <c r="MYP4" s="42"/>
      <c r="MYQ4" s="42"/>
      <c r="MYR4" s="42"/>
      <c r="MYS4" s="42"/>
      <c r="MYT4" s="42"/>
      <c r="MYU4" s="42"/>
      <c r="MYV4" s="42"/>
      <c r="MYW4" s="42"/>
      <c r="MYX4" s="42"/>
      <c r="MYY4" s="42"/>
      <c r="MYZ4" s="42"/>
      <c r="MZA4" s="42"/>
      <c r="MZB4" s="42"/>
      <c r="MZC4" s="42"/>
      <c r="MZD4" s="42"/>
      <c r="MZE4" s="42"/>
      <c r="MZF4" s="42"/>
      <c r="MZG4" s="42"/>
      <c r="MZH4" s="42"/>
      <c r="MZI4" s="42"/>
      <c r="MZJ4" s="42"/>
      <c r="MZK4" s="42"/>
      <c r="MZL4" s="42"/>
      <c r="MZM4" s="42"/>
      <c r="MZN4" s="42"/>
      <c r="MZO4" s="42"/>
      <c r="MZP4" s="42"/>
      <c r="MZQ4" s="42"/>
      <c r="MZR4" s="42"/>
      <c r="MZS4" s="42"/>
      <c r="MZT4" s="42"/>
      <c r="MZU4" s="42"/>
      <c r="MZV4" s="42"/>
      <c r="MZW4" s="42"/>
      <c r="MZX4" s="42"/>
      <c r="MZY4" s="42"/>
      <c r="MZZ4" s="42"/>
      <c r="NAA4" s="42"/>
      <c r="NAB4" s="42"/>
      <c r="NAC4" s="42"/>
      <c r="NAD4" s="42"/>
      <c r="NAE4" s="42"/>
      <c r="NAF4" s="42"/>
      <c r="NAG4" s="42"/>
      <c r="NAH4" s="42"/>
      <c r="NAI4" s="42"/>
      <c r="NAJ4" s="42"/>
      <c r="NAK4" s="42"/>
      <c r="NAL4" s="42"/>
      <c r="NAM4" s="42"/>
      <c r="NAN4" s="42"/>
      <c r="NAO4" s="42"/>
      <c r="NAP4" s="42"/>
      <c r="NAQ4" s="42"/>
      <c r="NAR4" s="42"/>
      <c r="NAS4" s="42"/>
      <c r="NAT4" s="42"/>
      <c r="NAU4" s="42"/>
      <c r="NAV4" s="42"/>
      <c r="NAW4" s="42"/>
      <c r="NAX4" s="42"/>
      <c r="NAY4" s="42"/>
      <c r="NAZ4" s="42"/>
      <c r="NBA4" s="42"/>
      <c r="NBB4" s="42"/>
      <c r="NBC4" s="42"/>
      <c r="NBD4" s="42"/>
      <c r="NBE4" s="42"/>
      <c r="NBF4" s="42"/>
      <c r="NBG4" s="42"/>
      <c r="NBH4" s="42"/>
      <c r="NBI4" s="42"/>
      <c r="NBJ4" s="42"/>
      <c r="NBK4" s="42"/>
      <c r="NBL4" s="42"/>
      <c r="NBM4" s="42"/>
      <c r="NBN4" s="42"/>
      <c r="NBO4" s="42"/>
      <c r="NBP4" s="42"/>
      <c r="NBQ4" s="42"/>
      <c r="NBR4" s="42"/>
      <c r="NBS4" s="42"/>
      <c r="NBT4" s="42"/>
      <c r="NBU4" s="42"/>
      <c r="NBV4" s="42"/>
      <c r="NBW4" s="42"/>
      <c r="NBX4" s="42"/>
      <c r="NBY4" s="42"/>
      <c r="NBZ4" s="42"/>
      <c r="NCA4" s="42"/>
      <c r="NCB4" s="42"/>
      <c r="NCC4" s="42"/>
      <c r="NCD4" s="42"/>
      <c r="NCE4" s="42"/>
      <c r="NCF4" s="42"/>
      <c r="NCG4" s="42"/>
      <c r="NCH4" s="42"/>
      <c r="NCI4" s="42"/>
      <c r="NCJ4" s="42"/>
      <c r="NCK4" s="42"/>
      <c r="NCL4" s="42"/>
      <c r="NCM4" s="42"/>
      <c r="NCN4" s="42"/>
      <c r="NCO4" s="42"/>
      <c r="NCP4" s="42"/>
      <c r="NCQ4" s="42"/>
      <c r="NCR4" s="42"/>
      <c r="NCS4" s="42"/>
      <c r="NCT4" s="42"/>
      <c r="NCU4" s="42"/>
      <c r="NCV4" s="42"/>
      <c r="NCW4" s="42"/>
      <c r="NCX4" s="42"/>
      <c r="NCY4" s="42"/>
      <c r="NCZ4" s="42"/>
      <c r="NDA4" s="42"/>
      <c r="NDB4" s="42"/>
      <c r="NDC4" s="42"/>
      <c r="NDD4" s="42"/>
      <c r="NDE4" s="42"/>
      <c r="NDF4" s="42"/>
      <c r="NDG4" s="42"/>
      <c r="NDH4" s="42"/>
      <c r="NDI4" s="42"/>
      <c r="NDJ4" s="42"/>
      <c r="NDK4" s="42"/>
      <c r="NDL4" s="42"/>
      <c r="NDM4" s="42"/>
      <c r="NDN4" s="42"/>
      <c r="NDO4" s="42"/>
      <c r="NDP4" s="42"/>
      <c r="NDQ4" s="42"/>
      <c r="NDR4" s="42"/>
      <c r="NDS4" s="42"/>
      <c r="NDT4" s="42"/>
      <c r="NDU4" s="42"/>
      <c r="NDV4" s="42"/>
      <c r="NDW4" s="42"/>
      <c r="NDX4" s="42"/>
      <c r="NDY4" s="42"/>
      <c r="NDZ4" s="42"/>
      <c r="NEA4" s="42"/>
      <c r="NEB4" s="42"/>
      <c r="NEC4" s="42"/>
      <c r="NED4" s="42"/>
      <c r="NEE4" s="42"/>
      <c r="NEF4" s="42"/>
      <c r="NEG4" s="42"/>
      <c r="NEH4" s="42"/>
      <c r="NEI4" s="42"/>
      <c r="NEJ4" s="42"/>
      <c r="NEK4" s="42"/>
      <c r="NEL4" s="42"/>
      <c r="NEM4" s="42"/>
      <c r="NEN4" s="42"/>
      <c r="NEO4" s="42"/>
      <c r="NEP4" s="42"/>
      <c r="NEQ4" s="42"/>
      <c r="NER4" s="42"/>
      <c r="NES4" s="42"/>
      <c r="NET4" s="42"/>
      <c r="NEU4" s="42"/>
      <c r="NEV4" s="42"/>
      <c r="NEW4" s="42"/>
      <c r="NEX4" s="42"/>
      <c r="NEY4" s="42"/>
      <c r="NEZ4" s="42"/>
      <c r="NFA4" s="42"/>
      <c r="NFB4" s="42"/>
      <c r="NFC4" s="42"/>
      <c r="NFD4" s="42"/>
      <c r="NFE4" s="42"/>
      <c r="NFF4" s="42"/>
      <c r="NFG4" s="42"/>
      <c r="NFH4" s="42"/>
      <c r="NFI4" s="42"/>
      <c r="NFJ4" s="42"/>
      <c r="NFK4" s="42"/>
      <c r="NFL4" s="42"/>
      <c r="NFM4" s="42"/>
      <c r="NFN4" s="42"/>
      <c r="NFO4" s="42"/>
      <c r="NFP4" s="42"/>
      <c r="NFQ4" s="42"/>
      <c r="NFR4" s="42"/>
      <c r="NFS4" s="42"/>
      <c r="NFT4" s="42"/>
      <c r="NFU4" s="42"/>
      <c r="NFV4" s="42"/>
      <c r="NFW4" s="42"/>
      <c r="NFX4" s="42"/>
      <c r="NFY4" s="42"/>
      <c r="NFZ4" s="42"/>
      <c r="NGA4" s="42"/>
      <c r="NGB4" s="42"/>
      <c r="NGC4" s="42"/>
      <c r="NGD4" s="42"/>
      <c r="NGE4" s="42"/>
      <c r="NGF4" s="42"/>
      <c r="NGG4" s="42"/>
      <c r="NGH4" s="42"/>
      <c r="NGI4" s="42"/>
      <c r="NGJ4" s="42"/>
      <c r="NGK4" s="42"/>
      <c r="NGL4" s="42"/>
      <c r="NGM4" s="42"/>
      <c r="NGN4" s="42"/>
      <c r="NGO4" s="42"/>
      <c r="NGP4" s="42"/>
      <c r="NGQ4" s="42"/>
      <c r="NGR4" s="42"/>
      <c r="NGS4" s="42"/>
      <c r="NGT4" s="42"/>
      <c r="NGU4" s="42"/>
      <c r="NGV4" s="42"/>
      <c r="NGW4" s="42"/>
      <c r="NGX4" s="42"/>
      <c r="NGY4" s="42"/>
      <c r="NGZ4" s="42"/>
      <c r="NHA4" s="42"/>
      <c r="NHB4" s="42"/>
      <c r="NHC4" s="42"/>
      <c r="NHD4" s="42"/>
      <c r="NHE4" s="42"/>
      <c r="NHF4" s="42"/>
      <c r="NHG4" s="42"/>
      <c r="NHH4" s="42"/>
      <c r="NHI4" s="42"/>
      <c r="NHJ4" s="42"/>
      <c r="NHK4" s="42"/>
      <c r="NHL4" s="42"/>
      <c r="NHM4" s="42"/>
      <c r="NHN4" s="42"/>
      <c r="NHO4" s="42"/>
      <c r="NHP4" s="42"/>
      <c r="NHQ4" s="42"/>
      <c r="NHR4" s="42"/>
      <c r="NHS4" s="42"/>
      <c r="NHT4" s="42"/>
      <c r="NHU4" s="42"/>
      <c r="NHV4" s="42"/>
      <c r="NHW4" s="42"/>
      <c r="NHX4" s="42"/>
      <c r="NHY4" s="42"/>
      <c r="NHZ4" s="42"/>
      <c r="NIA4" s="42"/>
      <c r="NIB4" s="42"/>
      <c r="NIC4" s="42"/>
      <c r="NID4" s="42"/>
      <c r="NIE4" s="42"/>
      <c r="NIF4" s="42"/>
      <c r="NIG4" s="42"/>
      <c r="NIH4" s="42"/>
      <c r="NII4" s="42"/>
      <c r="NIJ4" s="42"/>
      <c r="NIK4" s="42"/>
      <c r="NIL4" s="42"/>
      <c r="NIM4" s="42"/>
      <c r="NIN4" s="42"/>
      <c r="NIO4" s="42"/>
      <c r="NIP4" s="42"/>
      <c r="NIQ4" s="42"/>
      <c r="NIR4" s="42"/>
      <c r="NIS4" s="42"/>
      <c r="NIT4" s="42"/>
      <c r="NIU4" s="42"/>
      <c r="NIV4" s="42"/>
      <c r="NIW4" s="42"/>
      <c r="NIX4" s="42"/>
      <c r="NIY4" s="42"/>
      <c r="NIZ4" s="42"/>
      <c r="NJA4" s="42"/>
      <c r="NJB4" s="42"/>
      <c r="NJC4" s="42"/>
      <c r="NJD4" s="42"/>
      <c r="NJE4" s="42"/>
      <c r="NJF4" s="42"/>
      <c r="NJG4" s="42"/>
      <c r="NJH4" s="42"/>
      <c r="NJI4" s="42"/>
      <c r="NJJ4" s="42"/>
      <c r="NJK4" s="42"/>
      <c r="NJL4" s="42"/>
      <c r="NJM4" s="42"/>
      <c r="NJN4" s="42"/>
      <c r="NJO4" s="42"/>
      <c r="NJP4" s="42"/>
      <c r="NJQ4" s="42"/>
      <c r="NJR4" s="42"/>
      <c r="NJS4" s="42"/>
      <c r="NJT4" s="42"/>
      <c r="NJU4" s="42"/>
      <c r="NJV4" s="42"/>
      <c r="NJW4" s="42"/>
      <c r="NJX4" s="42"/>
      <c r="NJY4" s="42"/>
      <c r="NJZ4" s="42"/>
      <c r="NKA4" s="42"/>
      <c r="NKB4" s="42"/>
      <c r="NKC4" s="42"/>
      <c r="NKD4" s="42"/>
      <c r="NKE4" s="42"/>
      <c r="NKF4" s="42"/>
      <c r="NKG4" s="42"/>
      <c r="NKH4" s="42"/>
      <c r="NKI4" s="42"/>
      <c r="NKJ4" s="42"/>
      <c r="NKK4" s="42"/>
      <c r="NKL4" s="42"/>
      <c r="NKM4" s="42"/>
      <c r="NKN4" s="42"/>
      <c r="NKO4" s="42"/>
      <c r="NKP4" s="42"/>
      <c r="NKQ4" s="42"/>
      <c r="NKR4" s="42"/>
      <c r="NKS4" s="42"/>
      <c r="NKT4" s="42"/>
      <c r="NKU4" s="42"/>
      <c r="NKV4" s="42"/>
      <c r="NKW4" s="42"/>
      <c r="NKX4" s="42"/>
      <c r="NKY4" s="42"/>
      <c r="NKZ4" s="42"/>
      <c r="NLA4" s="42"/>
      <c r="NLB4" s="42"/>
      <c r="NLC4" s="42"/>
      <c r="NLD4" s="42"/>
      <c r="NLE4" s="42"/>
      <c r="NLF4" s="42"/>
      <c r="NLG4" s="42"/>
      <c r="NLH4" s="42"/>
      <c r="NLI4" s="42"/>
      <c r="NLJ4" s="42"/>
      <c r="NLK4" s="42"/>
      <c r="NLL4" s="42"/>
      <c r="NLM4" s="42"/>
      <c r="NLN4" s="42"/>
      <c r="NLO4" s="42"/>
      <c r="NLP4" s="42"/>
      <c r="NLQ4" s="42"/>
      <c r="NLR4" s="42"/>
      <c r="NLS4" s="42"/>
      <c r="NLT4" s="42"/>
      <c r="NLU4" s="42"/>
      <c r="NLV4" s="42"/>
      <c r="NLW4" s="42"/>
      <c r="NLX4" s="42"/>
      <c r="NLY4" s="42"/>
      <c r="NLZ4" s="42"/>
      <c r="NMA4" s="42"/>
      <c r="NMB4" s="42"/>
      <c r="NMC4" s="42"/>
      <c r="NMD4" s="42"/>
      <c r="NME4" s="42"/>
      <c r="NMF4" s="42"/>
      <c r="NMG4" s="42"/>
      <c r="NMH4" s="42"/>
      <c r="NMI4" s="42"/>
      <c r="NMJ4" s="42"/>
      <c r="NMK4" s="42"/>
      <c r="NML4" s="42"/>
      <c r="NMM4" s="42"/>
      <c r="NMN4" s="42"/>
      <c r="NMO4" s="42"/>
      <c r="NMP4" s="42"/>
      <c r="NMQ4" s="42"/>
      <c r="NMR4" s="42"/>
      <c r="NMS4" s="42"/>
      <c r="NMT4" s="42"/>
      <c r="NMU4" s="42"/>
      <c r="NMV4" s="42"/>
      <c r="NMW4" s="42"/>
      <c r="NMX4" s="42"/>
      <c r="NMY4" s="42"/>
      <c r="NMZ4" s="42"/>
      <c r="NNA4" s="42"/>
      <c r="NNB4" s="42"/>
      <c r="NNC4" s="42"/>
      <c r="NND4" s="42"/>
      <c r="NNE4" s="42"/>
      <c r="NNF4" s="42"/>
      <c r="NNG4" s="42"/>
      <c r="NNH4" s="42"/>
      <c r="NNI4" s="42"/>
      <c r="NNJ4" s="42"/>
      <c r="NNK4" s="42"/>
      <c r="NNL4" s="42"/>
      <c r="NNM4" s="42"/>
      <c r="NNN4" s="42"/>
      <c r="NNO4" s="42"/>
      <c r="NNP4" s="42"/>
      <c r="NNQ4" s="42"/>
      <c r="NNR4" s="42"/>
      <c r="NNS4" s="42"/>
      <c r="NNT4" s="42"/>
      <c r="NNU4" s="42"/>
      <c r="NNV4" s="42"/>
      <c r="NNW4" s="42"/>
      <c r="NNX4" s="42"/>
      <c r="NNY4" s="42"/>
      <c r="NNZ4" s="42"/>
      <c r="NOA4" s="42"/>
      <c r="NOB4" s="42"/>
      <c r="NOC4" s="42"/>
      <c r="NOD4" s="42"/>
      <c r="NOE4" s="42"/>
      <c r="NOF4" s="42"/>
      <c r="NOG4" s="42"/>
      <c r="NOH4" s="42"/>
      <c r="NOI4" s="42"/>
      <c r="NOJ4" s="42"/>
      <c r="NOK4" s="42"/>
      <c r="NOL4" s="42"/>
      <c r="NOM4" s="42"/>
      <c r="NON4" s="42"/>
      <c r="NOO4" s="42"/>
      <c r="NOP4" s="42"/>
      <c r="NOQ4" s="42"/>
      <c r="NOR4" s="42"/>
      <c r="NOS4" s="42"/>
      <c r="NOT4" s="42"/>
      <c r="NOU4" s="42"/>
      <c r="NOV4" s="42"/>
      <c r="NOW4" s="42"/>
      <c r="NOX4" s="42"/>
      <c r="NOY4" s="42"/>
      <c r="NOZ4" s="42"/>
      <c r="NPA4" s="42"/>
      <c r="NPB4" s="42"/>
      <c r="NPC4" s="42"/>
      <c r="NPD4" s="42"/>
      <c r="NPE4" s="42"/>
      <c r="NPF4" s="42"/>
      <c r="NPG4" s="42"/>
      <c r="NPH4" s="42"/>
      <c r="NPI4" s="42"/>
      <c r="NPJ4" s="42"/>
      <c r="NPK4" s="42"/>
      <c r="NPL4" s="42"/>
      <c r="NPM4" s="42"/>
      <c r="NPN4" s="42"/>
      <c r="NPO4" s="42"/>
      <c r="NPP4" s="42"/>
      <c r="NPQ4" s="42"/>
      <c r="NPR4" s="42"/>
      <c r="NPS4" s="42"/>
      <c r="NPT4" s="42"/>
      <c r="NPU4" s="42"/>
      <c r="NPV4" s="42"/>
      <c r="NPW4" s="42"/>
      <c r="NPX4" s="42"/>
      <c r="NPY4" s="42"/>
      <c r="NPZ4" s="42"/>
      <c r="NQA4" s="42"/>
      <c r="NQB4" s="42"/>
      <c r="NQC4" s="42"/>
      <c r="NQD4" s="42"/>
      <c r="NQE4" s="42"/>
      <c r="NQF4" s="42"/>
      <c r="NQG4" s="42"/>
      <c r="NQH4" s="42"/>
      <c r="NQI4" s="42"/>
      <c r="NQJ4" s="42"/>
      <c r="NQK4" s="42"/>
      <c r="NQL4" s="42"/>
      <c r="NQM4" s="42"/>
      <c r="NQN4" s="42"/>
      <c r="NQO4" s="42"/>
      <c r="NQP4" s="42"/>
      <c r="NQQ4" s="42"/>
      <c r="NQR4" s="42"/>
      <c r="NQS4" s="42"/>
      <c r="NQT4" s="42"/>
      <c r="NQU4" s="42"/>
      <c r="NQV4" s="42"/>
      <c r="NQW4" s="42"/>
      <c r="NQX4" s="42"/>
      <c r="NQY4" s="42"/>
      <c r="NQZ4" s="42"/>
      <c r="NRA4" s="42"/>
      <c r="NRB4" s="42"/>
      <c r="NRC4" s="42"/>
      <c r="NRD4" s="42"/>
      <c r="NRE4" s="42"/>
      <c r="NRF4" s="42"/>
      <c r="NRG4" s="42"/>
      <c r="NRH4" s="42"/>
      <c r="NRI4" s="42"/>
      <c r="NRJ4" s="42"/>
      <c r="NRK4" s="42"/>
      <c r="NRL4" s="42"/>
      <c r="NRM4" s="42"/>
      <c r="NRN4" s="42"/>
      <c r="NRO4" s="42"/>
      <c r="NRP4" s="42"/>
      <c r="NRQ4" s="42"/>
      <c r="NRR4" s="42"/>
      <c r="NRS4" s="42"/>
      <c r="NRT4" s="42"/>
      <c r="NRU4" s="42"/>
      <c r="NRV4" s="42"/>
      <c r="NRW4" s="42"/>
      <c r="NRX4" s="42"/>
      <c r="NRY4" s="42"/>
      <c r="NRZ4" s="42"/>
      <c r="NSA4" s="42"/>
      <c r="NSB4" s="42"/>
      <c r="NSC4" s="42"/>
      <c r="NSD4" s="42"/>
      <c r="NSE4" s="42"/>
      <c r="NSF4" s="42"/>
      <c r="NSG4" s="42"/>
      <c r="NSH4" s="42"/>
      <c r="NSI4" s="42"/>
      <c r="NSJ4" s="42"/>
      <c r="NSK4" s="42"/>
      <c r="NSL4" s="42"/>
      <c r="NSM4" s="42"/>
      <c r="NSN4" s="42"/>
      <c r="NSO4" s="42"/>
      <c r="NSP4" s="42"/>
      <c r="NSQ4" s="42"/>
      <c r="NSR4" s="42"/>
      <c r="NSS4" s="42"/>
      <c r="NST4" s="42"/>
      <c r="NSU4" s="42"/>
      <c r="NSV4" s="42"/>
      <c r="NSW4" s="42"/>
      <c r="NSX4" s="42"/>
      <c r="NSY4" s="42"/>
      <c r="NSZ4" s="42"/>
      <c r="NTA4" s="42"/>
      <c r="NTB4" s="42"/>
      <c r="NTC4" s="42"/>
      <c r="NTD4" s="42"/>
      <c r="NTE4" s="42"/>
      <c r="NTF4" s="42"/>
      <c r="NTG4" s="42"/>
      <c r="NTH4" s="42"/>
      <c r="NTI4" s="42"/>
      <c r="NTJ4" s="42"/>
      <c r="NTK4" s="42"/>
      <c r="NTL4" s="42"/>
      <c r="NTM4" s="42"/>
      <c r="NTN4" s="42"/>
      <c r="NTO4" s="42"/>
      <c r="NTP4" s="42"/>
      <c r="NTQ4" s="42"/>
      <c r="NTR4" s="42"/>
      <c r="NTS4" s="42"/>
      <c r="NTT4" s="42"/>
      <c r="NTU4" s="42"/>
      <c r="NTV4" s="42"/>
      <c r="NTW4" s="42"/>
      <c r="NTX4" s="42"/>
      <c r="NTY4" s="42"/>
      <c r="NTZ4" s="42"/>
      <c r="NUA4" s="42"/>
      <c r="NUB4" s="42"/>
      <c r="NUC4" s="42"/>
      <c r="NUD4" s="42"/>
      <c r="NUE4" s="42"/>
      <c r="NUF4" s="42"/>
      <c r="NUG4" s="42"/>
      <c r="NUH4" s="42"/>
      <c r="NUI4" s="42"/>
      <c r="NUJ4" s="42"/>
      <c r="NUK4" s="42"/>
      <c r="NUL4" s="42"/>
      <c r="NUM4" s="42"/>
      <c r="NUN4" s="42"/>
      <c r="NUO4" s="42"/>
      <c r="NUP4" s="42"/>
      <c r="NUQ4" s="42"/>
      <c r="NUR4" s="42"/>
      <c r="NUS4" s="42"/>
      <c r="NUT4" s="42"/>
      <c r="NUU4" s="42"/>
      <c r="NUV4" s="42"/>
      <c r="NUW4" s="42"/>
      <c r="NUX4" s="42"/>
      <c r="NUY4" s="42"/>
      <c r="NUZ4" s="42"/>
      <c r="NVA4" s="42"/>
      <c r="NVB4" s="42"/>
      <c r="NVC4" s="42"/>
      <c r="NVD4" s="42"/>
      <c r="NVE4" s="42"/>
      <c r="NVF4" s="42"/>
      <c r="NVG4" s="42"/>
      <c r="NVH4" s="42"/>
      <c r="NVI4" s="42"/>
      <c r="NVJ4" s="42"/>
      <c r="NVK4" s="42"/>
      <c r="NVL4" s="42"/>
      <c r="NVM4" s="42"/>
      <c r="NVN4" s="42"/>
      <c r="NVO4" s="42"/>
      <c r="NVP4" s="42"/>
      <c r="NVQ4" s="42"/>
      <c r="NVR4" s="42"/>
      <c r="NVS4" s="42"/>
      <c r="NVT4" s="42"/>
      <c r="NVU4" s="42"/>
      <c r="NVV4" s="42"/>
      <c r="NVW4" s="42"/>
      <c r="NVX4" s="42"/>
      <c r="NVY4" s="42"/>
      <c r="NVZ4" s="42"/>
      <c r="NWA4" s="42"/>
      <c r="NWB4" s="42"/>
      <c r="NWC4" s="42"/>
      <c r="NWD4" s="42"/>
      <c r="NWE4" s="42"/>
      <c r="NWF4" s="42"/>
      <c r="NWG4" s="42"/>
      <c r="NWH4" s="42"/>
      <c r="NWI4" s="42"/>
      <c r="NWJ4" s="42"/>
      <c r="NWK4" s="42"/>
      <c r="NWL4" s="42"/>
      <c r="NWM4" s="42"/>
      <c r="NWN4" s="42"/>
      <c r="NWO4" s="42"/>
      <c r="NWP4" s="42"/>
      <c r="NWQ4" s="42"/>
      <c r="NWR4" s="42"/>
      <c r="NWS4" s="42"/>
      <c r="NWT4" s="42"/>
      <c r="NWU4" s="42"/>
      <c r="NWV4" s="42"/>
      <c r="NWW4" s="42"/>
      <c r="NWX4" s="42"/>
      <c r="NWY4" s="42"/>
      <c r="NWZ4" s="42"/>
      <c r="NXA4" s="42"/>
      <c r="NXB4" s="42"/>
      <c r="NXC4" s="42"/>
      <c r="NXD4" s="42"/>
      <c r="NXE4" s="42"/>
      <c r="NXF4" s="42"/>
      <c r="NXG4" s="42"/>
      <c r="NXH4" s="42"/>
      <c r="NXI4" s="42"/>
      <c r="NXJ4" s="42"/>
      <c r="NXK4" s="42"/>
      <c r="NXL4" s="42"/>
      <c r="NXM4" s="42"/>
      <c r="NXN4" s="42"/>
      <c r="NXO4" s="42"/>
      <c r="NXP4" s="42"/>
      <c r="NXQ4" s="42"/>
      <c r="NXR4" s="42"/>
      <c r="NXS4" s="42"/>
      <c r="NXT4" s="42"/>
      <c r="NXU4" s="42"/>
      <c r="NXV4" s="42"/>
      <c r="NXW4" s="42"/>
      <c r="NXX4" s="42"/>
      <c r="NXY4" s="42"/>
      <c r="NXZ4" s="42"/>
      <c r="NYA4" s="42"/>
      <c r="NYB4" s="42"/>
      <c r="NYC4" s="42"/>
      <c r="NYD4" s="42"/>
      <c r="NYE4" s="42"/>
      <c r="NYF4" s="42"/>
      <c r="NYG4" s="42"/>
      <c r="NYH4" s="42"/>
      <c r="NYI4" s="42"/>
      <c r="NYJ4" s="42"/>
      <c r="NYK4" s="42"/>
      <c r="NYL4" s="42"/>
      <c r="NYM4" s="42"/>
      <c r="NYN4" s="42"/>
      <c r="NYO4" s="42"/>
      <c r="NYP4" s="42"/>
      <c r="NYQ4" s="42"/>
      <c r="NYR4" s="42"/>
      <c r="NYS4" s="42"/>
      <c r="NYT4" s="42"/>
      <c r="NYU4" s="42"/>
      <c r="NYV4" s="42"/>
      <c r="NYW4" s="42"/>
      <c r="NYX4" s="42"/>
      <c r="NYY4" s="42"/>
      <c r="NYZ4" s="42"/>
      <c r="NZA4" s="42"/>
      <c r="NZB4" s="42"/>
      <c r="NZC4" s="42"/>
      <c r="NZD4" s="42"/>
      <c r="NZE4" s="42"/>
      <c r="NZF4" s="42"/>
      <c r="NZG4" s="42"/>
      <c r="NZH4" s="42"/>
      <c r="NZI4" s="42"/>
      <c r="NZJ4" s="42"/>
      <c r="NZK4" s="42"/>
      <c r="NZL4" s="42"/>
      <c r="NZM4" s="42"/>
      <c r="NZN4" s="42"/>
      <c r="NZO4" s="42"/>
      <c r="NZP4" s="42"/>
      <c r="NZQ4" s="42"/>
      <c r="NZR4" s="42"/>
      <c r="NZS4" s="42"/>
      <c r="NZT4" s="42"/>
      <c r="NZU4" s="42"/>
      <c r="NZV4" s="42"/>
      <c r="NZW4" s="42"/>
      <c r="NZX4" s="42"/>
      <c r="NZY4" s="42"/>
      <c r="NZZ4" s="42"/>
      <c r="OAA4" s="42"/>
      <c r="OAB4" s="42"/>
      <c r="OAC4" s="42"/>
      <c r="OAD4" s="42"/>
      <c r="OAE4" s="42"/>
      <c r="OAF4" s="42"/>
      <c r="OAG4" s="42"/>
      <c r="OAH4" s="42"/>
      <c r="OAI4" s="42"/>
      <c r="OAJ4" s="42"/>
      <c r="OAK4" s="42"/>
      <c r="OAL4" s="42"/>
      <c r="OAM4" s="42"/>
      <c r="OAN4" s="42"/>
      <c r="OAO4" s="42"/>
      <c r="OAP4" s="42"/>
      <c r="OAQ4" s="42"/>
      <c r="OAR4" s="42"/>
      <c r="OAS4" s="42"/>
      <c r="OAT4" s="42"/>
      <c r="OAU4" s="42"/>
      <c r="OAV4" s="42"/>
      <c r="OAW4" s="42"/>
      <c r="OAX4" s="42"/>
      <c r="OAY4" s="42"/>
      <c r="OAZ4" s="42"/>
      <c r="OBA4" s="42"/>
      <c r="OBB4" s="42"/>
      <c r="OBC4" s="42"/>
      <c r="OBD4" s="42"/>
      <c r="OBE4" s="42"/>
      <c r="OBF4" s="42"/>
      <c r="OBG4" s="42"/>
      <c r="OBH4" s="42"/>
      <c r="OBI4" s="42"/>
      <c r="OBJ4" s="42"/>
      <c r="OBK4" s="42"/>
      <c r="OBL4" s="42"/>
      <c r="OBM4" s="42"/>
      <c r="OBN4" s="42"/>
      <c r="OBO4" s="42"/>
      <c r="OBP4" s="42"/>
      <c r="OBQ4" s="42"/>
      <c r="OBR4" s="42"/>
      <c r="OBS4" s="42"/>
      <c r="OBT4" s="42"/>
      <c r="OBU4" s="42"/>
      <c r="OBV4" s="42"/>
      <c r="OBW4" s="42"/>
      <c r="OBX4" s="42"/>
      <c r="OBY4" s="42"/>
      <c r="OBZ4" s="42"/>
      <c r="OCA4" s="42"/>
      <c r="OCB4" s="42"/>
      <c r="OCC4" s="42"/>
      <c r="OCD4" s="42"/>
      <c r="OCE4" s="42"/>
      <c r="OCF4" s="42"/>
      <c r="OCG4" s="42"/>
      <c r="OCH4" s="42"/>
      <c r="OCI4" s="42"/>
      <c r="OCJ4" s="42"/>
      <c r="OCK4" s="42"/>
      <c r="OCL4" s="42"/>
      <c r="OCM4" s="42"/>
      <c r="OCN4" s="42"/>
      <c r="OCO4" s="42"/>
      <c r="OCP4" s="42"/>
      <c r="OCQ4" s="42"/>
      <c r="OCR4" s="42"/>
      <c r="OCS4" s="42"/>
      <c r="OCT4" s="42"/>
      <c r="OCU4" s="42"/>
      <c r="OCV4" s="42"/>
      <c r="OCW4" s="42"/>
      <c r="OCX4" s="42"/>
      <c r="OCY4" s="42"/>
      <c r="OCZ4" s="42"/>
      <c r="ODA4" s="42"/>
      <c r="ODB4" s="42"/>
      <c r="ODC4" s="42"/>
      <c r="ODD4" s="42"/>
      <c r="ODE4" s="42"/>
      <c r="ODF4" s="42"/>
      <c r="ODG4" s="42"/>
      <c r="ODH4" s="42"/>
      <c r="ODI4" s="42"/>
      <c r="ODJ4" s="42"/>
      <c r="ODK4" s="42"/>
      <c r="ODL4" s="42"/>
      <c r="ODM4" s="42"/>
      <c r="ODN4" s="42"/>
      <c r="ODO4" s="42"/>
      <c r="ODP4" s="42"/>
      <c r="ODQ4" s="42"/>
      <c r="ODR4" s="42"/>
      <c r="ODS4" s="42"/>
      <c r="ODT4" s="42"/>
      <c r="ODU4" s="42"/>
      <c r="ODV4" s="42"/>
      <c r="ODW4" s="42"/>
      <c r="ODX4" s="42"/>
      <c r="ODY4" s="42"/>
      <c r="ODZ4" s="42"/>
      <c r="OEA4" s="42"/>
      <c r="OEB4" s="42"/>
      <c r="OEC4" s="42"/>
      <c r="OED4" s="42"/>
      <c r="OEE4" s="42"/>
      <c r="OEF4" s="42"/>
      <c r="OEG4" s="42"/>
      <c r="OEH4" s="42"/>
      <c r="OEI4" s="42"/>
      <c r="OEJ4" s="42"/>
      <c r="OEK4" s="42"/>
      <c r="OEL4" s="42"/>
      <c r="OEM4" s="42"/>
      <c r="OEN4" s="42"/>
      <c r="OEO4" s="42"/>
      <c r="OEP4" s="42"/>
      <c r="OEQ4" s="42"/>
      <c r="OER4" s="42"/>
      <c r="OES4" s="42"/>
      <c r="OET4" s="42"/>
      <c r="OEU4" s="42"/>
      <c r="OEV4" s="42"/>
      <c r="OEW4" s="42"/>
      <c r="OEX4" s="42"/>
      <c r="OEY4" s="42"/>
      <c r="OEZ4" s="42"/>
      <c r="OFA4" s="42"/>
      <c r="OFB4" s="42"/>
      <c r="OFC4" s="42"/>
      <c r="OFD4" s="42"/>
      <c r="OFE4" s="42"/>
      <c r="OFF4" s="42"/>
      <c r="OFG4" s="42"/>
      <c r="OFH4" s="42"/>
      <c r="OFI4" s="42"/>
      <c r="OFJ4" s="42"/>
      <c r="OFK4" s="42"/>
      <c r="OFL4" s="42"/>
      <c r="OFM4" s="42"/>
      <c r="OFN4" s="42"/>
      <c r="OFO4" s="42"/>
      <c r="OFP4" s="42"/>
      <c r="OFQ4" s="42"/>
      <c r="OFR4" s="42"/>
      <c r="OFS4" s="42"/>
      <c r="OFT4" s="42"/>
      <c r="OFU4" s="42"/>
      <c r="OFV4" s="42"/>
      <c r="OFW4" s="42"/>
      <c r="OFX4" s="42"/>
      <c r="OFY4" s="42"/>
      <c r="OFZ4" s="42"/>
      <c r="OGA4" s="42"/>
      <c r="OGB4" s="42"/>
      <c r="OGC4" s="42"/>
      <c r="OGD4" s="42"/>
      <c r="OGE4" s="42"/>
      <c r="OGF4" s="42"/>
      <c r="OGG4" s="42"/>
      <c r="OGH4" s="42"/>
      <c r="OGI4" s="42"/>
      <c r="OGJ4" s="42"/>
      <c r="OGK4" s="42"/>
      <c r="OGL4" s="42"/>
      <c r="OGM4" s="42"/>
      <c r="OGN4" s="42"/>
      <c r="OGO4" s="42"/>
      <c r="OGP4" s="42"/>
      <c r="OGQ4" s="42"/>
      <c r="OGR4" s="42"/>
      <c r="OGS4" s="42"/>
      <c r="OGT4" s="42"/>
      <c r="OGU4" s="42"/>
      <c r="OGV4" s="42"/>
      <c r="OGW4" s="42"/>
      <c r="OGX4" s="42"/>
      <c r="OGY4" s="42"/>
      <c r="OGZ4" s="42"/>
      <c r="OHA4" s="42"/>
      <c r="OHB4" s="42"/>
      <c r="OHC4" s="42"/>
      <c r="OHD4" s="42"/>
      <c r="OHE4" s="42"/>
      <c r="OHF4" s="42"/>
      <c r="OHG4" s="42"/>
      <c r="OHH4" s="42"/>
      <c r="OHI4" s="42"/>
      <c r="OHJ4" s="42"/>
      <c r="OHK4" s="42"/>
      <c r="OHL4" s="42"/>
      <c r="OHM4" s="42"/>
      <c r="OHN4" s="42"/>
      <c r="OHO4" s="42"/>
      <c r="OHP4" s="42"/>
      <c r="OHQ4" s="42"/>
      <c r="OHR4" s="42"/>
      <c r="OHS4" s="42"/>
      <c r="OHT4" s="42"/>
      <c r="OHU4" s="42"/>
      <c r="OHV4" s="42"/>
      <c r="OHW4" s="42"/>
      <c r="OHX4" s="42"/>
      <c r="OHY4" s="42"/>
      <c r="OHZ4" s="42"/>
      <c r="OIA4" s="42"/>
      <c r="OIB4" s="42"/>
      <c r="OIC4" s="42"/>
      <c r="OID4" s="42"/>
      <c r="OIE4" s="42"/>
      <c r="OIF4" s="42"/>
      <c r="OIG4" s="42"/>
      <c r="OIH4" s="42"/>
      <c r="OII4" s="42"/>
      <c r="OIJ4" s="42"/>
      <c r="OIK4" s="42"/>
      <c r="OIL4" s="42"/>
      <c r="OIM4" s="42"/>
      <c r="OIN4" s="42"/>
      <c r="OIO4" s="42"/>
      <c r="OIP4" s="42"/>
      <c r="OIQ4" s="42"/>
      <c r="OIR4" s="42"/>
      <c r="OIS4" s="42"/>
      <c r="OIT4" s="42"/>
      <c r="OIU4" s="42"/>
      <c r="OIV4" s="42"/>
      <c r="OIW4" s="42"/>
      <c r="OIX4" s="42"/>
      <c r="OIY4" s="42"/>
      <c r="OIZ4" s="42"/>
      <c r="OJA4" s="42"/>
      <c r="OJB4" s="42"/>
      <c r="OJC4" s="42"/>
      <c r="OJD4" s="42"/>
      <c r="OJE4" s="42"/>
      <c r="OJF4" s="42"/>
      <c r="OJG4" s="42"/>
      <c r="OJH4" s="42"/>
      <c r="OJI4" s="42"/>
      <c r="OJJ4" s="42"/>
      <c r="OJK4" s="42"/>
      <c r="OJL4" s="42"/>
      <c r="OJM4" s="42"/>
      <c r="OJN4" s="42"/>
      <c r="OJO4" s="42"/>
      <c r="OJP4" s="42"/>
      <c r="OJQ4" s="42"/>
      <c r="OJR4" s="42"/>
      <c r="OJS4" s="42"/>
      <c r="OJT4" s="42"/>
      <c r="OJU4" s="42"/>
      <c r="OJV4" s="42"/>
      <c r="OJW4" s="42"/>
      <c r="OJX4" s="42"/>
      <c r="OJY4" s="42"/>
      <c r="OJZ4" s="42"/>
      <c r="OKA4" s="42"/>
      <c r="OKB4" s="42"/>
      <c r="OKC4" s="42"/>
      <c r="OKD4" s="42"/>
      <c r="OKE4" s="42"/>
      <c r="OKF4" s="42"/>
      <c r="OKG4" s="42"/>
      <c r="OKH4" s="42"/>
      <c r="OKI4" s="42"/>
      <c r="OKJ4" s="42"/>
      <c r="OKK4" s="42"/>
      <c r="OKL4" s="42"/>
      <c r="OKM4" s="42"/>
      <c r="OKN4" s="42"/>
      <c r="OKO4" s="42"/>
      <c r="OKP4" s="42"/>
      <c r="OKQ4" s="42"/>
      <c r="OKR4" s="42"/>
      <c r="OKS4" s="42"/>
      <c r="OKT4" s="42"/>
      <c r="OKU4" s="42"/>
      <c r="OKV4" s="42"/>
      <c r="OKW4" s="42"/>
      <c r="OKX4" s="42"/>
      <c r="OKY4" s="42"/>
      <c r="OKZ4" s="42"/>
      <c r="OLA4" s="42"/>
      <c r="OLB4" s="42"/>
      <c r="OLC4" s="42"/>
      <c r="OLD4" s="42"/>
      <c r="OLE4" s="42"/>
      <c r="OLF4" s="42"/>
      <c r="OLG4" s="42"/>
      <c r="OLH4" s="42"/>
      <c r="OLI4" s="42"/>
      <c r="OLJ4" s="42"/>
      <c r="OLK4" s="42"/>
      <c r="OLL4" s="42"/>
      <c r="OLM4" s="42"/>
      <c r="OLN4" s="42"/>
      <c r="OLO4" s="42"/>
      <c r="OLP4" s="42"/>
      <c r="OLQ4" s="42"/>
      <c r="OLR4" s="42"/>
      <c r="OLS4" s="42"/>
      <c r="OLT4" s="42"/>
      <c r="OLU4" s="42"/>
      <c r="OLV4" s="42"/>
      <c r="OLW4" s="42"/>
      <c r="OLX4" s="42"/>
      <c r="OLY4" s="42"/>
      <c r="OLZ4" s="42"/>
      <c r="OMA4" s="42"/>
      <c r="OMB4" s="42"/>
      <c r="OMC4" s="42"/>
      <c r="OMD4" s="42"/>
      <c r="OME4" s="42"/>
      <c r="OMF4" s="42"/>
      <c r="OMG4" s="42"/>
      <c r="OMH4" s="42"/>
      <c r="OMI4" s="42"/>
      <c r="OMJ4" s="42"/>
      <c r="OMK4" s="42"/>
      <c r="OML4" s="42"/>
      <c r="OMM4" s="42"/>
      <c r="OMN4" s="42"/>
      <c r="OMO4" s="42"/>
      <c r="OMP4" s="42"/>
      <c r="OMQ4" s="42"/>
      <c r="OMR4" s="42"/>
      <c r="OMS4" s="42"/>
      <c r="OMT4" s="42"/>
      <c r="OMU4" s="42"/>
      <c r="OMV4" s="42"/>
      <c r="OMW4" s="42"/>
      <c r="OMX4" s="42"/>
      <c r="OMY4" s="42"/>
      <c r="OMZ4" s="42"/>
      <c r="ONA4" s="42"/>
      <c r="ONB4" s="42"/>
      <c r="ONC4" s="42"/>
      <c r="OND4" s="42"/>
      <c r="ONE4" s="42"/>
      <c r="ONF4" s="42"/>
      <c r="ONG4" s="42"/>
      <c r="ONH4" s="42"/>
      <c r="ONI4" s="42"/>
      <c r="ONJ4" s="42"/>
      <c r="ONK4" s="42"/>
      <c r="ONL4" s="42"/>
      <c r="ONM4" s="42"/>
      <c r="ONN4" s="42"/>
      <c r="ONO4" s="42"/>
      <c r="ONP4" s="42"/>
      <c r="ONQ4" s="42"/>
      <c r="ONR4" s="42"/>
      <c r="ONS4" s="42"/>
      <c r="ONT4" s="42"/>
      <c r="ONU4" s="42"/>
      <c r="ONV4" s="42"/>
      <c r="ONW4" s="42"/>
      <c r="ONX4" s="42"/>
      <c r="ONY4" s="42"/>
      <c r="ONZ4" s="42"/>
      <c r="OOA4" s="42"/>
      <c r="OOB4" s="42"/>
      <c r="OOC4" s="42"/>
      <c r="OOD4" s="42"/>
      <c r="OOE4" s="42"/>
      <c r="OOF4" s="42"/>
      <c r="OOG4" s="42"/>
      <c r="OOH4" s="42"/>
      <c r="OOI4" s="42"/>
      <c r="OOJ4" s="42"/>
      <c r="OOK4" s="42"/>
      <c r="OOL4" s="42"/>
      <c r="OOM4" s="42"/>
      <c r="OON4" s="42"/>
      <c r="OOO4" s="42"/>
      <c r="OOP4" s="42"/>
      <c r="OOQ4" s="42"/>
      <c r="OOR4" s="42"/>
      <c r="OOS4" s="42"/>
      <c r="OOT4" s="42"/>
      <c r="OOU4" s="42"/>
      <c r="OOV4" s="42"/>
      <c r="OOW4" s="42"/>
      <c r="OOX4" s="42"/>
      <c r="OOY4" s="42"/>
      <c r="OOZ4" s="42"/>
      <c r="OPA4" s="42"/>
      <c r="OPB4" s="42"/>
      <c r="OPC4" s="42"/>
      <c r="OPD4" s="42"/>
      <c r="OPE4" s="42"/>
      <c r="OPF4" s="42"/>
      <c r="OPG4" s="42"/>
      <c r="OPH4" s="42"/>
      <c r="OPI4" s="42"/>
      <c r="OPJ4" s="42"/>
      <c r="OPK4" s="42"/>
      <c r="OPL4" s="42"/>
      <c r="OPM4" s="42"/>
      <c r="OPN4" s="42"/>
      <c r="OPO4" s="42"/>
      <c r="OPP4" s="42"/>
      <c r="OPQ4" s="42"/>
      <c r="OPR4" s="42"/>
      <c r="OPS4" s="42"/>
      <c r="OPT4" s="42"/>
      <c r="OPU4" s="42"/>
      <c r="OPV4" s="42"/>
      <c r="OPW4" s="42"/>
      <c r="OPX4" s="42"/>
      <c r="OPY4" s="42"/>
      <c r="OPZ4" s="42"/>
      <c r="OQA4" s="42"/>
      <c r="OQB4" s="42"/>
      <c r="OQC4" s="42"/>
      <c r="OQD4" s="42"/>
      <c r="OQE4" s="42"/>
      <c r="OQF4" s="42"/>
      <c r="OQG4" s="42"/>
      <c r="OQH4" s="42"/>
      <c r="OQI4" s="42"/>
      <c r="OQJ4" s="42"/>
      <c r="OQK4" s="42"/>
      <c r="OQL4" s="42"/>
      <c r="OQM4" s="42"/>
      <c r="OQN4" s="42"/>
      <c r="OQO4" s="42"/>
      <c r="OQP4" s="42"/>
      <c r="OQQ4" s="42"/>
      <c r="OQR4" s="42"/>
      <c r="OQS4" s="42"/>
      <c r="OQT4" s="42"/>
      <c r="OQU4" s="42"/>
      <c r="OQV4" s="42"/>
      <c r="OQW4" s="42"/>
      <c r="OQX4" s="42"/>
      <c r="OQY4" s="42"/>
      <c r="OQZ4" s="42"/>
      <c r="ORA4" s="42"/>
      <c r="ORB4" s="42"/>
      <c r="ORC4" s="42"/>
      <c r="ORD4" s="42"/>
      <c r="ORE4" s="42"/>
      <c r="ORF4" s="42"/>
      <c r="ORG4" s="42"/>
      <c r="ORH4" s="42"/>
      <c r="ORI4" s="42"/>
      <c r="ORJ4" s="42"/>
      <c r="ORK4" s="42"/>
      <c r="ORL4" s="42"/>
      <c r="ORM4" s="42"/>
      <c r="ORN4" s="42"/>
      <c r="ORO4" s="42"/>
      <c r="ORP4" s="42"/>
      <c r="ORQ4" s="42"/>
      <c r="ORR4" s="42"/>
      <c r="ORS4" s="42"/>
      <c r="ORT4" s="42"/>
      <c r="ORU4" s="42"/>
      <c r="ORV4" s="42"/>
      <c r="ORW4" s="42"/>
      <c r="ORX4" s="42"/>
      <c r="ORY4" s="42"/>
      <c r="ORZ4" s="42"/>
      <c r="OSA4" s="42"/>
      <c r="OSB4" s="42"/>
      <c r="OSC4" s="42"/>
      <c r="OSD4" s="42"/>
      <c r="OSE4" s="42"/>
      <c r="OSF4" s="42"/>
      <c r="OSG4" s="42"/>
      <c r="OSH4" s="42"/>
      <c r="OSI4" s="42"/>
      <c r="OSJ4" s="42"/>
      <c r="OSK4" s="42"/>
      <c r="OSL4" s="42"/>
      <c r="OSM4" s="42"/>
      <c r="OSN4" s="42"/>
      <c r="OSO4" s="42"/>
      <c r="OSP4" s="42"/>
      <c r="OSQ4" s="42"/>
      <c r="OSR4" s="42"/>
      <c r="OSS4" s="42"/>
      <c r="OST4" s="42"/>
      <c r="OSU4" s="42"/>
      <c r="OSV4" s="42"/>
      <c r="OSW4" s="42"/>
      <c r="OSX4" s="42"/>
      <c r="OSY4" s="42"/>
      <c r="OSZ4" s="42"/>
      <c r="OTA4" s="42"/>
      <c r="OTB4" s="42"/>
      <c r="OTC4" s="42"/>
      <c r="OTD4" s="42"/>
      <c r="OTE4" s="42"/>
      <c r="OTF4" s="42"/>
      <c r="OTG4" s="42"/>
      <c r="OTH4" s="42"/>
      <c r="OTI4" s="42"/>
      <c r="OTJ4" s="42"/>
      <c r="OTK4" s="42"/>
      <c r="OTL4" s="42"/>
      <c r="OTM4" s="42"/>
      <c r="OTN4" s="42"/>
      <c r="OTO4" s="42"/>
      <c r="OTP4" s="42"/>
      <c r="OTQ4" s="42"/>
      <c r="OTR4" s="42"/>
      <c r="OTS4" s="42"/>
      <c r="OTT4" s="42"/>
      <c r="OTU4" s="42"/>
      <c r="OTV4" s="42"/>
      <c r="OTW4" s="42"/>
      <c r="OTX4" s="42"/>
      <c r="OTY4" s="42"/>
      <c r="OTZ4" s="42"/>
      <c r="OUA4" s="42"/>
      <c r="OUB4" s="42"/>
      <c r="OUC4" s="42"/>
      <c r="OUD4" s="42"/>
      <c r="OUE4" s="42"/>
      <c r="OUF4" s="42"/>
      <c r="OUG4" s="42"/>
      <c r="OUH4" s="42"/>
      <c r="OUI4" s="42"/>
      <c r="OUJ4" s="42"/>
      <c r="OUK4" s="42"/>
      <c r="OUL4" s="42"/>
      <c r="OUM4" s="42"/>
      <c r="OUN4" s="42"/>
      <c r="OUO4" s="42"/>
      <c r="OUP4" s="42"/>
      <c r="OUQ4" s="42"/>
      <c r="OUR4" s="42"/>
      <c r="OUS4" s="42"/>
      <c r="OUT4" s="42"/>
      <c r="OUU4" s="42"/>
      <c r="OUV4" s="42"/>
      <c r="OUW4" s="42"/>
      <c r="OUX4" s="42"/>
      <c r="OUY4" s="42"/>
      <c r="OUZ4" s="42"/>
      <c r="OVA4" s="42"/>
      <c r="OVB4" s="42"/>
      <c r="OVC4" s="42"/>
      <c r="OVD4" s="42"/>
      <c r="OVE4" s="42"/>
      <c r="OVF4" s="42"/>
      <c r="OVG4" s="42"/>
      <c r="OVH4" s="42"/>
      <c r="OVI4" s="42"/>
      <c r="OVJ4" s="42"/>
      <c r="OVK4" s="42"/>
      <c r="OVL4" s="42"/>
      <c r="OVM4" s="42"/>
      <c r="OVN4" s="42"/>
      <c r="OVO4" s="42"/>
      <c r="OVP4" s="42"/>
      <c r="OVQ4" s="42"/>
      <c r="OVR4" s="42"/>
      <c r="OVS4" s="42"/>
      <c r="OVT4" s="42"/>
      <c r="OVU4" s="42"/>
      <c r="OVV4" s="42"/>
      <c r="OVW4" s="42"/>
      <c r="OVX4" s="42"/>
      <c r="OVY4" s="42"/>
      <c r="OVZ4" s="42"/>
      <c r="OWA4" s="42"/>
      <c r="OWB4" s="42"/>
      <c r="OWC4" s="42"/>
      <c r="OWD4" s="42"/>
      <c r="OWE4" s="42"/>
      <c r="OWF4" s="42"/>
      <c r="OWG4" s="42"/>
      <c r="OWH4" s="42"/>
      <c r="OWI4" s="42"/>
      <c r="OWJ4" s="42"/>
      <c r="OWK4" s="42"/>
      <c r="OWL4" s="42"/>
      <c r="OWM4" s="42"/>
      <c r="OWN4" s="42"/>
      <c r="OWO4" s="42"/>
      <c r="OWP4" s="42"/>
      <c r="OWQ4" s="42"/>
      <c r="OWR4" s="42"/>
      <c r="OWS4" s="42"/>
      <c r="OWT4" s="42"/>
      <c r="OWU4" s="42"/>
      <c r="OWV4" s="42"/>
      <c r="OWW4" s="42"/>
      <c r="OWX4" s="42"/>
      <c r="OWY4" s="42"/>
      <c r="OWZ4" s="42"/>
      <c r="OXA4" s="42"/>
      <c r="OXB4" s="42"/>
      <c r="OXC4" s="42"/>
      <c r="OXD4" s="42"/>
      <c r="OXE4" s="42"/>
      <c r="OXF4" s="42"/>
      <c r="OXG4" s="42"/>
      <c r="OXH4" s="42"/>
      <c r="OXI4" s="42"/>
      <c r="OXJ4" s="42"/>
      <c r="OXK4" s="42"/>
      <c r="OXL4" s="42"/>
      <c r="OXM4" s="42"/>
      <c r="OXN4" s="42"/>
      <c r="OXO4" s="42"/>
      <c r="OXP4" s="42"/>
      <c r="OXQ4" s="42"/>
      <c r="OXR4" s="42"/>
      <c r="OXS4" s="42"/>
      <c r="OXT4" s="42"/>
      <c r="OXU4" s="42"/>
      <c r="OXV4" s="42"/>
      <c r="OXW4" s="42"/>
      <c r="OXX4" s="42"/>
      <c r="OXY4" s="42"/>
      <c r="OXZ4" s="42"/>
      <c r="OYA4" s="42"/>
      <c r="OYB4" s="42"/>
      <c r="OYC4" s="42"/>
      <c r="OYD4" s="42"/>
      <c r="OYE4" s="42"/>
      <c r="OYF4" s="42"/>
      <c r="OYG4" s="42"/>
      <c r="OYH4" s="42"/>
      <c r="OYI4" s="42"/>
      <c r="OYJ4" s="42"/>
      <c r="OYK4" s="42"/>
      <c r="OYL4" s="42"/>
      <c r="OYM4" s="42"/>
      <c r="OYN4" s="42"/>
      <c r="OYO4" s="42"/>
      <c r="OYP4" s="42"/>
      <c r="OYQ4" s="42"/>
      <c r="OYR4" s="42"/>
      <c r="OYS4" s="42"/>
      <c r="OYT4" s="42"/>
      <c r="OYU4" s="42"/>
      <c r="OYV4" s="42"/>
      <c r="OYW4" s="42"/>
      <c r="OYX4" s="42"/>
      <c r="OYY4" s="42"/>
      <c r="OYZ4" s="42"/>
      <c r="OZA4" s="42"/>
      <c r="OZB4" s="42"/>
      <c r="OZC4" s="42"/>
      <c r="OZD4" s="42"/>
      <c r="OZE4" s="42"/>
      <c r="OZF4" s="42"/>
      <c r="OZG4" s="42"/>
      <c r="OZH4" s="42"/>
      <c r="OZI4" s="42"/>
      <c r="OZJ4" s="42"/>
      <c r="OZK4" s="42"/>
      <c r="OZL4" s="42"/>
      <c r="OZM4" s="42"/>
      <c r="OZN4" s="42"/>
      <c r="OZO4" s="42"/>
      <c r="OZP4" s="42"/>
      <c r="OZQ4" s="42"/>
      <c r="OZR4" s="42"/>
      <c r="OZS4" s="42"/>
      <c r="OZT4" s="42"/>
      <c r="OZU4" s="42"/>
      <c r="OZV4" s="42"/>
      <c r="OZW4" s="42"/>
      <c r="OZX4" s="42"/>
      <c r="OZY4" s="42"/>
      <c r="OZZ4" s="42"/>
      <c r="PAA4" s="42"/>
      <c r="PAB4" s="42"/>
      <c r="PAC4" s="42"/>
      <c r="PAD4" s="42"/>
      <c r="PAE4" s="42"/>
      <c r="PAF4" s="42"/>
      <c r="PAG4" s="42"/>
      <c r="PAH4" s="42"/>
      <c r="PAI4" s="42"/>
      <c r="PAJ4" s="42"/>
      <c r="PAK4" s="42"/>
      <c r="PAL4" s="42"/>
      <c r="PAM4" s="42"/>
      <c r="PAN4" s="42"/>
      <c r="PAO4" s="42"/>
      <c r="PAP4" s="42"/>
      <c r="PAQ4" s="42"/>
      <c r="PAR4" s="42"/>
      <c r="PAS4" s="42"/>
      <c r="PAT4" s="42"/>
      <c r="PAU4" s="42"/>
      <c r="PAV4" s="42"/>
      <c r="PAW4" s="42"/>
      <c r="PAX4" s="42"/>
      <c r="PAY4" s="42"/>
      <c r="PAZ4" s="42"/>
      <c r="PBA4" s="42"/>
      <c r="PBB4" s="42"/>
      <c r="PBC4" s="42"/>
      <c r="PBD4" s="42"/>
      <c r="PBE4" s="42"/>
      <c r="PBF4" s="42"/>
      <c r="PBG4" s="42"/>
      <c r="PBH4" s="42"/>
      <c r="PBI4" s="42"/>
      <c r="PBJ4" s="42"/>
      <c r="PBK4" s="42"/>
      <c r="PBL4" s="42"/>
      <c r="PBM4" s="42"/>
      <c r="PBN4" s="42"/>
      <c r="PBO4" s="42"/>
      <c r="PBP4" s="42"/>
      <c r="PBQ4" s="42"/>
      <c r="PBR4" s="42"/>
      <c r="PBS4" s="42"/>
      <c r="PBT4" s="42"/>
      <c r="PBU4" s="42"/>
      <c r="PBV4" s="42"/>
      <c r="PBW4" s="42"/>
      <c r="PBX4" s="42"/>
      <c r="PBY4" s="42"/>
      <c r="PBZ4" s="42"/>
      <c r="PCA4" s="42"/>
      <c r="PCB4" s="42"/>
      <c r="PCC4" s="42"/>
      <c r="PCD4" s="42"/>
      <c r="PCE4" s="42"/>
      <c r="PCF4" s="42"/>
      <c r="PCG4" s="42"/>
      <c r="PCH4" s="42"/>
      <c r="PCI4" s="42"/>
      <c r="PCJ4" s="42"/>
      <c r="PCK4" s="42"/>
      <c r="PCL4" s="42"/>
      <c r="PCM4" s="42"/>
      <c r="PCN4" s="42"/>
      <c r="PCO4" s="42"/>
      <c r="PCP4" s="42"/>
      <c r="PCQ4" s="42"/>
      <c r="PCR4" s="42"/>
      <c r="PCS4" s="42"/>
      <c r="PCT4" s="42"/>
      <c r="PCU4" s="42"/>
      <c r="PCV4" s="42"/>
      <c r="PCW4" s="42"/>
      <c r="PCX4" s="42"/>
      <c r="PCY4" s="42"/>
      <c r="PCZ4" s="42"/>
      <c r="PDA4" s="42"/>
      <c r="PDB4" s="42"/>
      <c r="PDC4" s="42"/>
      <c r="PDD4" s="42"/>
      <c r="PDE4" s="42"/>
      <c r="PDF4" s="42"/>
      <c r="PDG4" s="42"/>
      <c r="PDH4" s="42"/>
      <c r="PDI4" s="42"/>
      <c r="PDJ4" s="42"/>
      <c r="PDK4" s="42"/>
      <c r="PDL4" s="42"/>
      <c r="PDM4" s="42"/>
      <c r="PDN4" s="42"/>
      <c r="PDO4" s="42"/>
      <c r="PDP4" s="42"/>
      <c r="PDQ4" s="42"/>
      <c r="PDR4" s="42"/>
      <c r="PDS4" s="42"/>
      <c r="PDT4" s="42"/>
      <c r="PDU4" s="42"/>
      <c r="PDV4" s="42"/>
      <c r="PDW4" s="42"/>
      <c r="PDX4" s="42"/>
      <c r="PDY4" s="42"/>
      <c r="PDZ4" s="42"/>
      <c r="PEA4" s="42"/>
      <c r="PEB4" s="42"/>
      <c r="PEC4" s="42"/>
      <c r="PED4" s="42"/>
      <c r="PEE4" s="42"/>
      <c r="PEF4" s="42"/>
      <c r="PEG4" s="42"/>
      <c r="PEH4" s="42"/>
      <c r="PEI4" s="42"/>
      <c r="PEJ4" s="42"/>
      <c r="PEK4" s="42"/>
      <c r="PEL4" s="42"/>
      <c r="PEM4" s="42"/>
      <c r="PEN4" s="42"/>
      <c r="PEO4" s="42"/>
      <c r="PEP4" s="42"/>
      <c r="PEQ4" s="42"/>
      <c r="PER4" s="42"/>
      <c r="PES4" s="42"/>
      <c r="PET4" s="42"/>
      <c r="PEU4" s="42"/>
      <c r="PEV4" s="42"/>
      <c r="PEW4" s="42"/>
      <c r="PEX4" s="42"/>
      <c r="PEY4" s="42"/>
      <c r="PEZ4" s="42"/>
      <c r="PFA4" s="42"/>
      <c r="PFB4" s="42"/>
      <c r="PFC4" s="42"/>
      <c r="PFD4" s="42"/>
      <c r="PFE4" s="42"/>
      <c r="PFF4" s="42"/>
      <c r="PFG4" s="42"/>
      <c r="PFH4" s="42"/>
      <c r="PFI4" s="42"/>
      <c r="PFJ4" s="42"/>
      <c r="PFK4" s="42"/>
      <c r="PFL4" s="42"/>
      <c r="PFM4" s="42"/>
      <c r="PFN4" s="42"/>
      <c r="PFO4" s="42"/>
      <c r="PFP4" s="42"/>
      <c r="PFQ4" s="42"/>
      <c r="PFR4" s="42"/>
      <c r="PFS4" s="42"/>
      <c r="PFT4" s="42"/>
      <c r="PFU4" s="42"/>
      <c r="PFV4" s="42"/>
      <c r="PFW4" s="42"/>
      <c r="PFX4" s="42"/>
      <c r="PFY4" s="42"/>
      <c r="PFZ4" s="42"/>
      <c r="PGA4" s="42"/>
      <c r="PGB4" s="42"/>
      <c r="PGC4" s="42"/>
      <c r="PGD4" s="42"/>
      <c r="PGE4" s="42"/>
      <c r="PGF4" s="42"/>
      <c r="PGG4" s="42"/>
      <c r="PGH4" s="42"/>
      <c r="PGI4" s="42"/>
      <c r="PGJ4" s="42"/>
      <c r="PGK4" s="42"/>
      <c r="PGL4" s="42"/>
      <c r="PGM4" s="42"/>
      <c r="PGN4" s="42"/>
      <c r="PGO4" s="42"/>
      <c r="PGP4" s="42"/>
      <c r="PGQ4" s="42"/>
      <c r="PGR4" s="42"/>
      <c r="PGS4" s="42"/>
      <c r="PGT4" s="42"/>
      <c r="PGU4" s="42"/>
      <c r="PGV4" s="42"/>
      <c r="PGW4" s="42"/>
      <c r="PGX4" s="42"/>
      <c r="PGY4" s="42"/>
      <c r="PGZ4" s="42"/>
      <c r="PHA4" s="42"/>
      <c r="PHB4" s="42"/>
      <c r="PHC4" s="42"/>
      <c r="PHD4" s="42"/>
      <c r="PHE4" s="42"/>
      <c r="PHF4" s="42"/>
      <c r="PHG4" s="42"/>
      <c r="PHH4" s="42"/>
      <c r="PHI4" s="42"/>
      <c r="PHJ4" s="42"/>
      <c r="PHK4" s="42"/>
      <c r="PHL4" s="42"/>
      <c r="PHM4" s="42"/>
      <c r="PHN4" s="42"/>
      <c r="PHO4" s="42"/>
      <c r="PHP4" s="42"/>
      <c r="PHQ4" s="42"/>
      <c r="PHR4" s="42"/>
      <c r="PHS4" s="42"/>
      <c r="PHT4" s="42"/>
      <c r="PHU4" s="42"/>
      <c r="PHV4" s="42"/>
      <c r="PHW4" s="42"/>
      <c r="PHX4" s="42"/>
      <c r="PHY4" s="42"/>
      <c r="PHZ4" s="42"/>
      <c r="PIA4" s="42"/>
      <c r="PIB4" s="42"/>
      <c r="PIC4" s="42"/>
      <c r="PID4" s="42"/>
      <c r="PIE4" s="42"/>
      <c r="PIF4" s="42"/>
      <c r="PIG4" s="42"/>
      <c r="PIH4" s="42"/>
      <c r="PII4" s="42"/>
      <c r="PIJ4" s="42"/>
      <c r="PIK4" s="42"/>
      <c r="PIL4" s="42"/>
      <c r="PIM4" s="42"/>
      <c r="PIN4" s="42"/>
      <c r="PIO4" s="42"/>
      <c r="PIP4" s="42"/>
      <c r="PIQ4" s="42"/>
      <c r="PIR4" s="42"/>
      <c r="PIS4" s="42"/>
      <c r="PIT4" s="42"/>
      <c r="PIU4" s="42"/>
      <c r="PIV4" s="42"/>
      <c r="PIW4" s="42"/>
      <c r="PIX4" s="42"/>
      <c r="PIY4" s="42"/>
      <c r="PIZ4" s="42"/>
      <c r="PJA4" s="42"/>
      <c r="PJB4" s="42"/>
      <c r="PJC4" s="42"/>
      <c r="PJD4" s="42"/>
      <c r="PJE4" s="42"/>
      <c r="PJF4" s="42"/>
      <c r="PJG4" s="42"/>
      <c r="PJH4" s="42"/>
      <c r="PJI4" s="42"/>
      <c r="PJJ4" s="42"/>
      <c r="PJK4" s="42"/>
      <c r="PJL4" s="42"/>
      <c r="PJM4" s="42"/>
      <c r="PJN4" s="42"/>
      <c r="PJO4" s="42"/>
      <c r="PJP4" s="42"/>
      <c r="PJQ4" s="42"/>
      <c r="PJR4" s="42"/>
      <c r="PJS4" s="42"/>
      <c r="PJT4" s="42"/>
      <c r="PJU4" s="42"/>
      <c r="PJV4" s="42"/>
      <c r="PJW4" s="42"/>
      <c r="PJX4" s="42"/>
      <c r="PJY4" s="42"/>
      <c r="PJZ4" s="42"/>
      <c r="PKA4" s="42"/>
      <c r="PKB4" s="42"/>
      <c r="PKC4" s="42"/>
      <c r="PKD4" s="42"/>
      <c r="PKE4" s="42"/>
      <c r="PKF4" s="42"/>
      <c r="PKG4" s="42"/>
      <c r="PKH4" s="42"/>
      <c r="PKI4" s="42"/>
      <c r="PKJ4" s="42"/>
      <c r="PKK4" s="42"/>
      <c r="PKL4" s="42"/>
      <c r="PKM4" s="42"/>
      <c r="PKN4" s="42"/>
      <c r="PKO4" s="42"/>
      <c r="PKP4" s="42"/>
      <c r="PKQ4" s="42"/>
      <c r="PKR4" s="42"/>
      <c r="PKS4" s="42"/>
      <c r="PKT4" s="42"/>
      <c r="PKU4" s="42"/>
      <c r="PKV4" s="42"/>
      <c r="PKW4" s="42"/>
      <c r="PKX4" s="42"/>
      <c r="PKY4" s="42"/>
      <c r="PKZ4" s="42"/>
      <c r="PLA4" s="42"/>
      <c r="PLB4" s="42"/>
      <c r="PLC4" s="42"/>
      <c r="PLD4" s="42"/>
      <c r="PLE4" s="42"/>
      <c r="PLF4" s="42"/>
      <c r="PLG4" s="42"/>
      <c r="PLH4" s="42"/>
      <c r="PLI4" s="42"/>
      <c r="PLJ4" s="42"/>
      <c r="PLK4" s="42"/>
      <c r="PLL4" s="42"/>
      <c r="PLM4" s="42"/>
      <c r="PLN4" s="42"/>
      <c r="PLO4" s="42"/>
      <c r="PLP4" s="42"/>
      <c r="PLQ4" s="42"/>
      <c r="PLR4" s="42"/>
      <c r="PLS4" s="42"/>
      <c r="PLT4" s="42"/>
      <c r="PLU4" s="42"/>
      <c r="PLV4" s="42"/>
      <c r="PLW4" s="42"/>
      <c r="PLX4" s="42"/>
      <c r="PLY4" s="42"/>
      <c r="PLZ4" s="42"/>
      <c r="PMA4" s="42"/>
      <c r="PMB4" s="42"/>
      <c r="PMC4" s="42"/>
      <c r="PMD4" s="42"/>
      <c r="PME4" s="42"/>
      <c r="PMF4" s="42"/>
      <c r="PMG4" s="42"/>
      <c r="PMH4" s="42"/>
      <c r="PMI4" s="42"/>
      <c r="PMJ4" s="42"/>
      <c r="PMK4" s="42"/>
      <c r="PML4" s="42"/>
      <c r="PMM4" s="42"/>
      <c r="PMN4" s="42"/>
      <c r="PMO4" s="42"/>
      <c r="PMP4" s="42"/>
      <c r="PMQ4" s="42"/>
      <c r="PMR4" s="42"/>
      <c r="PMS4" s="42"/>
      <c r="PMT4" s="42"/>
      <c r="PMU4" s="42"/>
      <c r="PMV4" s="42"/>
      <c r="PMW4" s="42"/>
      <c r="PMX4" s="42"/>
      <c r="PMY4" s="42"/>
      <c r="PMZ4" s="42"/>
      <c r="PNA4" s="42"/>
      <c r="PNB4" s="42"/>
      <c r="PNC4" s="42"/>
      <c r="PND4" s="42"/>
      <c r="PNE4" s="42"/>
      <c r="PNF4" s="42"/>
      <c r="PNG4" s="42"/>
      <c r="PNH4" s="42"/>
      <c r="PNI4" s="42"/>
      <c r="PNJ4" s="42"/>
      <c r="PNK4" s="42"/>
      <c r="PNL4" s="42"/>
      <c r="PNM4" s="42"/>
      <c r="PNN4" s="42"/>
      <c r="PNO4" s="42"/>
      <c r="PNP4" s="42"/>
      <c r="PNQ4" s="42"/>
      <c r="PNR4" s="42"/>
      <c r="PNS4" s="42"/>
      <c r="PNT4" s="42"/>
      <c r="PNU4" s="42"/>
      <c r="PNV4" s="42"/>
      <c r="PNW4" s="42"/>
      <c r="PNX4" s="42"/>
      <c r="PNY4" s="42"/>
      <c r="PNZ4" s="42"/>
      <c r="POA4" s="42"/>
      <c r="POB4" s="42"/>
      <c r="POC4" s="42"/>
      <c r="POD4" s="42"/>
      <c r="POE4" s="42"/>
      <c r="POF4" s="42"/>
      <c r="POG4" s="42"/>
      <c r="POH4" s="42"/>
      <c r="POI4" s="42"/>
      <c r="POJ4" s="42"/>
      <c r="POK4" s="42"/>
      <c r="POL4" s="42"/>
      <c r="POM4" s="42"/>
      <c r="PON4" s="42"/>
      <c r="POO4" s="42"/>
      <c r="POP4" s="42"/>
      <c r="POQ4" s="42"/>
      <c r="POR4" s="42"/>
      <c r="POS4" s="42"/>
      <c r="POT4" s="42"/>
      <c r="POU4" s="42"/>
      <c r="POV4" s="42"/>
      <c r="POW4" s="42"/>
      <c r="POX4" s="42"/>
      <c r="POY4" s="42"/>
      <c r="POZ4" s="42"/>
      <c r="PPA4" s="42"/>
      <c r="PPB4" s="42"/>
      <c r="PPC4" s="42"/>
      <c r="PPD4" s="42"/>
      <c r="PPE4" s="42"/>
      <c r="PPF4" s="42"/>
      <c r="PPG4" s="42"/>
      <c r="PPH4" s="42"/>
      <c r="PPI4" s="42"/>
      <c r="PPJ4" s="42"/>
      <c r="PPK4" s="42"/>
      <c r="PPL4" s="42"/>
      <c r="PPM4" s="42"/>
      <c r="PPN4" s="42"/>
      <c r="PPO4" s="42"/>
      <c r="PPP4" s="42"/>
      <c r="PPQ4" s="42"/>
      <c r="PPR4" s="42"/>
      <c r="PPS4" s="42"/>
      <c r="PPT4" s="42"/>
      <c r="PPU4" s="42"/>
      <c r="PPV4" s="42"/>
      <c r="PPW4" s="42"/>
      <c r="PPX4" s="42"/>
      <c r="PPY4" s="42"/>
      <c r="PPZ4" s="42"/>
      <c r="PQA4" s="42"/>
      <c r="PQB4" s="42"/>
      <c r="PQC4" s="42"/>
      <c r="PQD4" s="42"/>
      <c r="PQE4" s="42"/>
      <c r="PQF4" s="42"/>
      <c r="PQG4" s="42"/>
      <c r="PQH4" s="42"/>
      <c r="PQI4" s="42"/>
      <c r="PQJ4" s="42"/>
      <c r="PQK4" s="42"/>
      <c r="PQL4" s="42"/>
      <c r="PQM4" s="42"/>
      <c r="PQN4" s="42"/>
      <c r="PQO4" s="42"/>
      <c r="PQP4" s="42"/>
      <c r="PQQ4" s="42"/>
      <c r="PQR4" s="42"/>
      <c r="PQS4" s="42"/>
      <c r="PQT4" s="42"/>
      <c r="PQU4" s="42"/>
      <c r="PQV4" s="42"/>
      <c r="PQW4" s="42"/>
      <c r="PQX4" s="42"/>
      <c r="PQY4" s="42"/>
      <c r="PQZ4" s="42"/>
      <c r="PRA4" s="42"/>
      <c r="PRB4" s="42"/>
      <c r="PRC4" s="42"/>
      <c r="PRD4" s="42"/>
      <c r="PRE4" s="42"/>
      <c r="PRF4" s="42"/>
      <c r="PRG4" s="42"/>
      <c r="PRH4" s="42"/>
      <c r="PRI4" s="42"/>
      <c r="PRJ4" s="42"/>
      <c r="PRK4" s="42"/>
      <c r="PRL4" s="42"/>
      <c r="PRM4" s="42"/>
      <c r="PRN4" s="42"/>
      <c r="PRO4" s="42"/>
      <c r="PRP4" s="42"/>
      <c r="PRQ4" s="42"/>
      <c r="PRR4" s="42"/>
      <c r="PRS4" s="42"/>
      <c r="PRT4" s="42"/>
      <c r="PRU4" s="42"/>
      <c r="PRV4" s="42"/>
      <c r="PRW4" s="42"/>
      <c r="PRX4" s="42"/>
      <c r="PRY4" s="42"/>
      <c r="PRZ4" s="42"/>
      <c r="PSA4" s="42"/>
      <c r="PSB4" s="42"/>
      <c r="PSC4" s="42"/>
      <c r="PSD4" s="42"/>
      <c r="PSE4" s="42"/>
      <c r="PSF4" s="42"/>
      <c r="PSG4" s="42"/>
      <c r="PSH4" s="42"/>
      <c r="PSI4" s="42"/>
      <c r="PSJ4" s="42"/>
      <c r="PSK4" s="42"/>
      <c r="PSL4" s="42"/>
      <c r="PSM4" s="42"/>
      <c r="PSN4" s="42"/>
      <c r="PSO4" s="42"/>
      <c r="PSP4" s="42"/>
      <c r="PSQ4" s="42"/>
      <c r="PSR4" s="42"/>
      <c r="PSS4" s="42"/>
      <c r="PST4" s="42"/>
      <c r="PSU4" s="42"/>
      <c r="PSV4" s="42"/>
      <c r="PSW4" s="42"/>
      <c r="PSX4" s="42"/>
      <c r="PSY4" s="42"/>
      <c r="PSZ4" s="42"/>
      <c r="PTA4" s="42"/>
      <c r="PTB4" s="42"/>
      <c r="PTC4" s="42"/>
      <c r="PTD4" s="42"/>
      <c r="PTE4" s="42"/>
      <c r="PTF4" s="42"/>
      <c r="PTG4" s="42"/>
      <c r="PTH4" s="42"/>
      <c r="PTI4" s="42"/>
      <c r="PTJ4" s="42"/>
      <c r="PTK4" s="42"/>
      <c r="PTL4" s="42"/>
      <c r="PTM4" s="42"/>
      <c r="PTN4" s="42"/>
      <c r="PTO4" s="42"/>
      <c r="PTP4" s="42"/>
      <c r="PTQ4" s="42"/>
      <c r="PTR4" s="42"/>
      <c r="PTS4" s="42"/>
      <c r="PTT4" s="42"/>
      <c r="PTU4" s="42"/>
      <c r="PTV4" s="42"/>
      <c r="PTW4" s="42"/>
      <c r="PTX4" s="42"/>
      <c r="PTY4" s="42"/>
      <c r="PTZ4" s="42"/>
      <c r="PUA4" s="42"/>
      <c r="PUB4" s="42"/>
      <c r="PUC4" s="42"/>
      <c r="PUD4" s="42"/>
      <c r="PUE4" s="42"/>
      <c r="PUF4" s="42"/>
      <c r="PUG4" s="42"/>
      <c r="PUH4" s="42"/>
      <c r="PUI4" s="42"/>
      <c r="PUJ4" s="42"/>
      <c r="PUK4" s="42"/>
      <c r="PUL4" s="42"/>
      <c r="PUM4" s="42"/>
      <c r="PUN4" s="42"/>
      <c r="PUO4" s="42"/>
      <c r="PUP4" s="42"/>
      <c r="PUQ4" s="42"/>
      <c r="PUR4" s="42"/>
      <c r="PUS4" s="42"/>
      <c r="PUT4" s="42"/>
      <c r="PUU4" s="42"/>
      <c r="PUV4" s="42"/>
      <c r="PUW4" s="42"/>
      <c r="PUX4" s="42"/>
      <c r="PUY4" s="42"/>
      <c r="PUZ4" s="42"/>
      <c r="PVA4" s="42"/>
      <c r="PVB4" s="42"/>
      <c r="PVC4" s="42"/>
      <c r="PVD4" s="42"/>
      <c r="PVE4" s="42"/>
      <c r="PVF4" s="42"/>
      <c r="PVG4" s="42"/>
      <c r="PVH4" s="42"/>
      <c r="PVI4" s="42"/>
      <c r="PVJ4" s="42"/>
      <c r="PVK4" s="42"/>
      <c r="PVL4" s="42"/>
      <c r="PVM4" s="42"/>
      <c r="PVN4" s="42"/>
      <c r="PVO4" s="42"/>
      <c r="PVP4" s="42"/>
      <c r="PVQ4" s="42"/>
      <c r="PVR4" s="42"/>
      <c r="PVS4" s="42"/>
      <c r="PVT4" s="42"/>
      <c r="PVU4" s="42"/>
      <c r="PVV4" s="42"/>
      <c r="PVW4" s="42"/>
      <c r="PVX4" s="42"/>
      <c r="PVY4" s="42"/>
      <c r="PVZ4" s="42"/>
      <c r="PWA4" s="42"/>
      <c r="PWB4" s="42"/>
      <c r="PWC4" s="42"/>
      <c r="PWD4" s="42"/>
      <c r="PWE4" s="42"/>
      <c r="PWF4" s="42"/>
      <c r="PWG4" s="42"/>
      <c r="PWH4" s="42"/>
      <c r="PWI4" s="42"/>
      <c r="PWJ4" s="42"/>
      <c r="PWK4" s="42"/>
      <c r="PWL4" s="42"/>
      <c r="PWM4" s="42"/>
      <c r="PWN4" s="42"/>
      <c r="PWO4" s="42"/>
      <c r="PWP4" s="42"/>
      <c r="PWQ4" s="42"/>
      <c r="PWR4" s="42"/>
      <c r="PWS4" s="42"/>
      <c r="PWT4" s="42"/>
      <c r="PWU4" s="42"/>
      <c r="PWV4" s="42"/>
      <c r="PWW4" s="42"/>
      <c r="PWX4" s="42"/>
      <c r="PWY4" s="42"/>
      <c r="PWZ4" s="42"/>
      <c r="PXA4" s="42"/>
      <c r="PXB4" s="42"/>
      <c r="PXC4" s="42"/>
      <c r="PXD4" s="42"/>
      <c r="PXE4" s="42"/>
      <c r="PXF4" s="42"/>
      <c r="PXG4" s="42"/>
      <c r="PXH4" s="42"/>
      <c r="PXI4" s="42"/>
      <c r="PXJ4" s="42"/>
      <c r="PXK4" s="42"/>
      <c r="PXL4" s="42"/>
      <c r="PXM4" s="42"/>
      <c r="PXN4" s="42"/>
      <c r="PXO4" s="42"/>
      <c r="PXP4" s="42"/>
      <c r="PXQ4" s="42"/>
      <c r="PXR4" s="42"/>
      <c r="PXS4" s="42"/>
      <c r="PXT4" s="42"/>
      <c r="PXU4" s="42"/>
      <c r="PXV4" s="42"/>
      <c r="PXW4" s="42"/>
      <c r="PXX4" s="42"/>
      <c r="PXY4" s="42"/>
      <c r="PXZ4" s="42"/>
      <c r="PYA4" s="42"/>
      <c r="PYB4" s="42"/>
      <c r="PYC4" s="42"/>
      <c r="PYD4" s="42"/>
      <c r="PYE4" s="42"/>
      <c r="PYF4" s="42"/>
      <c r="PYG4" s="42"/>
      <c r="PYH4" s="42"/>
      <c r="PYI4" s="42"/>
      <c r="PYJ4" s="42"/>
      <c r="PYK4" s="42"/>
      <c r="PYL4" s="42"/>
      <c r="PYM4" s="42"/>
      <c r="PYN4" s="42"/>
      <c r="PYO4" s="42"/>
      <c r="PYP4" s="42"/>
      <c r="PYQ4" s="42"/>
      <c r="PYR4" s="42"/>
      <c r="PYS4" s="42"/>
      <c r="PYT4" s="42"/>
      <c r="PYU4" s="42"/>
      <c r="PYV4" s="42"/>
      <c r="PYW4" s="42"/>
      <c r="PYX4" s="42"/>
      <c r="PYY4" s="42"/>
      <c r="PYZ4" s="42"/>
      <c r="PZA4" s="42"/>
      <c r="PZB4" s="42"/>
      <c r="PZC4" s="42"/>
      <c r="PZD4" s="42"/>
      <c r="PZE4" s="42"/>
      <c r="PZF4" s="42"/>
      <c r="PZG4" s="42"/>
      <c r="PZH4" s="42"/>
      <c r="PZI4" s="42"/>
      <c r="PZJ4" s="42"/>
      <c r="PZK4" s="42"/>
      <c r="PZL4" s="42"/>
      <c r="PZM4" s="42"/>
      <c r="PZN4" s="42"/>
      <c r="PZO4" s="42"/>
      <c r="PZP4" s="42"/>
      <c r="PZQ4" s="42"/>
      <c r="PZR4" s="42"/>
      <c r="PZS4" s="42"/>
      <c r="PZT4" s="42"/>
      <c r="PZU4" s="42"/>
      <c r="PZV4" s="42"/>
      <c r="PZW4" s="42"/>
      <c r="PZX4" s="42"/>
      <c r="PZY4" s="42"/>
      <c r="PZZ4" s="42"/>
      <c r="QAA4" s="42"/>
      <c r="QAB4" s="42"/>
      <c r="QAC4" s="42"/>
      <c r="QAD4" s="42"/>
      <c r="QAE4" s="42"/>
      <c r="QAF4" s="42"/>
      <c r="QAG4" s="42"/>
      <c r="QAH4" s="42"/>
      <c r="QAI4" s="42"/>
      <c r="QAJ4" s="42"/>
      <c r="QAK4" s="42"/>
      <c r="QAL4" s="42"/>
      <c r="QAM4" s="42"/>
      <c r="QAN4" s="42"/>
      <c r="QAO4" s="42"/>
      <c r="QAP4" s="42"/>
      <c r="QAQ4" s="42"/>
      <c r="QAR4" s="42"/>
      <c r="QAS4" s="42"/>
      <c r="QAT4" s="42"/>
      <c r="QAU4" s="42"/>
      <c r="QAV4" s="42"/>
      <c r="QAW4" s="42"/>
      <c r="QAX4" s="42"/>
      <c r="QAY4" s="42"/>
      <c r="QAZ4" s="42"/>
      <c r="QBA4" s="42"/>
      <c r="QBB4" s="42"/>
      <c r="QBC4" s="42"/>
      <c r="QBD4" s="42"/>
      <c r="QBE4" s="42"/>
      <c r="QBF4" s="42"/>
      <c r="QBG4" s="42"/>
      <c r="QBH4" s="42"/>
      <c r="QBI4" s="42"/>
      <c r="QBJ4" s="42"/>
      <c r="QBK4" s="42"/>
      <c r="QBL4" s="42"/>
      <c r="QBM4" s="42"/>
      <c r="QBN4" s="42"/>
      <c r="QBO4" s="42"/>
      <c r="QBP4" s="42"/>
      <c r="QBQ4" s="42"/>
      <c r="QBR4" s="42"/>
      <c r="QBS4" s="42"/>
      <c r="QBT4" s="42"/>
      <c r="QBU4" s="42"/>
      <c r="QBV4" s="42"/>
      <c r="QBW4" s="42"/>
      <c r="QBX4" s="42"/>
      <c r="QBY4" s="42"/>
      <c r="QBZ4" s="42"/>
      <c r="QCA4" s="42"/>
      <c r="QCB4" s="42"/>
      <c r="QCC4" s="42"/>
      <c r="QCD4" s="42"/>
      <c r="QCE4" s="42"/>
      <c r="QCF4" s="42"/>
      <c r="QCG4" s="42"/>
      <c r="QCH4" s="42"/>
      <c r="QCI4" s="42"/>
      <c r="QCJ4" s="42"/>
      <c r="QCK4" s="42"/>
      <c r="QCL4" s="42"/>
      <c r="QCM4" s="42"/>
      <c r="QCN4" s="42"/>
      <c r="QCO4" s="42"/>
      <c r="QCP4" s="42"/>
      <c r="QCQ4" s="42"/>
      <c r="QCR4" s="42"/>
      <c r="QCS4" s="42"/>
      <c r="QCT4" s="42"/>
      <c r="QCU4" s="42"/>
      <c r="QCV4" s="42"/>
      <c r="QCW4" s="42"/>
      <c r="QCX4" s="42"/>
      <c r="QCY4" s="42"/>
      <c r="QCZ4" s="42"/>
      <c r="QDA4" s="42"/>
      <c r="QDB4" s="42"/>
      <c r="QDC4" s="42"/>
      <c r="QDD4" s="42"/>
      <c r="QDE4" s="42"/>
      <c r="QDF4" s="42"/>
      <c r="QDG4" s="42"/>
      <c r="QDH4" s="42"/>
      <c r="QDI4" s="42"/>
      <c r="QDJ4" s="42"/>
      <c r="QDK4" s="42"/>
      <c r="QDL4" s="42"/>
      <c r="QDM4" s="42"/>
      <c r="QDN4" s="42"/>
      <c r="QDO4" s="42"/>
      <c r="QDP4" s="42"/>
      <c r="QDQ4" s="42"/>
      <c r="QDR4" s="42"/>
      <c r="QDS4" s="42"/>
      <c r="QDT4" s="42"/>
      <c r="QDU4" s="42"/>
      <c r="QDV4" s="42"/>
      <c r="QDW4" s="42"/>
      <c r="QDX4" s="42"/>
      <c r="QDY4" s="42"/>
      <c r="QDZ4" s="42"/>
      <c r="QEA4" s="42"/>
      <c r="QEB4" s="42"/>
      <c r="QEC4" s="42"/>
      <c r="QED4" s="42"/>
      <c r="QEE4" s="42"/>
      <c r="QEF4" s="42"/>
      <c r="QEG4" s="42"/>
      <c r="QEH4" s="42"/>
      <c r="QEI4" s="42"/>
      <c r="QEJ4" s="42"/>
      <c r="QEK4" s="42"/>
      <c r="QEL4" s="42"/>
      <c r="QEM4" s="42"/>
      <c r="QEN4" s="42"/>
      <c r="QEO4" s="42"/>
      <c r="QEP4" s="42"/>
      <c r="QEQ4" s="42"/>
      <c r="QER4" s="42"/>
      <c r="QES4" s="42"/>
      <c r="QET4" s="42"/>
      <c r="QEU4" s="42"/>
      <c r="QEV4" s="42"/>
      <c r="QEW4" s="42"/>
      <c r="QEX4" s="42"/>
      <c r="QEY4" s="42"/>
      <c r="QEZ4" s="42"/>
      <c r="QFA4" s="42"/>
      <c r="QFB4" s="42"/>
      <c r="QFC4" s="42"/>
      <c r="QFD4" s="42"/>
      <c r="QFE4" s="42"/>
      <c r="QFF4" s="42"/>
      <c r="QFG4" s="42"/>
      <c r="QFH4" s="42"/>
      <c r="QFI4" s="42"/>
      <c r="QFJ4" s="42"/>
      <c r="QFK4" s="42"/>
      <c r="QFL4" s="42"/>
      <c r="QFM4" s="42"/>
      <c r="QFN4" s="42"/>
      <c r="QFO4" s="42"/>
      <c r="QFP4" s="42"/>
      <c r="QFQ4" s="42"/>
      <c r="QFR4" s="42"/>
      <c r="QFS4" s="42"/>
      <c r="QFT4" s="42"/>
      <c r="QFU4" s="42"/>
      <c r="QFV4" s="42"/>
      <c r="QFW4" s="42"/>
      <c r="QFX4" s="42"/>
      <c r="QFY4" s="42"/>
      <c r="QFZ4" s="42"/>
      <c r="QGA4" s="42"/>
      <c r="QGB4" s="42"/>
      <c r="QGC4" s="42"/>
      <c r="QGD4" s="42"/>
      <c r="QGE4" s="42"/>
      <c r="QGF4" s="42"/>
      <c r="QGG4" s="42"/>
      <c r="QGH4" s="42"/>
      <c r="QGI4" s="42"/>
      <c r="QGJ4" s="42"/>
      <c r="QGK4" s="42"/>
      <c r="QGL4" s="42"/>
      <c r="QGM4" s="42"/>
      <c r="QGN4" s="42"/>
      <c r="QGO4" s="42"/>
      <c r="QGP4" s="42"/>
      <c r="QGQ4" s="42"/>
      <c r="QGR4" s="42"/>
      <c r="QGS4" s="42"/>
      <c r="QGT4" s="42"/>
      <c r="QGU4" s="42"/>
      <c r="QGV4" s="42"/>
      <c r="QGW4" s="42"/>
      <c r="QGX4" s="42"/>
      <c r="QGY4" s="42"/>
      <c r="QGZ4" s="42"/>
      <c r="QHA4" s="42"/>
      <c r="QHB4" s="42"/>
      <c r="QHC4" s="42"/>
      <c r="QHD4" s="42"/>
      <c r="QHE4" s="42"/>
      <c r="QHF4" s="42"/>
      <c r="QHG4" s="42"/>
      <c r="QHH4" s="42"/>
      <c r="QHI4" s="42"/>
      <c r="QHJ4" s="42"/>
      <c r="QHK4" s="42"/>
      <c r="QHL4" s="42"/>
      <c r="QHM4" s="42"/>
      <c r="QHN4" s="42"/>
      <c r="QHO4" s="42"/>
      <c r="QHP4" s="42"/>
      <c r="QHQ4" s="42"/>
      <c r="QHR4" s="42"/>
      <c r="QHS4" s="42"/>
      <c r="QHT4" s="42"/>
      <c r="QHU4" s="42"/>
      <c r="QHV4" s="42"/>
      <c r="QHW4" s="42"/>
      <c r="QHX4" s="42"/>
      <c r="QHY4" s="42"/>
      <c r="QHZ4" s="42"/>
      <c r="QIA4" s="42"/>
      <c r="QIB4" s="42"/>
      <c r="QIC4" s="42"/>
      <c r="QID4" s="42"/>
      <c r="QIE4" s="42"/>
      <c r="QIF4" s="42"/>
      <c r="QIG4" s="42"/>
      <c r="QIH4" s="42"/>
      <c r="QII4" s="42"/>
      <c r="QIJ4" s="42"/>
      <c r="QIK4" s="42"/>
      <c r="QIL4" s="42"/>
      <c r="QIM4" s="42"/>
      <c r="QIN4" s="42"/>
      <c r="QIO4" s="42"/>
      <c r="QIP4" s="42"/>
      <c r="QIQ4" s="42"/>
      <c r="QIR4" s="42"/>
      <c r="QIS4" s="42"/>
      <c r="QIT4" s="42"/>
      <c r="QIU4" s="42"/>
      <c r="QIV4" s="42"/>
      <c r="QIW4" s="42"/>
      <c r="QIX4" s="42"/>
      <c r="QIY4" s="42"/>
      <c r="QIZ4" s="42"/>
      <c r="QJA4" s="42"/>
      <c r="QJB4" s="42"/>
      <c r="QJC4" s="42"/>
      <c r="QJD4" s="42"/>
      <c r="QJE4" s="42"/>
      <c r="QJF4" s="42"/>
      <c r="QJG4" s="42"/>
      <c r="QJH4" s="42"/>
      <c r="QJI4" s="42"/>
      <c r="QJJ4" s="42"/>
      <c r="QJK4" s="42"/>
      <c r="QJL4" s="42"/>
      <c r="QJM4" s="42"/>
      <c r="QJN4" s="42"/>
      <c r="QJO4" s="42"/>
      <c r="QJP4" s="42"/>
      <c r="QJQ4" s="42"/>
      <c r="QJR4" s="42"/>
      <c r="QJS4" s="42"/>
      <c r="QJT4" s="42"/>
      <c r="QJU4" s="42"/>
      <c r="QJV4" s="42"/>
      <c r="QJW4" s="42"/>
      <c r="QJX4" s="42"/>
      <c r="QJY4" s="42"/>
      <c r="QJZ4" s="42"/>
      <c r="QKA4" s="42"/>
      <c r="QKB4" s="42"/>
      <c r="QKC4" s="42"/>
      <c r="QKD4" s="42"/>
      <c r="QKE4" s="42"/>
      <c r="QKF4" s="42"/>
      <c r="QKG4" s="42"/>
      <c r="QKH4" s="42"/>
      <c r="QKI4" s="42"/>
      <c r="QKJ4" s="42"/>
      <c r="QKK4" s="42"/>
      <c r="QKL4" s="42"/>
      <c r="QKM4" s="42"/>
      <c r="QKN4" s="42"/>
      <c r="QKO4" s="42"/>
      <c r="QKP4" s="42"/>
      <c r="QKQ4" s="42"/>
      <c r="QKR4" s="42"/>
      <c r="QKS4" s="42"/>
      <c r="QKT4" s="42"/>
      <c r="QKU4" s="42"/>
      <c r="QKV4" s="42"/>
      <c r="QKW4" s="42"/>
      <c r="QKX4" s="42"/>
      <c r="QKY4" s="42"/>
      <c r="QKZ4" s="42"/>
      <c r="QLA4" s="42"/>
      <c r="QLB4" s="42"/>
      <c r="QLC4" s="42"/>
      <c r="QLD4" s="42"/>
      <c r="QLE4" s="42"/>
      <c r="QLF4" s="42"/>
      <c r="QLG4" s="42"/>
      <c r="QLH4" s="42"/>
      <c r="QLI4" s="42"/>
      <c r="QLJ4" s="42"/>
      <c r="QLK4" s="42"/>
      <c r="QLL4" s="42"/>
      <c r="QLM4" s="42"/>
      <c r="QLN4" s="42"/>
      <c r="QLO4" s="42"/>
      <c r="QLP4" s="42"/>
      <c r="QLQ4" s="42"/>
      <c r="QLR4" s="42"/>
      <c r="QLS4" s="42"/>
      <c r="QLT4" s="42"/>
      <c r="QLU4" s="42"/>
      <c r="QLV4" s="42"/>
      <c r="QLW4" s="42"/>
      <c r="QLX4" s="42"/>
      <c r="QLY4" s="42"/>
      <c r="QLZ4" s="42"/>
      <c r="QMA4" s="42"/>
      <c r="QMB4" s="42"/>
      <c r="QMC4" s="42"/>
      <c r="QMD4" s="42"/>
      <c r="QME4" s="42"/>
      <c r="QMF4" s="42"/>
      <c r="QMG4" s="42"/>
      <c r="QMH4" s="42"/>
      <c r="QMI4" s="42"/>
      <c r="QMJ4" s="42"/>
      <c r="QMK4" s="42"/>
      <c r="QML4" s="42"/>
      <c r="QMM4" s="42"/>
      <c r="QMN4" s="42"/>
      <c r="QMO4" s="42"/>
      <c r="QMP4" s="42"/>
      <c r="QMQ4" s="42"/>
      <c r="QMR4" s="42"/>
      <c r="QMS4" s="42"/>
      <c r="QMT4" s="42"/>
      <c r="QMU4" s="42"/>
      <c r="QMV4" s="42"/>
      <c r="QMW4" s="42"/>
      <c r="QMX4" s="42"/>
      <c r="QMY4" s="42"/>
      <c r="QMZ4" s="42"/>
      <c r="QNA4" s="42"/>
      <c r="QNB4" s="42"/>
      <c r="QNC4" s="42"/>
      <c r="QND4" s="42"/>
      <c r="QNE4" s="42"/>
      <c r="QNF4" s="42"/>
      <c r="QNG4" s="42"/>
      <c r="QNH4" s="42"/>
      <c r="QNI4" s="42"/>
      <c r="QNJ4" s="42"/>
      <c r="QNK4" s="42"/>
      <c r="QNL4" s="42"/>
      <c r="QNM4" s="42"/>
      <c r="QNN4" s="42"/>
      <c r="QNO4" s="42"/>
      <c r="QNP4" s="42"/>
      <c r="QNQ4" s="42"/>
      <c r="QNR4" s="42"/>
      <c r="QNS4" s="42"/>
      <c r="QNT4" s="42"/>
      <c r="QNU4" s="42"/>
      <c r="QNV4" s="42"/>
      <c r="QNW4" s="42"/>
      <c r="QNX4" s="42"/>
      <c r="QNY4" s="42"/>
      <c r="QNZ4" s="42"/>
      <c r="QOA4" s="42"/>
      <c r="QOB4" s="42"/>
      <c r="QOC4" s="42"/>
      <c r="QOD4" s="42"/>
      <c r="QOE4" s="42"/>
      <c r="QOF4" s="42"/>
      <c r="QOG4" s="42"/>
      <c r="QOH4" s="42"/>
      <c r="QOI4" s="42"/>
      <c r="QOJ4" s="42"/>
      <c r="QOK4" s="42"/>
      <c r="QOL4" s="42"/>
      <c r="QOM4" s="42"/>
      <c r="QON4" s="42"/>
      <c r="QOO4" s="42"/>
      <c r="QOP4" s="42"/>
      <c r="QOQ4" s="42"/>
      <c r="QOR4" s="42"/>
      <c r="QOS4" s="42"/>
      <c r="QOT4" s="42"/>
      <c r="QOU4" s="42"/>
      <c r="QOV4" s="42"/>
      <c r="QOW4" s="42"/>
      <c r="QOX4" s="42"/>
      <c r="QOY4" s="42"/>
      <c r="QOZ4" s="42"/>
      <c r="QPA4" s="42"/>
      <c r="QPB4" s="42"/>
      <c r="QPC4" s="42"/>
      <c r="QPD4" s="42"/>
      <c r="QPE4" s="42"/>
      <c r="QPF4" s="42"/>
      <c r="QPG4" s="42"/>
      <c r="QPH4" s="42"/>
      <c r="QPI4" s="42"/>
      <c r="QPJ4" s="42"/>
      <c r="QPK4" s="42"/>
      <c r="QPL4" s="42"/>
      <c r="QPM4" s="42"/>
      <c r="QPN4" s="42"/>
      <c r="QPO4" s="42"/>
      <c r="QPP4" s="42"/>
      <c r="QPQ4" s="42"/>
      <c r="QPR4" s="42"/>
      <c r="QPS4" s="42"/>
      <c r="QPT4" s="42"/>
      <c r="QPU4" s="42"/>
      <c r="QPV4" s="42"/>
      <c r="QPW4" s="42"/>
      <c r="QPX4" s="42"/>
      <c r="QPY4" s="42"/>
      <c r="QPZ4" s="42"/>
      <c r="QQA4" s="42"/>
      <c r="QQB4" s="42"/>
      <c r="QQC4" s="42"/>
      <c r="QQD4" s="42"/>
      <c r="QQE4" s="42"/>
      <c r="QQF4" s="42"/>
      <c r="QQG4" s="42"/>
      <c r="QQH4" s="42"/>
      <c r="QQI4" s="42"/>
      <c r="QQJ4" s="42"/>
      <c r="QQK4" s="42"/>
      <c r="QQL4" s="42"/>
      <c r="QQM4" s="42"/>
      <c r="QQN4" s="42"/>
      <c r="QQO4" s="42"/>
      <c r="QQP4" s="42"/>
      <c r="QQQ4" s="42"/>
      <c r="QQR4" s="42"/>
      <c r="QQS4" s="42"/>
      <c r="QQT4" s="42"/>
      <c r="QQU4" s="42"/>
      <c r="QQV4" s="42"/>
      <c r="QQW4" s="42"/>
      <c r="QQX4" s="42"/>
      <c r="QQY4" s="42"/>
      <c r="QQZ4" s="42"/>
      <c r="QRA4" s="42"/>
      <c r="QRB4" s="42"/>
      <c r="QRC4" s="42"/>
      <c r="QRD4" s="42"/>
      <c r="QRE4" s="42"/>
      <c r="QRF4" s="42"/>
      <c r="QRG4" s="42"/>
      <c r="QRH4" s="42"/>
      <c r="QRI4" s="42"/>
      <c r="QRJ4" s="42"/>
      <c r="QRK4" s="42"/>
      <c r="QRL4" s="42"/>
      <c r="QRM4" s="42"/>
      <c r="QRN4" s="42"/>
      <c r="QRO4" s="42"/>
      <c r="QRP4" s="42"/>
      <c r="QRQ4" s="42"/>
      <c r="QRR4" s="42"/>
      <c r="QRS4" s="42"/>
      <c r="QRT4" s="42"/>
      <c r="QRU4" s="42"/>
      <c r="QRV4" s="42"/>
      <c r="QRW4" s="42"/>
      <c r="QRX4" s="42"/>
      <c r="QRY4" s="42"/>
      <c r="QRZ4" s="42"/>
      <c r="QSA4" s="42"/>
      <c r="QSB4" s="42"/>
      <c r="QSC4" s="42"/>
      <c r="QSD4" s="42"/>
      <c r="QSE4" s="42"/>
      <c r="QSF4" s="42"/>
      <c r="QSG4" s="42"/>
      <c r="QSH4" s="42"/>
      <c r="QSI4" s="42"/>
      <c r="QSJ4" s="42"/>
      <c r="QSK4" s="42"/>
      <c r="QSL4" s="42"/>
      <c r="QSM4" s="42"/>
      <c r="QSN4" s="42"/>
      <c r="QSO4" s="42"/>
      <c r="QSP4" s="42"/>
      <c r="QSQ4" s="42"/>
      <c r="QSR4" s="42"/>
      <c r="QSS4" s="42"/>
      <c r="QST4" s="42"/>
      <c r="QSU4" s="42"/>
      <c r="QSV4" s="42"/>
      <c r="QSW4" s="42"/>
      <c r="QSX4" s="42"/>
      <c r="QSY4" s="42"/>
      <c r="QSZ4" s="42"/>
      <c r="QTA4" s="42"/>
      <c r="QTB4" s="42"/>
      <c r="QTC4" s="42"/>
      <c r="QTD4" s="42"/>
      <c r="QTE4" s="42"/>
      <c r="QTF4" s="42"/>
      <c r="QTG4" s="42"/>
      <c r="QTH4" s="42"/>
      <c r="QTI4" s="42"/>
      <c r="QTJ4" s="42"/>
      <c r="QTK4" s="42"/>
      <c r="QTL4" s="42"/>
      <c r="QTM4" s="42"/>
      <c r="QTN4" s="42"/>
      <c r="QTO4" s="42"/>
      <c r="QTP4" s="42"/>
      <c r="QTQ4" s="42"/>
      <c r="QTR4" s="42"/>
      <c r="QTS4" s="42"/>
      <c r="QTT4" s="42"/>
      <c r="QTU4" s="42"/>
      <c r="QTV4" s="42"/>
      <c r="QTW4" s="42"/>
      <c r="QTX4" s="42"/>
      <c r="QTY4" s="42"/>
      <c r="QTZ4" s="42"/>
      <c r="QUA4" s="42"/>
      <c r="QUB4" s="42"/>
      <c r="QUC4" s="42"/>
      <c r="QUD4" s="42"/>
      <c r="QUE4" s="42"/>
      <c r="QUF4" s="42"/>
      <c r="QUG4" s="42"/>
      <c r="QUH4" s="42"/>
      <c r="QUI4" s="42"/>
      <c r="QUJ4" s="42"/>
      <c r="QUK4" s="42"/>
      <c r="QUL4" s="42"/>
      <c r="QUM4" s="42"/>
      <c r="QUN4" s="42"/>
      <c r="QUO4" s="42"/>
      <c r="QUP4" s="42"/>
      <c r="QUQ4" s="42"/>
      <c r="QUR4" s="42"/>
      <c r="QUS4" s="42"/>
      <c r="QUT4" s="42"/>
      <c r="QUU4" s="42"/>
      <c r="QUV4" s="42"/>
      <c r="QUW4" s="42"/>
      <c r="QUX4" s="42"/>
      <c r="QUY4" s="42"/>
      <c r="QUZ4" s="42"/>
      <c r="QVA4" s="42"/>
      <c r="QVB4" s="42"/>
      <c r="QVC4" s="42"/>
      <c r="QVD4" s="42"/>
      <c r="QVE4" s="42"/>
      <c r="QVF4" s="42"/>
      <c r="QVG4" s="42"/>
      <c r="QVH4" s="42"/>
      <c r="QVI4" s="42"/>
      <c r="QVJ4" s="42"/>
      <c r="QVK4" s="42"/>
      <c r="QVL4" s="42"/>
      <c r="QVM4" s="42"/>
      <c r="QVN4" s="42"/>
      <c r="QVO4" s="42"/>
      <c r="QVP4" s="42"/>
      <c r="QVQ4" s="42"/>
      <c r="QVR4" s="42"/>
      <c r="QVS4" s="42"/>
      <c r="QVT4" s="42"/>
      <c r="QVU4" s="42"/>
      <c r="QVV4" s="42"/>
      <c r="QVW4" s="42"/>
      <c r="QVX4" s="42"/>
      <c r="QVY4" s="42"/>
      <c r="QVZ4" s="42"/>
      <c r="QWA4" s="42"/>
      <c r="QWB4" s="42"/>
      <c r="QWC4" s="42"/>
      <c r="QWD4" s="42"/>
      <c r="QWE4" s="42"/>
      <c r="QWF4" s="42"/>
      <c r="QWG4" s="42"/>
      <c r="QWH4" s="42"/>
      <c r="QWI4" s="42"/>
      <c r="QWJ4" s="42"/>
      <c r="QWK4" s="42"/>
      <c r="QWL4" s="42"/>
      <c r="QWM4" s="42"/>
      <c r="QWN4" s="42"/>
      <c r="QWO4" s="42"/>
      <c r="QWP4" s="42"/>
      <c r="QWQ4" s="42"/>
      <c r="QWR4" s="42"/>
      <c r="QWS4" s="42"/>
      <c r="QWT4" s="42"/>
      <c r="QWU4" s="42"/>
      <c r="QWV4" s="42"/>
      <c r="QWW4" s="42"/>
      <c r="QWX4" s="42"/>
      <c r="QWY4" s="42"/>
      <c r="QWZ4" s="42"/>
      <c r="QXA4" s="42"/>
      <c r="QXB4" s="42"/>
      <c r="QXC4" s="42"/>
      <c r="QXD4" s="42"/>
      <c r="QXE4" s="42"/>
      <c r="QXF4" s="42"/>
      <c r="QXG4" s="42"/>
      <c r="QXH4" s="42"/>
      <c r="QXI4" s="42"/>
      <c r="QXJ4" s="42"/>
      <c r="QXK4" s="42"/>
      <c r="QXL4" s="42"/>
      <c r="QXM4" s="42"/>
      <c r="QXN4" s="42"/>
      <c r="QXO4" s="42"/>
      <c r="QXP4" s="42"/>
      <c r="QXQ4" s="42"/>
      <c r="QXR4" s="42"/>
      <c r="QXS4" s="42"/>
      <c r="QXT4" s="42"/>
      <c r="QXU4" s="42"/>
      <c r="QXV4" s="42"/>
      <c r="QXW4" s="42"/>
      <c r="QXX4" s="42"/>
      <c r="QXY4" s="42"/>
      <c r="QXZ4" s="42"/>
      <c r="QYA4" s="42"/>
      <c r="QYB4" s="42"/>
      <c r="QYC4" s="42"/>
      <c r="QYD4" s="42"/>
      <c r="QYE4" s="42"/>
      <c r="QYF4" s="42"/>
      <c r="QYG4" s="42"/>
      <c r="QYH4" s="42"/>
      <c r="QYI4" s="42"/>
      <c r="QYJ4" s="42"/>
      <c r="QYK4" s="42"/>
      <c r="QYL4" s="42"/>
      <c r="QYM4" s="42"/>
      <c r="QYN4" s="42"/>
      <c r="QYO4" s="42"/>
      <c r="QYP4" s="42"/>
      <c r="QYQ4" s="42"/>
      <c r="QYR4" s="42"/>
      <c r="QYS4" s="42"/>
      <c r="QYT4" s="42"/>
      <c r="QYU4" s="42"/>
      <c r="QYV4" s="42"/>
      <c r="QYW4" s="42"/>
      <c r="QYX4" s="42"/>
      <c r="QYY4" s="42"/>
      <c r="QYZ4" s="42"/>
      <c r="QZA4" s="42"/>
      <c r="QZB4" s="42"/>
      <c r="QZC4" s="42"/>
      <c r="QZD4" s="42"/>
      <c r="QZE4" s="42"/>
      <c r="QZF4" s="42"/>
      <c r="QZG4" s="42"/>
      <c r="QZH4" s="42"/>
      <c r="QZI4" s="42"/>
      <c r="QZJ4" s="42"/>
      <c r="QZK4" s="42"/>
      <c r="QZL4" s="42"/>
      <c r="QZM4" s="42"/>
      <c r="QZN4" s="42"/>
      <c r="QZO4" s="42"/>
      <c r="QZP4" s="42"/>
      <c r="QZQ4" s="42"/>
      <c r="QZR4" s="42"/>
      <c r="QZS4" s="42"/>
      <c r="QZT4" s="42"/>
      <c r="QZU4" s="42"/>
      <c r="QZV4" s="42"/>
      <c r="QZW4" s="42"/>
      <c r="QZX4" s="42"/>
      <c r="QZY4" s="42"/>
      <c r="QZZ4" s="42"/>
      <c r="RAA4" s="42"/>
      <c r="RAB4" s="42"/>
      <c r="RAC4" s="42"/>
      <c r="RAD4" s="42"/>
      <c r="RAE4" s="42"/>
      <c r="RAF4" s="42"/>
      <c r="RAG4" s="42"/>
      <c r="RAH4" s="42"/>
      <c r="RAI4" s="42"/>
      <c r="RAJ4" s="42"/>
      <c r="RAK4" s="42"/>
      <c r="RAL4" s="42"/>
      <c r="RAM4" s="42"/>
      <c r="RAN4" s="42"/>
      <c r="RAO4" s="42"/>
      <c r="RAP4" s="42"/>
      <c r="RAQ4" s="42"/>
      <c r="RAR4" s="42"/>
      <c r="RAS4" s="42"/>
      <c r="RAT4" s="42"/>
      <c r="RAU4" s="42"/>
      <c r="RAV4" s="42"/>
      <c r="RAW4" s="42"/>
      <c r="RAX4" s="42"/>
      <c r="RAY4" s="42"/>
      <c r="RAZ4" s="42"/>
      <c r="RBA4" s="42"/>
      <c r="RBB4" s="42"/>
      <c r="RBC4" s="42"/>
      <c r="RBD4" s="42"/>
      <c r="RBE4" s="42"/>
      <c r="RBF4" s="42"/>
      <c r="RBG4" s="42"/>
      <c r="RBH4" s="42"/>
      <c r="RBI4" s="42"/>
      <c r="RBJ4" s="42"/>
      <c r="RBK4" s="42"/>
      <c r="RBL4" s="42"/>
      <c r="RBM4" s="42"/>
      <c r="RBN4" s="42"/>
      <c r="RBO4" s="42"/>
      <c r="RBP4" s="42"/>
      <c r="RBQ4" s="42"/>
      <c r="RBR4" s="42"/>
      <c r="RBS4" s="42"/>
      <c r="RBT4" s="42"/>
      <c r="RBU4" s="42"/>
      <c r="RBV4" s="42"/>
      <c r="RBW4" s="42"/>
      <c r="RBX4" s="42"/>
      <c r="RBY4" s="42"/>
      <c r="RBZ4" s="42"/>
      <c r="RCA4" s="42"/>
      <c r="RCB4" s="42"/>
      <c r="RCC4" s="42"/>
      <c r="RCD4" s="42"/>
      <c r="RCE4" s="42"/>
      <c r="RCF4" s="42"/>
      <c r="RCG4" s="42"/>
      <c r="RCH4" s="42"/>
      <c r="RCI4" s="42"/>
      <c r="RCJ4" s="42"/>
      <c r="RCK4" s="42"/>
      <c r="RCL4" s="42"/>
      <c r="RCM4" s="42"/>
      <c r="RCN4" s="42"/>
      <c r="RCO4" s="42"/>
      <c r="RCP4" s="42"/>
      <c r="RCQ4" s="42"/>
      <c r="RCR4" s="42"/>
      <c r="RCS4" s="42"/>
      <c r="RCT4" s="42"/>
      <c r="RCU4" s="42"/>
      <c r="RCV4" s="42"/>
      <c r="RCW4" s="42"/>
      <c r="RCX4" s="42"/>
      <c r="RCY4" s="42"/>
      <c r="RCZ4" s="42"/>
      <c r="RDA4" s="42"/>
      <c r="RDB4" s="42"/>
      <c r="RDC4" s="42"/>
      <c r="RDD4" s="42"/>
      <c r="RDE4" s="42"/>
      <c r="RDF4" s="42"/>
      <c r="RDG4" s="42"/>
      <c r="RDH4" s="42"/>
      <c r="RDI4" s="42"/>
      <c r="RDJ4" s="42"/>
      <c r="RDK4" s="42"/>
      <c r="RDL4" s="42"/>
      <c r="RDM4" s="42"/>
      <c r="RDN4" s="42"/>
      <c r="RDO4" s="42"/>
      <c r="RDP4" s="42"/>
      <c r="RDQ4" s="42"/>
      <c r="RDR4" s="42"/>
      <c r="RDS4" s="42"/>
      <c r="RDT4" s="42"/>
      <c r="RDU4" s="42"/>
      <c r="RDV4" s="42"/>
      <c r="RDW4" s="42"/>
      <c r="RDX4" s="42"/>
      <c r="RDY4" s="42"/>
      <c r="RDZ4" s="42"/>
      <c r="REA4" s="42"/>
      <c r="REB4" s="42"/>
      <c r="REC4" s="42"/>
      <c r="RED4" s="42"/>
      <c r="REE4" s="42"/>
      <c r="REF4" s="42"/>
      <c r="REG4" s="42"/>
      <c r="REH4" s="42"/>
      <c r="REI4" s="42"/>
      <c r="REJ4" s="42"/>
      <c r="REK4" s="42"/>
      <c r="REL4" s="42"/>
      <c r="REM4" s="42"/>
      <c r="REN4" s="42"/>
      <c r="REO4" s="42"/>
      <c r="REP4" s="42"/>
      <c r="REQ4" s="42"/>
      <c r="RER4" s="42"/>
      <c r="RES4" s="42"/>
      <c r="RET4" s="42"/>
      <c r="REU4" s="42"/>
      <c r="REV4" s="42"/>
      <c r="REW4" s="42"/>
      <c r="REX4" s="42"/>
      <c r="REY4" s="42"/>
      <c r="REZ4" s="42"/>
      <c r="RFA4" s="42"/>
      <c r="RFB4" s="42"/>
      <c r="RFC4" s="42"/>
      <c r="RFD4" s="42"/>
      <c r="RFE4" s="42"/>
      <c r="RFF4" s="42"/>
      <c r="RFG4" s="42"/>
      <c r="RFH4" s="42"/>
      <c r="RFI4" s="42"/>
      <c r="RFJ4" s="42"/>
      <c r="RFK4" s="42"/>
      <c r="RFL4" s="42"/>
      <c r="RFM4" s="42"/>
      <c r="RFN4" s="42"/>
      <c r="RFO4" s="42"/>
      <c r="RFP4" s="42"/>
      <c r="RFQ4" s="42"/>
      <c r="RFR4" s="42"/>
      <c r="RFS4" s="42"/>
      <c r="RFT4" s="42"/>
      <c r="RFU4" s="42"/>
      <c r="RFV4" s="42"/>
      <c r="RFW4" s="42"/>
      <c r="RFX4" s="42"/>
      <c r="RFY4" s="42"/>
      <c r="RFZ4" s="42"/>
      <c r="RGA4" s="42"/>
      <c r="RGB4" s="42"/>
      <c r="RGC4" s="42"/>
      <c r="RGD4" s="42"/>
      <c r="RGE4" s="42"/>
      <c r="RGF4" s="42"/>
      <c r="RGG4" s="42"/>
      <c r="RGH4" s="42"/>
      <c r="RGI4" s="42"/>
      <c r="RGJ4" s="42"/>
      <c r="RGK4" s="42"/>
      <c r="RGL4" s="42"/>
      <c r="RGM4" s="42"/>
      <c r="RGN4" s="42"/>
      <c r="RGO4" s="42"/>
      <c r="RGP4" s="42"/>
      <c r="RGQ4" s="42"/>
      <c r="RGR4" s="42"/>
      <c r="RGS4" s="42"/>
      <c r="RGT4" s="42"/>
      <c r="RGU4" s="42"/>
      <c r="RGV4" s="42"/>
      <c r="RGW4" s="42"/>
      <c r="RGX4" s="42"/>
      <c r="RGY4" s="42"/>
      <c r="RGZ4" s="42"/>
      <c r="RHA4" s="42"/>
      <c r="RHB4" s="42"/>
      <c r="RHC4" s="42"/>
      <c r="RHD4" s="42"/>
      <c r="RHE4" s="42"/>
      <c r="RHF4" s="42"/>
      <c r="RHG4" s="42"/>
      <c r="RHH4" s="42"/>
      <c r="RHI4" s="42"/>
      <c r="RHJ4" s="42"/>
      <c r="RHK4" s="42"/>
      <c r="RHL4" s="42"/>
      <c r="RHM4" s="42"/>
      <c r="RHN4" s="42"/>
      <c r="RHO4" s="42"/>
      <c r="RHP4" s="42"/>
      <c r="RHQ4" s="42"/>
      <c r="RHR4" s="42"/>
      <c r="RHS4" s="42"/>
      <c r="RHT4" s="42"/>
      <c r="RHU4" s="42"/>
      <c r="RHV4" s="42"/>
      <c r="RHW4" s="42"/>
      <c r="RHX4" s="42"/>
      <c r="RHY4" s="42"/>
      <c r="RHZ4" s="42"/>
      <c r="RIA4" s="42"/>
      <c r="RIB4" s="42"/>
      <c r="RIC4" s="42"/>
      <c r="RID4" s="42"/>
      <c r="RIE4" s="42"/>
      <c r="RIF4" s="42"/>
      <c r="RIG4" s="42"/>
      <c r="RIH4" s="42"/>
      <c r="RII4" s="42"/>
      <c r="RIJ4" s="42"/>
      <c r="RIK4" s="42"/>
      <c r="RIL4" s="42"/>
      <c r="RIM4" s="42"/>
      <c r="RIN4" s="42"/>
      <c r="RIO4" s="42"/>
      <c r="RIP4" s="42"/>
      <c r="RIQ4" s="42"/>
      <c r="RIR4" s="42"/>
      <c r="RIS4" s="42"/>
      <c r="RIT4" s="42"/>
      <c r="RIU4" s="42"/>
      <c r="RIV4" s="42"/>
      <c r="RIW4" s="42"/>
      <c r="RIX4" s="42"/>
      <c r="RIY4" s="42"/>
      <c r="RIZ4" s="42"/>
      <c r="RJA4" s="42"/>
      <c r="RJB4" s="42"/>
      <c r="RJC4" s="42"/>
      <c r="RJD4" s="42"/>
      <c r="RJE4" s="42"/>
      <c r="RJF4" s="42"/>
      <c r="RJG4" s="42"/>
      <c r="RJH4" s="42"/>
      <c r="RJI4" s="42"/>
      <c r="RJJ4" s="42"/>
      <c r="RJK4" s="42"/>
      <c r="RJL4" s="42"/>
      <c r="RJM4" s="42"/>
      <c r="RJN4" s="42"/>
      <c r="RJO4" s="42"/>
      <c r="RJP4" s="42"/>
      <c r="RJQ4" s="42"/>
      <c r="RJR4" s="42"/>
      <c r="RJS4" s="42"/>
      <c r="RJT4" s="42"/>
      <c r="RJU4" s="42"/>
      <c r="RJV4" s="42"/>
      <c r="RJW4" s="42"/>
      <c r="RJX4" s="42"/>
      <c r="RJY4" s="42"/>
      <c r="RJZ4" s="42"/>
      <c r="RKA4" s="42"/>
      <c r="RKB4" s="42"/>
      <c r="RKC4" s="42"/>
      <c r="RKD4" s="42"/>
      <c r="RKE4" s="42"/>
      <c r="RKF4" s="42"/>
      <c r="RKG4" s="42"/>
      <c r="RKH4" s="42"/>
      <c r="RKI4" s="42"/>
      <c r="RKJ4" s="42"/>
      <c r="RKK4" s="42"/>
      <c r="RKL4" s="42"/>
      <c r="RKM4" s="42"/>
      <c r="RKN4" s="42"/>
      <c r="RKO4" s="42"/>
      <c r="RKP4" s="42"/>
      <c r="RKQ4" s="42"/>
      <c r="RKR4" s="42"/>
      <c r="RKS4" s="42"/>
      <c r="RKT4" s="42"/>
      <c r="RKU4" s="42"/>
      <c r="RKV4" s="42"/>
      <c r="RKW4" s="42"/>
      <c r="RKX4" s="42"/>
      <c r="RKY4" s="42"/>
      <c r="RKZ4" s="42"/>
      <c r="RLA4" s="42"/>
      <c r="RLB4" s="42"/>
      <c r="RLC4" s="42"/>
      <c r="RLD4" s="42"/>
      <c r="RLE4" s="42"/>
      <c r="RLF4" s="42"/>
      <c r="RLG4" s="42"/>
      <c r="RLH4" s="42"/>
      <c r="RLI4" s="42"/>
      <c r="RLJ4" s="42"/>
      <c r="RLK4" s="42"/>
      <c r="RLL4" s="42"/>
      <c r="RLM4" s="42"/>
      <c r="RLN4" s="42"/>
      <c r="RLO4" s="42"/>
      <c r="RLP4" s="42"/>
      <c r="RLQ4" s="42"/>
      <c r="RLR4" s="42"/>
      <c r="RLS4" s="42"/>
      <c r="RLT4" s="42"/>
      <c r="RLU4" s="42"/>
      <c r="RLV4" s="42"/>
      <c r="RLW4" s="42"/>
      <c r="RLX4" s="42"/>
      <c r="RLY4" s="42"/>
      <c r="RLZ4" s="42"/>
      <c r="RMA4" s="42"/>
      <c r="RMB4" s="42"/>
      <c r="RMC4" s="42"/>
      <c r="RMD4" s="42"/>
      <c r="RME4" s="42"/>
      <c r="RMF4" s="42"/>
      <c r="RMG4" s="42"/>
      <c r="RMH4" s="42"/>
      <c r="RMI4" s="42"/>
      <c r="RMJ4" s="42"/>
      <c r="RMK4" s="42"/>
      <c r="RML4" s="42"/>
      <c r="RMM4" s="42"/>
      <c r="RMN4" s="42"/>
      <c r="RMO4" s="42"/>
      <c r="RMP4" s="42"/>
      <c r="RMQ4" s="42"/>
      <c r="RMR4" s="42"/>
      <c r="RMS4" s="42"/>
      <c r="RMT4" s="42"/>
      <c r="RMU4" s="42"/>
      <c r="RMV4" s="42"/>
      <c r="RMW4" s="42"/>
      <c r="RMX4" s="42"/>
      <c r="RMY4" s="42"/>
      <c r="RMZ4" s="42"/>
      <c r="RNA4" s="42"/>
      <c r="RNB4" s="42"/>
      <c r="RNC4" s="42"/>
      <c r="RND4" s="42"/>
      <c r="RNE4" s="42"/>
      <c r="RNF4" s="42"/>
      <c r="RNG4" s="42"/>
      <c r="RNH4" s="42"/>
      <c r="RNI4" s="42"/>
      <c r="RNJ4" s="42"/>
      <c r="RNK4" s="42"/>
      <c r="RNL4" s="42"/>
      <c r="RNM4" s="42"/>
      <c r="RNN4" s="42"/>
      <c r="RNO4" s="42"/>
      <c r="RNP4" s="42"/>
      <c r="RNQ4" s="42"/>
      <c r="RNR4" s="42"/>
      <c r="RNS4" s="42"/>
      <c r="RNT4" s="42"/>
      <c r="RNU4" s="42"/>
      <c r="RNV4" s="42"/>
      <c r="RNW4" s="42"/>
      <c r="RNX4" s="42"/>
      <c r="RNY4" s="42"/>
      <c r="RNZ4" s="42"/>
      <c r="ROA4" s="42"/>
      <c r="ROB4" s="42"/>
      <c r="ROC4" s="42"/>
      <c r="ROD4" s="42"/>
      <c r="ROE4" s="42"/>
      <c r="ROF4" s="42"/>
      <c r="ROG4" s="42"/>
      <c r="ROH4" s="42"/>
      <c r="ROI4" s="42"/>
      <c r="ROJ4" s="42"/>
      <c r="ROK4" s="42"/>
      <c r="ROL4" s="42"/>
      <c r="ROM4" s="42"/>
      <c r="RON4" s="42"/>
      <c r="ROO4" s="42"/>
      <c r="ROP4" s="42"/>
      <c r="ROQ4" s="42"/>
      <c r="ROR4" s="42"/>
      <c r="ROS4" s="42"/>
      <c r="ROT4" s="42"/>
      <c r="ROU4" s="42"/>
      <c r="ROV4" s="42"/>
      <c r="ROW4" s="42"/>
      <c r="ROX4" s="42"/>
      <c r="ROY4" s="42"/>
      <c r="ROZ4" s="42"/>
      <c r="RPA4" s="42"/>
      <c r="RPB4" s="42"/>
      <c r="RPC4" s="42"/>
      <c r="RPD4" s="42"/>
      <c r="RPE4" s="42"/>
      <c r="RPF4" s="42"/>
      <c r="RPG4" s="42"/>
      <c r="RPH4" s="42"/>
      <c r="RPI4" s="42"/>
      <c r="RPJ4" s="42"/>
      <c r="RPK4" s="42"/>
      <c r="RPL4" s="42"/>
      <c r="RPM4" s="42"/>
      <c r="RPN4" s="42"/>
      <c r="RPO4" s="42"/>
      <c r="RPP4" s="42"/>
      <c r="RPQ4" s="42"/>
      <c r="RPR4" s="42"/>
      <c r="RPS4" s="42"/>
      <c r="RPT4" s="42"/>
      <c r="RPU4" s="42"/>
      <c r="RPV4" s="42"/>
      <c r="RPW4" s="42"/>
      <c r="RPX4" s="42"/>
      <c r="RPY4" s="42"/>
      <c r="RPZ4" s="42"/>
      <c r="RQA4" s="42"/>
      <c r="RQB4" s="42"/>
      <c r="RQC4" s="42"/>
      <c r="RQD4" s="42"/>
      <c r="RQE4" s="42"/>
      <c r="RQF4" s="42"/>
      <c r="RQG4" s="42"/>
      <c r="RQH4" s="42"/>
      <c r="RQI4" s="42"/>
      <c r="RQJ4" s="42"/>
      <c r="RQK4" s="42"/>
      <c r="RQL4" s="42"/>
      <c r="RQM4" s="42"/>
      <c r="RQN4" s="42"/>
      <c r="RQO4" s="42"/>
      <c r="RQP4" s="42"/>
      <c r="RQQ4" s="42"/>
      <c r="RQR4" s="42"/>
      <c r="RQS4" s="42"/>
      <c r="RQT4" s="42"/>
      <c r="RQU4" s="42"/>
      <c r="RQV4" s="42"/>
      <c r="RQW4" s="42"/>
      <c r="RQX4" s="42"/>
      <c r="RQY4" s="42"/>
      <c r="RQZ4" s="42"/>
      <c r="RRA4" s="42"/>
      <c r="RRB4" s="42"/>
      <c r="RRC4" s="42"/>
      <c r="RRD4" s="42"/>
      <c r="RRE4" s="42"/>
      <c r="RRF4" s="42"/>
      <c r="RRG4" s="42"/>
      <c r="RRH4" s="42"/>
      <c r="RRI4" s="42"/>
      <c r="RRJ4" s="42"/>
      <c r="RRK4" s="42"/>
      <c r="RRL4" s="42"/>
      <c r="RRM4" s="42"/>
      <c r="RRN4" s="42"/>
      <c r="RRO4" s="42"/>
      <c r="RRP4" s="42"/>
      <c r="RRQ4" s="42"/>
      <c r="RRR4" s="42"/>
      <c r="RRS4" s="42"/>
      <c r="RRT4" s="42"/>
      <c r="RRU4" s="42"/>
      <c r="RRV4" s="42"/>
      <c r="RRW4" s="42"/>
      <c r="RRX4" s="42"/>
      <c r="RRY4" s="42"/>
      <c r="RRZ4" s="42"/>
      <c r="RSA4" s="42"/>
      <c r="RSB4" s="42"/>
      <c r="RSC4" s="42"/>
      <c r="RSD4" s="42"/>
      <c r="RSE4" s="42"/>
      <c r="RSF4" s="42"/>
      <c r="RSG4" s="42"/>
      <c r="RSH4" s="42"/>
      <c r="RSI4" s="42"/>
      <c r="RSJ4" s="42"/>
      <c r="RSK4" s="42"/>
      <c r="RSL4" s="42"/>
      <c r="RSM4" s="42"/>
      <c r="RSN4" s="42"/>
      <c r="RSO4" s="42"/>
      <c r="RSP4" s="42"/>
      <c r="RSQ4" s="42"/>
      <c r="RSR4" s="42"/>
      <c r="RSS4" s="42"/>
      <c r="RST4" s="42"/>
      <c r="RSU4" s="42"/>
      <c r="RSV4" s="42"/>
      <c r="RSW4" s="42"/>
      <c r="RSX4" s="42"/>
      <c r="RSY4" s="42"/>
      <c r="RSZ4" s="42"/>
      <c r="RTA4" s="42"/>
      <c r="RTB4" s="42"/>
      <c r="RTC4" s="42"/>
      <c r="RTD4" s="42"/>
      <c r="RTE4" s="42"/>
      <c r="RTF4" s="42"/>
      <c r="RTG4" s="42"/>
      <c r="RTH4" s="42"/>
      <c r="RTI4" s="42"/>
      <c r="RTJ4" s="42"/>
      <c r="RTK4" s="42"/>
      <c r="RTL4" s="42"/>
      <c r="RTM4" s="42"/>
      <c r="RTN4" s="42"/>
      <c r="RTO4" s="42"/>
      <c r="RTP4" s="42"/>
      <c r="RTQ4" s="42"/>
      <c r="RTR4" s="42"/>
      <c r="RTS4" s="42"/>
      <c r="RTT4" s="42"/>
      <c r="RTU4" s="42"/>
      <c r="RTV4" s="42"/>
      <c r="RTW4" s="42"/>
      <c r="RTX4" s="42"/>
      <c r="RTY4" s="42"/>
      <c r="RTZ4" s="42"/>
      <c r="RUA4" s="42"/>
      <c r="RUB4" s="42"/>
      <c r="RUC4" s="42"/>
      <c r="RUD4" s="42"/>
      <c r="RUE4" s="42"/>
      <c r="RUF4" s="42"/>
      <c r="RUG4" s="42"/>
      <c r="RUH4" s="42"/>
      <c r="RUI4" s="42"/>
      <c r="RUJ4" s="42"/>
      <c r="RUK4" s="42"/>
      <c r="RUL4" s="42"/>
      <c r="RUM4" s="42"/>
      <c r="RUN4" s="42"/>
      <c r="RUO4" s="42"/>
      <c r="RUP4" s="42"/>
      <c r="RUQ4" s="42"/>
      <c r="RUR4" s="42"/>
      <c r="RUS4" s="42"/>
      <c r="RUT4" s="42"/>
      <c r="RUU4" s="42"/>
      <c r="RUV4" s="42"/>
      <c r="RUW4" s="42"/>
      <c r="RUX4" s="42"/>
      <c r="RUY4" s="42"/>
      <c r="RUZ4" s="42"/>
      <c r="RVA4" s="42"/>
      <c r="RVB4" s="42"/>
      <c r="RVC4" s="42"/>
      <c r="RVD4" s="42"/>
      <c r="RVE4" s="42"/>
      <c r="RVF4" s="42"/>
      <c r="RVG4" s="42"/>
      <c r="RVH4" s="42"/>
      <c r="RVI4" s="42"/>
      <c r="RVJ4" s="42"/>
      <c r="RVK4" s="42"/>
      <c r="RVL4" s="42"/>
      <c r="RVM4" s="42"/>
      <c r="RVN4" s="42"/>
      <c r="RVO4" s="42"/>
      <c r="RVP4" s="42"/>
      <c r="RVQ4" s="42"/>
      <c r="RVR4" s="42"/>
      <c r="RVS4" s="42"/>
      <c r="RVT4" s="42"/>
      <c r="RVU4" s="42"/>
      <c r="RVV4" s="42"/>
      <c r="RVW4" s="42"/>
      <c r="RVX4" s="42"/>
      <c r="RVY4" s="42"/>
      <c r="RVZ4" s="42"/>
      <c r="RWA4" s="42"/>
      <c r="RWB4" s="42"/>
      <c r="RWC4" s="42"/>
      <c r="RWD4" s="42"/>
      <c r="RWE4" s="42"/>
      <c r="RWF4" s="42"/>
      <c r="RWG4" s="42"/>
      <c r="RWH4" s="42"/>
      <c r="RWI4" s="42"/>
      <c r="RWJ4" s="42"/>
      <c r="RWK4" s="42"/>
      <c r="RWL4" s="42"/>
      <c r="RWM4" s="42"/>
      <c r="RWN4" s="42"/>
      <c r="RWO4" s="42"/>
      <c r="RWP4" s="42"/>
      <c r="RWQ4" s="42"/>
      <c r="RWR4" s="42"/>
      <c r="RWS4" s="42"/>
      <c r="RWT4" s="42"/>
      <c r="RWU4" s="42"/>
      <c r="RWV4" s="42"/>
      <c r="RWW4" s="42"/>
      <c r="RWX4" s="42"/>
      <c r="RWY4" s="42"/>
      <c r="RWZ4" s="42"/>
      <c r="RXA4" s="42"/>
      <c r="RXB4" s="42"/>
      <c r="RXC4" s="42"/>
      <c r="RXD4" s="42"/>
      <c r="RXE4" s="42"/>
      <c r="RXF4" s="42"/>
      <c r="RXG4" s="42"/>
      <c r="RXH4" s="42"/>
      <c r="RXI4" s="42"/>
      <c r="RXJ4" s="42"/>
      <c r="RXK4" s="42"/>
      <c r="RXL4" s="42"/>
      <c r="RXM4" s="42"/>
      <c r="RXN4" s="42"/>
      <c r="RXO4" s="42"/>
      <c r="RXP4" s="42"/>
      <c r="RXQ4" s="42"/>
      <c r="RXR4" s="42"/>
      <c r="RXS4" s="42"/>
      <c r="RXT4" s="42"/>
      <c r="RXU4" s="42"/>
      <c r="RXV4" s="42"/>
      <c r="RXW4" s="42"/>
      <c r="RXX4" s="42"/>
      <c r="RXY4" s="42"/>
      <c r="RXZ4" s="42"/>
      <c r="RYA4" s="42"/>
      <c r="RYB4" s="42"/>
      <c r="RYC4" s="42"/>
      <c r="RYD4" s="42"/>
      <c r="RYE4" s="42"/>
      <c r="RYF4" s="42"/>
      <c r="RYG4" s="42"/>
      <c r="RYH4" s="42"/>
      <c r="RYI4" s="42"/>
      <c r="RYJ4" s="42"/>
      <c r="RYK4" s="42"/>
      <c r="RYL4" s="42"/>
      <c r="RYM4" s="42"/>
      <c r="RYN4" s="42"/>
      <c r="RYO4" s="42"/>
      <c r="RYP4" s="42"/>
      <c r="RYQ4" s="42"/>
      <c r="RYR4" s="42"/>
      <c r="RYS4" s="42"/>
      <c r="RYT4" s="42"/>
      <c r="RYU4" s="42"/>
      <c r="RYV4" s="42"/>
      <c r="RYW4" s="42"/>
      <c r="RYX4" s="42"/>
      <c r="RYY4" s="42"/>
      <c r="RYZ4" s="42"/>
      <c r="RZA4" s="42"/>
      <c r="RZB4" s="42"/>
      <c r="RZC4" s="42"/>
      <c r="RZD4" s="42"/>
      <c r="RZE4" s="42"/>
      <c r="RZF4" s="42"/>
      <c r="RZG4" s="42"/>
      <c r="RZH4" s="42"/>
      <c r="RZI4" s="42"/>
      <c r="RZJ4" s="42"/>
      <c r="RZK4" s="42"/>
      <c r="RZL4" s="42"/>
      <c r="RZM4" s="42"/>
      <c r="RZN4" s="42"/>
      <c r="RZO4" s="42"/>
      <c r="RZP4" s="42"/>
      <c r="RZQ4" s="42"/>
      <c r="RZR4" s="42"/>
      <c r="RZS4" s="42"/>
      <c r="RZT4" s="42"/>
      <c r="RZU4" s="42"/>
      <c r="RZV4" s="42"/>
      <c r="RZW4" s="42"/>
      <c r="RZX4" s="42"/>
      <c r="RZY4" s="42"/>
      <c r="RZZ4" s="42"/>
      <c r="SAA4" s="42"/>
      <c r="SAB4" s="42"/>
      <c r="SAC4" s="42"/>
      <c r="SAD4" s="42"/>
      <c r="SAE4" s="42"/>
      <c r="SAF4" s="42"/>
      <c r="SAG4" s="42"/>
      <c r="SAH4" s="42"/>
      <c r="SAI4" s="42"/>
      <c r="SAJ4" s="42"/>
      <c r="SAK4" s="42"/>
      <c r="SAL4" s="42"/>
      <c r="SAM4" s="42"/>
      <c r="SAN4" s="42"/>
      <c r="SAO4" s="42"/>
      <c r="SAP4" s="42"/>
      <c r="SAQ4" s="42"/>
      <c r="SAR4" s="42"/>
      <c r="SAS4" s="42"/>
      <c r="SAT4" s="42"/>
      <c r="SAU4" s="42"/>
      <c r="SAV4" s="42"/>
      <c r="SAW4" s="42"/>
      <c r="SAX4" s="42"/>
      <c r="SAY4" s="42"/>
      <c r="SAZ4" s="42"/>
      <c r="SBA4" s="42"/>
      <c r="SBB4" s="42"/>
      <c r="SBC4" s="42"/>
      <c r="SBD4" s="42"/>
      <c r="SBE4" s="42"/>
      <c r="SBF4" s="42"/>
      <c r="SBG4" s="42"/>
      <c r="SBH4" s="42"/>
      <c r="SBI4" s="42"/>
      <c r="SBJ4" s="42"/>
      <c r="SBK4" s="42"/>
      <c r="SBL4" s="42"/>
      <c r="SBM4" s="42"/>
      <c r="SBN4" s="42"/>
      <c r="SBO4" s="42"/>
      <c r="SBP4" s="42"/>
      <c r="SBQ4" s="42"/>
      <c r="SBR4" s="42"/>
      <c r="SBS4" s="42"/>
      <c r="SBT4" s="42"/>
      <c r="SBU4" s="42"/>
      <c r="SBV4" s="42"/>
      <c r="SBW4" s="42"/>
      <c r="SBX4" s="42"/>
      <c r="SBY4" s="42"/>
      <c r="SBZ4" s="42"/>
      <c r="SCA4" s="42"/>
      <c r="SCB4" s="42"/>
      <c r="SCC4" s="42"/>
      <c r="SCD4" s="42"/>
      <c r="SCE4" s="42"/>
      <c r="SCF4" s="42"/>
      <c r="SCG4" s="42"/>
      <c r="SCH4" s="42"/>
      <c r="SCI4" s="42"/>
      <c r="SCJ4" s="42"/>
      <c r="SCK4" s="42"/>
      <c r="SCL4" s="42"/>
      <c r="SCM4" s="42"/>
      <c r="SCN4" s="42"/>
      <c r="SCO4" s="42"/>
      <c r="SCP4" s="42"/>
      <c r="SCQ4" s="42"/>
      <c r="SCR4" s="42"/>
      <c r="SCS4" s="42"/>
      <c r="SCT4" s="42"/>
      <c r="SCU4" s="42"/>
      <c r="SCV4" s="42"/>
      <c r="SCW4" s="42"/>
      <c r="SCX4" s="42"/>
      <c r="SCY4" s="42"/>
      <c r="SCZ4" s="42"/>
      <c r="SDA4" s="42"/>
      <c r="SDB4" s="42"/>
      <c r="SDC4" s="42"/>
      <c r="SDD4" s="42"/>
      <c r="SDE4" s="42"/>
      <c r="SDF4" s="42"/>
      <c r="SDG4" s="42"/>
      <c r="SDH4" s="42"/>
      <c r="SDI4" s="42"/>
      <c r="SDJ4" s="42"/>
      <c r="SDK4" s="42"/>
      <c r="SDL4" s="42"/>
      <c r="SDM4" s="42"/>
      <c r="SDN4" s="42"/>
      <c r="SDO4" s="42"/>
      <c r="SDP4" s="42"/>
      <c r="SDQ4" s="42"/>
      <c r="SDR4" s="42"/>
      <c r="SDS4" s="42"/>
      <c r="SDT4" s="42"/>
      <c r="SDU4" s="42"/>
      <c r="SDV4" s="42"/>
      <c r="SDW4" s="42"/>
      <c r="SDX4" s="42"/>
      <c r="SDY4" s="42"/>
      <c r="SDZ4" s="42"/>
      <c r="SEA4" s="42"/>
      <c r="SEB4" s="42"/>
      <c r="SEC4" s="42"/>
      <c r="SED4" s="42"/>
      <c r="SEE4" s="42"/>
      <c r="SEF4" s="42"/>
      <c r="SEG4" s="42"/>
      <c r="SEH4" s="42"/>
      <c r="SEI4" s="42"/>
      <c r="SEJ4" s="42"/>
      <c r="SEK4" s="42"/>
      <c r="SEL4" s="42"/>
      <c r="SEM4" s="42"/>
      <c r="SEN4" s="42"/>
      <c r="SEO4" s="42"/>
      <c r="SEP4" s="42"/>
      <c r="SEQ4" s="42"/>
      <c r="SER4" s="42"/>
      <c r="SES4" s="42"/>
      <c r="SET4" s="42"/>
      <c r="SEU4" s="42"/>
      <c r="SEV4" s="42"/>
      <c r="SEW4" s="42"/>
      <c r="SEX4" s="42"/>
      <c r="SEY4" s="42"/>
      <c r="SEZ4" s="42"/>
      <c r="SFA4" s="42"/>
      <c r="SFB4" s="42"/>
      <c r="SFC4" s="42"/>
      <c r="SFD4" s="42"/>
      <c r="SFE4" s="42"/>
      <c r="SFF4" s="42"/>
      <c r="SFG4" s="42"/>
      <c r="SFH4" s="42"/>
      <c r="SFI4" s="42"/>
      <c r="SFJ4" s="42"/>
      <c r="SFK4" s="42"/>
      <c r="SFL4" s="42"/>
      <c r="SFM4" s="42"/>
      <c r="SFN4" s="42"/>
      <c r="SFO4" s="42"/>
      <c r="SFP4" s="42"/>
      <c r="SFQ4" s="42"/>
      <c r="SFR4" s="42"/>
      <c r="SFS4" s="42"/>
      <c r="SFT4" s="42"/>
      <c r="SFU4" s="42"/>
      <c r="SFV4" s="42"/>
      <c r="SFW4" s="42"/>
      <c r="SFX4" s="42"/>
      <c r="SFY4" s="42"/>
      <c r="SFZ4" s="42"/>
      <c r="SGA4" s="42"/>
      <c r="SGB4" s="42"/>
      <c r="SGC4" s="42"/>
      <c r="SGD4" s="42"/>
      <c r="SGE4" s="42"/>
      <c r="SGF4" s="42"/>
      <c r="SGG4" s="42"/>
      <c r="SGH4" s="42"/>
      <c r="SGI4" s="42"/>
      <c r="SGJ4" s="42"/>
      <c r="SGK4" s="42"/>
      <c r="SGL4" s="42"/>
      <c r="SGM4" s="42"/>
      <c r="SGN4" s="42"/>
      <c r="SGO4" s="42"/>
      <c r="SGP4" s="42"/>
      <c r="SGQ4" s="42"/>
      <c r="SGR4" s="42"/>
      <c r="SGS4" s="42"/>
      <c r="SGT4" s="42"/>
      <c r="SGU4" s="42"/>
      <c r="SGV4" s="42"/>
      <c r="SGW4" s="42"/>
      <c r="SGX4" s="42"/>
      <c r="SGY4" s="42"/>
      <c r="SGZ4" s="42"/>
      <c r="SHA4" s="42"/>
      <c r="SHB4" s="42"/>
      <c r="SHC4" s="42"/>
      <c r="SHD4" s="42"/>
      <c r="SHE4" s="42"/>
      <c r="SHF4" s="42"/>
      <c r="SHG4" s="42"/>
      <c r="SHH4" s="42"/>
      <c r="SHI4" s="42"/>
      <c r="SHJ4" s="42"/>
      <c r="SHK4" s="42"/>
      <c r="SHL4" s="42"/>
      <c r="SHM4" s="42"/>
      <c r="SHN4" s="42"/>
      <c r="SHO4" s="42"/>
      <c r="SHP4" s="42"/>
      <c r="SHQ4" s="42"/>
      <c r="SHR4" s="42"/>
      <c r="SHS4" s="42"/>
      <c r="SHT4" s="42"/>
      <c r="SHU4" s="42"/>
      <c r="SHV4" s="42"/>
      <c r="SHW4" s="42"/>
      <c r="SHX4" s="42"/>
      <c r="SHY4" s="42"/>
      <c r="SHZ4" s="42"/>
      <c r="SIA4" s="42"/>
      <c r="SIB4" s="42"/>
      <c r="SIC4" s="42"/>
      <c r="SID4" s="42"/>
      <c r="SIE4" s="42"/>
      <c r="SIF4" s="42"/>
      <c r="SIG4" s="42"/>
      <c r="SIH4" s="42"/>
      <c r="SII4" s="42"/>
      <c r="SIJ4" s="42"/>
      <c r="SIK4" s="42"/>
      <c r="SIL4" s="42"/>
      <c r="SIM4" s="42"/>
      <c r="SIN4" s="42"/>
      <c r="SIO4" s="42"/>
      <c r="SIP4" s="42"/>
      <c r="SIQ4" s="42"/>
      <c r="SIR4" s="42"/>
      <c r="SIS4" s="42"/>
      <c r="SIT4" s="42"/>
      <c r="SIU4" s="42"/>
      <c r="SIV4" s="42"/>
      <c r="SIW4" s="42"/>
      <c r="SIX4" s="42"/>
      <c r="SIY4" s="42"/>
      <c r="SIZ4" s="42"/>
      <c r="SJA4" s="42"/>
      <c r="SJB4" s="42"/>
      <c r="SJC4" s="42"/>
      <c r="SJD4" s="42"/>
      <c r="SJE4" s="42"/>
      <c r="SJF4" s="42"/>
      <c r="SJG4" s="42"/>
      <c r="SJH4" s="42"/>
      <c r="SJI4" s="42"/>
      <c r="SJJ4" s="42"/>
      <c r="SJK4" s="42"/>
      <c r="SJL4" s="42"/>
      <c r="SJM4" s="42"/>
      <c r="SJN4" s="42"/>
      <c r="SJO4" s="42"/>
      <c r="SJP4" s="42"/>
      <c r="SJQ4" s="42"/>
      <c r="SJR4" s="42"/>
      <c r="SJS4" s="42"/>
      <c r="SJT4" s="42"/>
      <c r="SJU4" s="42"/>
      <c r="SJV4" s="42"/>
      <c r="SJW4" s="42"/>
      <c r="SJX4" s="42"/>
      <c r="SJY4" s="42"/>
      <c r="SJZ4" s="42"/>
      <c r="SKA4" s="42"/>
      <c r="SKB4" s="42"/>
      <c r="SKC4" s="42"/>
      <c r="SKD4" s="42"/>
      <c r="SKE4" s="42"/>
      <c r="SKF4" s="42"/>
      <c r="SKG4" s="42"/>
      <c r="SKH4" s="42"/>
      <c r="SKI4" s="42"/>
      <c r="SKJ4" s="42"/>
      <c r="SKK4" s="42"/>
      <c r="SKL4" s="42"/>
      <c r="SKM4" s="42"/>
      <c r="SKN4" s="42"/>
      <c r="SKO4" s="42"/>
      <c r="SKP4" s="42"/>
      <c r="SKQ4" s="42"/>
      <c r="SKR4" s="42"/>
      <c r="SKS4" s="42"/>
      <c r="SKT4" s="42"/>
      <c r="SKU4" s="42"/>
      <c r="SKV4" s="42"/>
      <c r="SKW4" s="42"/>
      <c r="SKX4" s="42"/>
      <c r="SKY4" s="42"/>
      <c r="SKZ4" s="42"/>
      <c r="SLA4" s="42"/>
      <c r="SLB4" s="42"/>
      <c r="SLC4" s="42"/>
      <c r="SLD4" s="42"/>
      <c r="SLE4" s="42"/>
      <c r="SLF4" s="42"/>
      <c r="SLG4" s="42"/>
      <c r="SLH4" s="42"/>
      <c r="SLI4" s="42"/>
      <c r="SLJ4" s="42"/>
      <c r="SLK4" s="42"/>
      <c r="SLL4" s="42"/>
      <c r="SLM4" s="42"/>
      <c r="SLN4" s="42"/>
      <c r="SLO4" s="42"/>
      <c r="SLP4" s="42"/>
      <c r="SLQ4" s="42"/>
      <c r="SLR4" s="42"/>
      <c r="SLS4" s="42"/>
      <c r="SLT4" s="42"/>
      <c r="SLU4" s="42"/>
      <c r="SLV4" s="42"/>
      <c r="SLW4" s="42"/>
      <c r="SLX4" s="42"/>
      <c r="SLY4" s="42"/>
      <c r="SLZ4" s="42"/>
      <c r="SMA4" s="42"/>
      <c r="SMB4" s="42"/>
      <c r="SMC4" s="42"/>
      <c r="SMD4" s="42"/>
      <c r="SME4" s="42"/>
      <c r="SMF4" s="42"/>
      <c r="SMG4" s="42"/>
      <c r="SMH4" s="42"/>
      <c r="SMI4" s="42"/>
      <c r="SMJ4" s="42"/>
      <c r="SMK4" s="42"/>
      <c r="SML4" s="42"/>
      <c r="SMM4" s="42"/>
      <c r="SMN4" s="42"/>
      <c r="SMO4" s="42"/>
      <c r="SMP4" s="42"/>
      <c r="SMQ4" s="42"/>
      <c r="SMR4" s="42"/>
      <c r="SMS4" s="42"/>
      <c r="SMT4" s="42"/>
      <c r="SMU4" s="42"/>
      <c r="SMV4" s="42"/>
      <c r="SMW4" s="42"/>
      <c r="SMX4" s="42"/>
      <c r="SMY4" s="42"/>
      <c r="SMZ4" s="42"/>
      <c r="SNA4" s="42"/>
      <c r="SNB4" s="42"/>
      <c r="SNC4" s="42"/>
      <c r="SND4" s="42"/>
      <c r="SNE4" s="42"/>
      <c r="SNF4" s="42"/>
      <c r="SNG4" s="42"/>
      <c r="SNH4" s="42"/>
      <c r="SNI4" s="42"/>
      <c r="SNJ4" s="42"/>
      <c r="SNK4" s="42"/>
      <c r="SNL4" s="42"/>
      <c r="SNM4" s="42"/>
      <c r="SNN4" s="42"/>
      <c r="SNO4" s="42"/>
      <c r="SNP4" s="42"/>
      <c r="SNQ4" s="42"/>
      <c r="SNR4" s="42"/>
      <c r="SNS4" s="42"/>
      <c r="SNT4" s="42"/>
      <c r="SNU4" s="42"/>
      <c r="SNV4" s="42"/>
      <c r="SNW4" s="42"/>
      <c r="SNX4" s="42"/>
      <c r="SNY4" s="42"/>
      <c r="SNZ4" s="42"/>
      <c r="SOA4" s="42"/>
      <c r="SOB4" s="42"/>
      <c r="SOC4" s="42"/>
      <c r="SOD4" s="42"/>
      <c r="SOE4" s="42"/>
      <c r="SOF4" s="42"/>
      <c r="SOG4" s="42"/>
      <c r="SOH4" s="42"/>
      <c r="SOI4" s="42"/>
      <c r="SOJ4" s="42"/>
      <c r="SOK4" s="42"/>
      <c r="SOL4" s="42"/>
      <c r="SOM4" s="42"/>
      <c r="SON4" s="42"/>
      <c r="SOO4" s="42"/>
      <c r="SOP4" s="42"/>
      <c r="SOQ4" s="42"/>
      <c r="SOR4" s="42"/>
      <c r="SOS4" s="42"/>
      <c r="SOT4" s="42"/>
      <c r="SOU4" s="42"/>
      <c r="SOV4" s="42"/>
      <c r="SOW4" s="42"/>
      <c r="SOX4" s="42"/>
      <c r="SOY4" s="42"/>
      <c r="SOZ4" s="42"/>
      <c r="SPA4" s="42"/>
      <c r="SPB4" s="42"/>
      <c r="SPC4" s="42"/>
      <c r="SPD4" s="42"/>
      <c r="SPE4" s="42"/>
      <c r="SPF4" s="42"/>
      <c r="SPG4" s="42"/>
      <c r="SPH4" s="42"/>
      <c r="SPI4" s="42"/>
      <c r="SPJ4" s="42"/>
      <c r="SPK4" s="42"/>
      <c r="SPL4" s="42"/>
      <c r="SPM4" s="42"/>
      <c r="SPN4" s="42"/>
      <c r="SPO4" s="42"/>
      <c r="SPP4" s="42"/>
      <c r="SPQ4" s="42"/>
      <c r="SPR4" s="42"/>
      <c r="SPS4" s="42"/>
      <c r="SPT4" s="42"/>
      <c r="SPU4" s="42"/>
      <c r="SPV4" s="42"/>
      <c r="SPW4" s="42"/>
      <c r="SPX4" s="42"/>
      <c r="SPY4" s="42"/>
      <c r="SPZ4" s="42"/>
      <c r="SQA4" s="42"/>
      <c r="SQB4" s="42"/>
      <c r="SQC4" s="42"/>
      <c r="SQD4" s="42"/>
      <c r="SQE4" s="42"/>
      <c r="SQF4" s="42"/>
      <c r="SQG4" s="42"/>
      <c r="SQH4" s="42"/>
      <c r="SQI4" s="42"/>
      <c r="SQJ4" s="42"/>
      <c r="SQK4" s="42"/>
      <c r="SQL4" s="42"/>
      <c r="SQM4" s="42"/>
      <c r="SQN4" s="42"/>
      <c r="SQO4" s="42"/>
      <c r="SQP4" s="42"/>
      <c r="SQQ4" s="42"/>
      <c r="SQR4" s="42"/>
      <c r="SQS4" s="42"/>
      <c r="SQT4" s="42"/>
      <c r="SQU4" s="42"/>
      <c r="SQV4" s="42"/>
      <c r="SQW4" s="42"/>
      <c r="SQX4" s="42"/>
      <c r="SQY4" s="42"/>
      <c r="SQZ4" s="42"/>
      <c r="SRA4" s="42"/>
      <c r="SRB4" s="42"/>
      <c r="SRC4" s="42"/>
      <c r="SRD4" s="42"/>
      <c r="SRE4" s="42"/>
      <c r="SRF4" s="42"/>
      <c r="SRG4" s="42"/>
      <c r="SRH4" s="42"/>
      <c r="SRI4" s="42"/>
      <c r="SRJ4" s="42"/>
      <c r="SRK4" s="42"/>
      <c r="SRL4" s="42"/>
      <c r="SRM4" s="42"/>
      <c r="SRN4" s="42"/>
      <c r="SRO4" s="42"/>
      <c r="SRP4" s="42"/>
      <c r="SRQ4" s="42"/>
      <c r="SRR4" s="42"/>
      <c r="SRS4" s="42"/>
      <c r="SRT4" s="42"/>
      <c r="SRU4" s="42"/>
      <c r="SRV4" s="42"/>
      <c r="SRW4" s="42"/>
      <c r="SRX4" s="42"/>
      <c r="SRY4" s="42"/>
      <c r="SRZ4" s="42"/>
      <c r="SSA4" s="42"/>
      <c r="SSB4" s="42"/>
      <c r="SSC4" s="42"/>
      <c r="SSD4" s="42"/>
      <c r="SSE4" s="42"/>
      <c r="SSF4" s="42"/>
      <c r="SSG4" s="42"/>
      <c r="SSH4" s="42"/>
      <c r="SSI4" s="42"/>
      <c r="SSJ4" s="42"/>
      <c r="SSK4" s="42"/>
      <c r="SSL4" s="42"/>
      <c r="SSM4" s="42"/>
      <c r="SSN4" s="42"/>
      <c r="SSO4" s="42"/>
      <c r="SSP4" s="42"/>
      <c r="SSQ4" s="42"/>
      <c r="SSR4" s="42"/>
      <c r="SSS4" s="42"/>
      <c r="SST4" s="42"/>
      <c r="SSU4" s="42"/>
      <c r="SSV4" s="42"/>
      <c r="SSW4" s="42"/>
      <c r="SSX4" s="42"/>
      <c r="SSY4" s="42"/>
      <c r="SSZ4" s="42"/>
      <c r="STA4" s="42"/>
      <c r="STB4" s="42"/>
      <c r="STC4" s="42"/>
      <c r="STD4" s="42"/>
      <c r="STE4" s="42"/>
      <c r="STF4" s="42"/>
      <c r="STG4" s="42"/>
      <c r="STH4" s="42"/>
      <c r="STI4" s="42"/>
      <c r="STJ4" s="42"/>
      <c r="STK4" s="42"/>
      <c r="STL4" s="42"/>
      <c r="STM4" s="42"/>
      <c r="STN4" s="42"/>
      <c r="STO4" s="42"/>
      <c r="STP4" s="42"/>
      <c r="STQ4" s="42"/>
      <c r="STR4" s="42"/>
      <c r="STS4" s="42"/>
      <c r="STT4" s="42"/>
      <c r="STU4" s="42"/>
      <c r="STV4" s="42"/>
      <c r="STW4" s="42"/>
      <c r="STX4" s="42"/>
      <c r="STY4" s="42"/>
      <c r="STZ4" s="42"/>
      <c r="SUA4" s="42"/>
      <c r="SUB4" s="42"/>
      <c r="SUC4" s="42"/>
      <c r="SUD4" s="42"/>
      <c r="SUE4" s="42"/>
      <c r="SUF4" s="42"/>
      <c r="SUG4" s="42"/>
      <c r="SUH4" s="42"/>
      <c r="SUI4" s="42"/>
      <c r="SUJ4" s="42"/>
      <c r="SUK4" s="42"/>
      <c r="SUL4" s="42"/>
      <c r="SUM4" s="42"/>
      <c r="SUN4" s="42"/>
      <c r="SUO4" s="42"/>
      <c r="SUP4" s="42"/>
      <c r="SUQ4" s="42"/>
      <c r="SUR4" s="42"/>
      <c r="SUS4" s="42"/>
      <c r="SUT4" s="42"/>
      <c r="SUU4" s="42"/>
      <c r="SUV4" s="42"/>
      <c r="SUW4" s="42"/>
      <c r="SUX4" s="42"/>
      <c r="SUY4" s="42"/>
      <c r="SUZ4" s="42"/>
      <c r="SVA4" s="42"/>
      <c r="SVB4" s="42"/>
      <c r="SVC4" s="42"/>
      <c r="SVD4" s="42"/>
      <c r="SVE4" s="42"/>
      <c r="SVF4" s="42"/>
      <c r="SVG4" s="42"/>
      <c r="SVH4" s="42"/>
      <c r="SVI4" s="42"/>
      <c r="SVJ4" s="42"/>
      <c r="SVK4" s="42"/>
      <c r="SVL4" s="42"/>
      <c r="SVM4" s="42"/>
      <c r="SVN4" s="42"/>
      <c r="SVO4" s="42"/>
      <c r="SVP4" s="42"/>
      <c r="SVQ4" s="42"/>
      <c r="SVR4" s="42"/>
      <c r="SVS4" s="42"/>
      <c r="SVT4" s="42"/>
      <c r="SVU4" s="42"/>
      <c r="SVV4" s="42"/>
      <c r="SVW4" s="42"/>
      <c r="SVX4" s="42"/>
      <c r="SVY4" s="42"/>
      <c r="SVZ4" s="42"/>
      <c r="SWA4" s="42"/>
      <c r="SWB4" s="42"/>
      <c r="SWC4" s="42"/>
      <c r="SWD4" s="42"/>
      <c r="SWE4" s="42"/>
      <c r="SWF4" s="42"/>
      <c r="SWG4" s="42"/>
      <c r="SWH4" s="42"/>
      <c r="SWI4" s="42"/>
      <c r="SWJ4" s="42"/>
      <c r="SWK4" s="42"/>
      <c r="SWL4" s="42"/>
      <c r="SWM4" s="42"/>
      <c r="SWN4" s="42"/>
      <c r="SWO4" s="42"/>
      <c r="SWP4" s="42"/>
      <c r="SWQ4" s="42"/>
      <c r="SWR4" s="42"/>
      <c r="SWS4" s="42"/>
      <c r="SWT4" s="42"/>
      <c r="SWU4" s="42"/>
      <c r="SWV4" s="42"/>
      <c r="SWW4" s="42"/>
      <c r="SWX4" s="42"/>
      <c r="SWY4" s="42"/>
      <c r="SWZ4" s="42"/>
      <c r="SXA4" s="42"/>
      <c r="SXB4" s="42"/>
      <c r="SXC4" s="42"/>
      <c r="SXD4" s="42"/>
      <c r="SXE4" s="42"/>
      <c r="SXF4" s="42"/>
      <c r="SXG4" s="42"/>
      <c r="SXH4" s="42"/>
      <c r="SXI4" s="42"/>
      <c r="SXJ4" s="42"/>
      <c r="SXK4" s="42"/>
      <c r="SXL4" s="42"/>
      <c r="SXM4" s="42"/>
      <c r="SXN4" s="42"/>
      <c r="SXO4" s="42"/>
      <c r="SXP4" s="42"/>
      <c r="SXQ4" s="42"/>
      <c r="SXR4" s="42"/>
      <c r="SXS4" s="42"/>
      <c r="SXT4" s="42"/>
      <c r="SXU4" s="42"/>
      <c r="SXV4" s="42"/>
      <c r="SXW4" s="42"/>
      <c r="SXX4" s="42"/>
      <c r="SXY4" s="42"/>
      <c r="SXZ4" s="42"/>
      <c r="SYA4" s="42"/>
      <c r="SYB4" s="42"/>
      <c r="SYC4" s="42"/>
      <c r="SYD4" s="42"/>
      <c r="SYE4" s="42"/>
      <c r="SYF4" s="42"/>
      <c r="SYG4" s="42"/>
      <c r="SYH4" s="42"/>
      <c r="SYI4" s="42"/>
      <c r="SYJ4" s="42"/>
      <c r="SYK4" s="42"/>
      <c r="SYL4" s="42"/>
      <c r="SYM4" s="42"/>
      <c r="SYN4" s="42"/>
      <c r="SYO4" s="42"/>
      <c r="SYP4" s="42"/>
      <c r="SYQ4" s="42"/>
      <c r="SYR4" s="42"/>
      <c r="SYS4" s="42"/>
      <c r="SYT4" s="42"/>
      <c r="SYU4" s="42"/>
      <c r="SYV4" s="42"/>
      <c r="SYW4" s="42"/>
      <c r="SYX4" s="42"/>
      <c r="SYY4" s="42"/>
      <c r="SYZ4" s="42"/>
      <c r="SZA4" s="42"/>
      <c r="SZB4" s="42"/>
      <c r="SZC4" s="42"/>
      <c r="SZD4" s="42"/>
      <c r="SZE4" s="42"/>
      <c r="SZF4" s="42"/>
      <c r="SZG4" s="42"/>
      <c r="SZH4" s="42"/>
      <c r="SZI4" s="42"/>
      <c r="SZJ4" s="42"/>
      <c r="SZK4" s="42"/>
      <c r="SZL4" s="42"/>
      <c r="SZM4" s="42"/>
      <c r="SZN4" s="42"/>
      <c r="SZO4" s="42"/>
      <c r="SZP4" s="42"/>
      <c r="SZQ4" s="42"/>
      <c r="SZR4" s="42"/>
      <c r="SZS4" s="42"/>
      <c r="SZT4" s="42"/>
      <c r="SZU4" s="42"/>
      <c r="SZV4" s="42"/>
      <c r="SZW4" s="42"/>
      <c r="SZX4" s="42"/>
      <c r="SZY4" s="42"/>
      <c r="SZZ4" s="42"/>
      <c r="TAA4" s="42"/>
      <c r="TAB4" s="42"/>
      <c r="TAC4" s="42"/>
      <c r="TAD4" s="42"/>
      <c r="TAE4" s="42"/>
      <c r="TAF4" s="42"/>
      <c r="TAG4" s="42"/>
      <c r="TAH4" s="42"/>
      <c r="TAI4" s="42"/>
      <c r="TAJ4" s="42"/>
      <c r="TAK4" s="42"/>
      <c r="TAL4" s="42"/>
      <c r="TAM4" s="42"/>
      <c r="TAN4" s="42"/>
      <c r="TAO4" s="42"/>
      <c r="TAP4" s="42"/>
      <c r="TAQ4" s="42"/>
      <c r="TAR4" s="42"/>
      <c r="TAS4" s="42"/>
      <c r="TAT4" s="42"/>
      <c r="TAU4" s="42"/>
      <c r="TAV4" s="42"/>
      <c r="TAW4" s="42"/>
      <c r="TAX4" s="42"/>
      <c r="TAY4" s="42"/>
      <c r="TAZ4" s="42"/>
      <c r="TBA4" s="42"/>
      <c r="TBB4" s="42"/>
      <c r="TBC4" s="42"/>
      <c r="TBD4" s="42"/>
      <c r="TBE4" s="42"/>
      <c r="TBF4" s="42"/>
      <c r="TBG4" s="42"/>
      <c r="TBH4" s="42"/>
      <c r="TBI4" s="42"/>
      <c r="TBJ4" s="42"/>
      <c r="TBK4" s="42"/>
      <c r="TBL4" s="42"/>
      <c r="TBM4" s="42"/>
      <c r="TBN4" s="42"/>
      <c r="TBO4" s="42"/>
      <c r="TBP4" s="42"/>
      <c r="TBQ4" s="42"/>
      <c r="TBR4" s="42"/>
      <c r="TBS4" s="42"/>
      <c r="TBT4" s="42"/>
      <c r="TBU4" s="42"/>
      <c r="TBV4" s="42"/>
      <c r="TBW4" s="42"/>
      <c r="TBX4" s="42"/>
      <c r="TBY4" s="42"/>
      <c r="TBZ4" s="42"/>
      <c r="TCA4" s="42"/>
      <c r="TCB4" s="42"/>
      <c r="TCC4" s="42"/>
      <c r="TCD4" s="42"/>
      <c r="TCE4" s="42"/>
      <c r="TCF4" s="42"/>
      <c r="TCG4" s="42"/>
      <c r="TCH4" s="42"/>
      <c r="TCI4" s="42"/>
      <c r="TCJ4" s="42"/>
      <c r="TCK4" s="42"/>
      <c r="TCL4" s="42"/>
      <c r="TCM4" s="42"/>
      <c r="TCN4" s="42"/>
      <c r="TCO4" s="42"/>
      <c r="TCP4" s="42"/>
      <c r="TCQ4" s="42"/>
      <c r="TCR4" s="42"/>
      <c r="TCS4" s="42"/>
      <c r="TCT4" s="42"/>
      <c r="TCU4" s="42"/>
      <c r="TCV4" s="42"/>
      <c r="TCW4" s="42"/>
      <c r="TCX4" s="42"/>
      <c r="TCY4" s="42"/>
      <c r="TCZ4" s="42"/>
      <c r="TDA4" s="42"/>
      <c r="TDB4" s="42"/>
      <c r="TDC4" s="42"/>
      <c r="TDD4" s="42"/>
      <c r="TDE4" s="42"/>
      <c r="TDF4" s="42"/>
      <c r="TDG4" s="42"/>
      <c r="TDH4" s="42"/>
      <c r="TDI4" s="42"/>
      <c r="TDJ4" s="42"/>
      <c r="TDK4" s="42"/>
      <c r="TDL4" s="42"/>
      <c r="TDM4" s="42"/>
      <c r="TDN4" s="42"/>
      <c r="TDO4" s="42"/>
      <c r="TDP4" s="42"/>
      <c r="TDQ4" s="42"/>
      <c r="TDR4" s="42"/>
      <c r="TDS4" s="42"/>
      <c r="TDT4" s="42"/>
      <c r="TDU4" s="42"/>
      <c r="TDV4" s="42"/>
      <c r="TDW4" s="42"/>
      <c r="TDX4" s="42"/>
      <c r="TDY4" s="42"/>
      <c r="TDZ4" s="42"/>
      <c r="TEA4" s="42"/>
      <c r="TEB4" s="42"/>
      <c r="TEC4" s="42"/>
      <c r="TED4" s="42"/>
      <c r="TEE4" s="42"/>
      <c r="TEF4" s="42"/>
      <c r="TEG4" s="42"/>
      <c r="TEH4" s="42"/>
      <c r="TEI4" s="42"/>
      <c r="TEJ4" s="42"/>
      <c r="TEK4" s="42"/>
      <c r="TEL4" s="42"/>
      <c r="TEM4" s="42"/>
      <c r="TEN4" s="42"/>
      <c r="TEO4" s="42"/>
      <c r="TEP4" s="42"/>
      <c r="TEQ4" s="42"/>
      <c r="TER4" s="42"/>
      <c r="TES4" s="42"/>
      <c r="TET4" s="42"/>
      <c r="TEU4" s="42"/>
      <c r="TEV4" s="42"/>
      <c r="TEW4" s="42"/>
      <c r="TEX4" s="42"/>
      <c r="TEY4" s="42"/>
      <c r="TEZ4" s="42"/>
      <c r="TFA4" s="42"/>
      <c r="TFB4" s="42"/>
      <c r="TFC4" s="42"/>
      <c r="TFD4" s="42"/>
      <c r="TFE4" s="42"/>
      <c r="TFF4" s="42"/>
      <c r="TFG4" s="42"/>
      <c r="TFH4" s="42"/>
      <c r="TFI4" s="42"/>
      <c r="TFJ4" s="42"/>
      <c r="TFK4" s="42"/>
      <c r="TFL4" s="42"/>
      <c r="TFM4" s="42"/>
      <c r="TFN4" s="42"/>
      <c r="TFO4" s="42"/>
      <c r="TFP4" s="42"/>
      <c r="TFQ4" s="42"/>
      <c r="TFR4" s="42"/>
      <c r="TFS4" s="42"/>
      <c r="TFT4" s="42"/>
      <c r="TFU4" s="42"/>
      <c r="TFV4" s="42"/>
      <c r="TFW4" s="42"/>
      <c r="TFX4" s="42"/>
      <c r="TFY4" s="42"/>
      <c r="TFZ4" s="42"/>
      <c r="TGA4" s="42"/>
      <c r="TGB4" s="42"/>
      <c r="TGC4" s="42"/>
      <c r="TGD4" s="42"/>
      <c r="TGE4" s="42"/>
      <c r="TGF4" s="42"/>
      <c r="TGG4" s="42"/>
      <c r="TGH4" s="42"/>
      <c r="TGI4" s="42"/>
      <c r="TGJ4" s="42"/>
      <c r="TGK4" s="42"/>
      <c r="TGL4" s="42"/>
      <c r="TGM4" s="42"/>
      <c r="TGN4" s="42"/>
      <c r="TGO4" s="42"/>
      <c r="TGP4" s="42"/>
      <c r="TGQ4" s="42"/>
      <c r="TGR4" s="42"/>
      <c r="TGS4" s="42"/>
      <c r="TGT4" s="42"/>
      <c r="TGU4" s="42"/>
      <c r="TGV4" s="42"/>
      <c r="TGW4" s="42"/>
      <c r="TGX4" s="42"/>
      <c r="TGY4" s="42"/>
      <c r="TGZ4" s="42"/>
      <c r="THA4" s="42"/>
      <c r="THB4" s="42"/>
      <c r="THC4" s="42"/>
      <c r="THD4" s="42"/>
      <c r="THE4" s="42"/>
      <c r="THF4" s="42"/>
      <c r="THG4" s="42"/>
      <c r="THH4" s="42"/>
      <c r="THI4" s="42"/>
      <c r="THJ4" s="42"/>
      <c r="THK4" s="42"/>
      <c r="THL4" s="42"/>
      <c r="THM4" s="42"/>
      <c r="THN4" s="42"/>
      <c r="THO4" s="42"/>
      <c r="THP4" s="42"/>
      <c r="THQ4" s="42"/>
      <c r="THR4" s="42"/>
      <c r="THS4" s="42"/>
      <c r="THT4" s="42"/>
      <c r="THU4" s="42"/>
      <c r="THV4" s="42"/>
      <c r="THW4" s="42"/>
      <c r="THX4" s="42"/>
      <c r="THY4" s="42"/>
      <c r="THZ4" s="42"/>
      <c r="TIA4" s="42"/>
      <c r="TIB4" s="42"/>
      <c r="TIC4" s="42"/>
      <c r="TID4" s="42"/>
      <c r="TIE4" s="42"/>
      <c r="TIF4" s="42"/>
      <c r="TIG4" s="42"/>
      <c r="TIH4" s="42"/>
      <c r="TII4" s="42"/>
      <c r="TIJ4" s="42"/>
      <c r="TIK4" s="42"/>
      <c r="TIL4" s="42"/>
      <c r="TIM4" s="42"/>
      <c r="TIN4" s="42"/>
      <c r="TIO4" s="42"/>
      <c r="TIP4" s="42"/>
      <c r="TIQ4" s="42"/>
      <c r="TIR4" s="42"/>
      <c r="TIS4" s="42"/>
      <c r="TIT4" s="42"/>
      <c r="TIU4" s="42"/>
      <c r="TIV4" s="42"/>
      <c r="TIW4" s="42"/>
      <c r="TIX4" s="42"/>
      <c r="TIY4" s="42"/>
      <c r="TIZ4" s="42"/>
      <c r="TJA4" s="42"/>
      <c r="TJB4" s="42"/>
      <c r="TJC4" s="42"/>
      <c r="TJD4" s="42"/>
      <c r="TJE4" s="42"/>
      <c r="TJF4" s="42"/>
      <c r="TJG4" s="42"/>
      <c r="TJH4" s="42"/>
      <c r="TJI4" s="42"/>
      <c r="TJJ4" s="42"/>
      <c r="TJK4" s="42"/>
      <c r="TJL4" s="42"/>
      <c r="TJM4" s="42"/>
      <c r="TJN4" s="42"/>
      <c r="TJO4" s="42"/>
      <c r="TJP4" s="42"/>
      <c r="TJQ4" s="42"/>
      <c r="TJR4" s="42"/>
      <c r="TJS4" s="42"/>
      <c r="TJT4" s="42"/>
      <c r="TJU4" s="42"/>
      <c r="TJV4" s="42"/>
      <c r="TJW4" s="42"/>
      <c r="TJX4" s="42"/>
      <c r="TJY4" s="42"/>
      <c r="TJZ4" s="42"/>
      <c r="TKA4" s="42"/>
      <c r="TKB4" s="42"/>
      <c r="TKC4" s="42"/>
      <c r="TKD4" s="42"/>
      <c r="TKE4" s="42"/>
      <c r="TKF4" s="42"/>
      <c r="TKG4" s="42"/>
      <c r="TKH4" s="42"/>
      <c r="TKI4" s="42"/>
      <c r="TKJ4" s="42"/>
      <c r="TKK4" s="42"/>
      <c r="TKL4" s="42"/>
      <c r="TKM4" s="42"/>
      <c r="TKN4" s="42"/>
      <c r="TKO4" s="42"/>
      <c r="TKP4" s="42"/>
      <c r="TKQ4" s="42"/>
      <c r="TKR4" s="42"/>
      <c r="TKS4" s="42"/>
      <c r="TKT4" s="42"/>
      <c r="TKU4" s="42"/>
      <c r="TKV4" s="42"/>
      <c r="TKW4" s="42"/>
      <c r="TKX4" s="42"/>
      <c r="TKY4" s="42"/>
      <c r="TKZ4" s="42"/>
      <c r="TLA4" s="42"/>
      <c r="TLB4" s="42"/>
      <c r="TLC4" s="42"/>
      <c r="TLD4" s="42"/>
      <c r="TLE4" s="42"/>
      <c r="TLF4" s="42"/>
      <c r="TLG4" s="42"/>
      <c r="TLH4" s="42"/>
      <c r="TLI4" s="42"/>
      <c r="TLJ4" s="42"/>
      <c r="TLK4" s="42"/>
      <c r="TLL4" s="42"/>
      <c r="TLM4" s="42"/>
      <c r="TLN4" s="42"/>
      <c r="TLO4" s="42"/>
      <c r="TLP4" s="42"/>
      <c r="TLQ4" s="42"/>
      <c r="TLR4" s="42"/>
      <c r="TLS4" s="42"/>
      <c r="TLT4" s="42"/>
      <c r="TLU4" s="42"/>
      <c r="TLV4" s="42"/>
      <c r="TLW4" s="42"/>
      <c r="TLX4" s="42"/>
      <c r="TLY4" s="42"/>
      <c r="TLZ4" s="42"/>
      <c r="TMA4" s="42"/>
      <c r="TMB4" s="42"/>
      <c r="TMC4" s="42"/>
      <c r="TMD4" s="42"/>
      <c r="TME4" s="42"/>
      <c r="TMF4" s="42"/>
      <c r="TMG4" s="42"/>
      <c r="TMH4" s="42"/>
      <c r="TMI4" s="42"/>
      <c r="TMJ4" s="42"/>
      <c r="TMK4" s="42"/>
      <c r="TML4" s="42"/>
      <c r="TMM4" s="42"/>
      <c r="TMN4" s="42"/>
      <c r="TMO4" s="42"/>
      <c r="TMP4" s="42"/>
      <c r="TMQ4" s="42"/>
      <c r="TMR4" s="42"/>
      <c r="TMS4" s="42"/>
      <c r="TMT4" s="42"/>
      <c r="TMU4" s="42"/>
      <c r="TMV4" s="42"/>
      <c r="TMW4" s="42"/>
      <c r="TMX4" s="42"/>
      <c r="TMY4" s="42"/>
      <c r="TMZ4" s="42"/>
      <c r="TNA4" s="42"/>
      <c r="TNB4" s="42"/>
      <c r="TNC4" s="42"/>
      <c r="TND4" s="42"/>
      <c r="TNE4" s="42"/>
      <c r="TNF4" s="42"/>
      <c r="TNG4" s="42"/>
      <c r="TNH4" s="42"/>
      <c r="TNI4" s="42"/>
      <c r="TNJ4" s="42"/>
      <c r="TNK4" s="42"/>
      <c r="TNL4" s="42"/>
      <c r="TNM4" s="42"/>
      <c r="TNN4" s="42"/>
      <c r="TNO4" s="42"/>
      <c r="TNP4" s="42"/>
      <c r="TNQ4" s="42"/>
      <c r="TNR4" s="42"/>
      <c r="TNS4" s="42"/>
      <c r="TNT4" s="42"/>
      <c r="TNU4" s="42"/>
      <c r="TNV4" s="42"/>
      <c r="TNW4" s="42"/>
      <c r="TNX4" s="42"/>
      <c r="TNY4" s="42"/>
      <c r="TNZ4" s="42"/>
      <c r="TOA4" s="42"/>
      <c r="TOB4" s="42"/>
      <c r="TOC4" s="42"/>
      <c r="TOD4" s="42"/>
      <c r="TOE4" s="42"/>
      <c r="TOF4" s="42"/>
      <c r="TOG4" s="42"/>
      <c r="TOH4" s="42"/>
      <c r="TOI4" s="42"/>
      <c r="TOJ4" s="42"/>
      <c r="TOK4" s="42"/>
      <c r="TOL4" s="42"/>
      <c r="TOM4" s="42"/>
      <c r="TON4" s="42"/>
      <c r="TOO4" s="42"/>
      <c r="TOP4" s="42"/>
      <c r="TOQ4" s="42"/>
      <c r="TOR4" s="42"/>
      <c r="TOS4" s="42"/>
      <c r="TOT4" s="42"/>
      <c r="TOU4" s="42"/>
      <c r="TOV4" s="42"/>
      <c r="TOW4" s="42"/>
      <c r="TOX4" s="42"/>
      <c r="TOY4" s="42"/>
      <c r="TOZ4" s="42"/>
      <c r="TPA4" s="42"/>
      <c r="TPB4" s="42"/>
      <c r="TPC4" s="42"/>
      <c r="TPD4" s="42"/>
      <c r="TPE4" s="42"/>
      <c r="TPF4" s="42"/>
      <c r="TPG4" s="42"/>
      <c r="TPH4" s="42"/>
      <c r="TPI4" s="42"/>
      <c r="TPJ4" s="42"/>
      <c r="TPK4" s="42"/>
      <c r="TPL4" s="42"/>
      <c r="TPM4" s="42"/>
      <c r="TPN4" s="42"/>
      <c r="TPO4" s="42"/>
      <c r="TPP4" s="42"/>
      <c r="TPQ4" s="42"/>
      <c r="TPR4" s="42"/>
      <c r="TPS4" s="42"/>
      <c r="TPT4" s="42"/>
      <c r="TPU4" s="42"/>
      <c r="TPV4" s="42"/>
      <c r="TPW4" s="42"/>
      <c r="TPX4" s="42"/>
      <c r="TPY4" s="42"/>
      <c r="TPZ4" s="42"/>
      <c r="TQA4" s="42"/>
      <c r="TQB4" s="42"/>
      <c r="TQC4" s="42"/>
      <c r="TQD4" s="42"/>
      <c r="TQE4" s="42"/>
      <c r="TQF4" s="42"/>
      <c r="TQG4" s="42"/>
      <c r="TQH4" s="42"/>
      <c r="TQI4" s="42"/>
      <c r="TQJ4" s="42"/>
      <c r="TQK4" s="42"/>
      <c r="TQL4" s="42"/>
      <c r="TQM4" s="42"/>
      <c r="TQN4" s="42"/>
      <c r="TQO4" s="42"/>
      <c r="TQP4" s="42"/>
      <c r="TQQ4" s="42"/>
      <c r="TQR4" s="42"/>
      <c r="TQS4" s="42"/>
      <c r="TQT4" s="42"/>
      <c r="TQU4" s="42"/>
      <c r="TQV4" s="42"/>
      <c r="TQW4" s="42"/>
      <c r="TQX4" s="42"/>
      <c r="TQY4" s="42"/>
      <c r="TQZ4" s="42"/>
      <c r="TRA4" s="42"/>
      <c r="TRB4" s="42"/>
      <c r="TRC4" s="42"/>
      <c r="TRD4" s="42"/>
      <c r="TRE4" s="42"/>
      <c r="TRF4" s="42"/>
      <c r="TRG4" s="42"/>
      <c r="TRH4" s="42"/>
      <c r="TRI4" s="42"/>
      <c r="TRJ4" s="42"/>
      <c r="TRK4" s="42"/>
      <c r="TRL4" s="42"/>
      <c r="TRM4" s="42"/>
      <c r="TRN4" s="42"/>
      <c r="TRO4" s="42"/>
      <c r="TRP4" s="42"/>
      <c r="TRQ4" s="42"/>
      <c r="TRR4" s="42"/>
      <c r="TRS4" s="42"/>
      <c r="TRT4" s="42"/>
      <c r="TRU4" s="42"/>
      <c r="TRV4" s="42"/>
      <c r="TRW4" s="42"/>
      <c r="TRX4" s="42"/>
      <c r="TRY4" s="42"/>
      <c r="TRZ4" s="42"/>
      <c r="TSA4" s="42"/>
      <c r="TSB4" s="42"/>
      <c r="TSC4" s="42"/>
      <c r="TSD4" s="42"/>
      <c r="TSE4" s="42"/>
      <c r="TSF4" s="42"/>
      <c r="TSG4" s="42"/>
      <c r="TSH4" s="42"/>
      <c r="TSI4" s="42"/>
      <c r="TSJ4" s="42"/>
      <c r="TSK4" s="42"/>
      <c r="TSL4" s="42"/>
      <c r="TSM4" s="42"/>
      <c r="TSN4" s="42"/>
      <c r="TSO4" s="42"/>
      <c r="TSP4" s="42"/>
      <c r="TSQ4" s="42"/>
      <c r="TSR4" s="42"/>
      <c r="TSS4" s="42"/>
      <c r="TST4" s="42"/>
      <c r="TSU4" s="42"/>
      <c r="TSV4" s="42"/>
      <c r="TSW4" s="42"/>
      <c r="TSX4" s="42"/>
      <c r="TSY4" s="42"/>
      <c r="TSZ4" s="42"/>
      <c r="TTA4" s="42"/>
      <c r="TTB4" s="42"/>
      <c r="TTC4" s="42"/>
      <c r="TTD4" s="42"/>
      <c r="TTE4" s="42"/>
      <c r="TTF4" s="42"/>
      <c r="TTG4" s="42"/>
      <c r="TTH4" s="42"/>
      <c r="TTI4" s="42"/>
      <c r="TTJ4" s="42"/>
      <c r="TTK4" s="42"/>
      <c r="TTL4" s="42"/>
      <c r="TTM4" s="42"/>
      <c r="TTN4" s="42"/>
      <c r="TTO4" s="42"/>
      <c r="TTP4" s="42"/>
      <c r="TTQ4" s="42"/>
      <c r="TTR4" s="42"/>
      <c r="TTS4" s="42"/>
      <c r="TTT4" s="42"/>
      <c r="TTU4" s="42"/>
      <c r="TTV4" s="42"/>
      <c r="TTW4" s="42"/>
      <c r="TTX4" s="42"/>
      <c r="TTY4" s="42"/>
      <c r="TTZ4" s="42"/>
      <c r="TUA4" s="42"/>
      <c r="TUB4" s="42"/>
      <c r="TUC4" s="42"/>
      <c r="TUD4" s="42"/>
      <c r="TUE4" s="42"/>
      <c r="TUF4" s="42"/>
      <c r="TUG4" s="42"/>
      <c r="TUH4" s="42"/>
      <c r="TUI4" s="42"/>
      <c r="TUJ4" s="42"/>
      <c r="TUK4" s="42"/>
      <c r="TUL4" s="42"/>
      <c r="TUM4" s="42"/>
      <c r="TUN4" s="42"/>
      <c r="TUO4" s="42"/>
      <c r="TUP4" s="42"/>
      <c r="TUQ4" s="42"/>
      <c r="TUR4" s="42"/>
      <c r="TUS4" s="42"/>
      <c r="TUT4" s="42"/>
      <c r="TUU4" s="42"/>
      <c r="TUV4" s="42"/>
      <c r="TUW4" s="42"/>
      <c r="TUX4" s="42"/>
      <c r="TUY4" s="42"/>
      <c r="TUZ4" s="42"/>
      <c r="TVA4" s="42"/>
      <c r="TVB4" s="42"/>
      <c r="TVC4" s="42"/>
      <c r="TVD4" s="42"/>
      <c r="TVE4" s="42"/>
      <c r="TVF4" s="42"/>
      <c r="TVG4" s="42"/>
      <c r="TVH4" s="42"/>
      <c r="TVI4" s="42"/>
      <c r="TVJ4" s="42"/>
      <c r="TVK4" s="42"/>
      <c r="TVL4" s="42"/>
      <c r="TVM4" s="42"/>
      <c r="TVN4" s="42"/>
      <c r="TVO4" s="42"/>
      <c r="TVP4" s="42"/>
      <c r="TVQ4" s="42"/>
      <c r="TVR4" s="42"/>
      <c r="TVS4" s="42"/>
      <c r="TVT4" s="42"/>
      <c r="TVU4" s="42"/>
      <c r="TVV4" s="42"/>
      <c r="TVW4" s="42"/>
      <c r="TVX4" s="42"/>
      <c r="TVY4" s="42"/>
      <c r="TVZ4" s="42"/>
      <c r="TWA4" s="42"/>
      <c r="TWB4" s="42"/>
      <c r="TWC4" s="42"/>
      <c r="TWD4" s="42"/>
      <c r="TWE4" s="42"/>
      <c r="TWF4" s="42"/>
      <c r="TWG4" s="42"/>
      <c r="TWH4" s="42"/>
      <c r="TWI4" s="42"/>
      <c r="TWJ4" s="42"/>
      <c r="TWK4" s="42"/>
      <c r="TWL4" s="42"/>
      <c r="TWM4" s="42"/>
      <c r="TWN4" s="42"/>
      <c r="TWO4" s="42"/>
      <c r="TWP4" s="42"/>
      <c r="TWQ4" s="42"/>
      <c r="TWR4" s="42"/>
      <c r="TWS4" s="42"/>
      <c r="TWT4" s="42"/>
      <c r="TWU4" s="42"/>
      <c r="TWV4" s="42"/>
      <c r="TWW4" s="42"/>
      <c r="TWX4" s="42"/>
      <c r="TWY4" s="42"/>
      <c r="TWZ4" s="42"/>
      <c r="TXA4" s="42"/>
      <c r="TXB4" s="42"/>
      <c r="TXC4" s="42"/>
      <c r="TXD4" s="42"/>
      <c r="TXE4" s="42"/>
      <c r="TXF4" s="42"/>
      <c r="TXG4" s="42"/>
      <c r="TXH4" s="42"/>
      <c r="TXI4" s="42"/>
      <c r="TXJ4" s="42"/>
      <c r="TXK4" s="42"/>
      <c r="TXL4" s="42"/>
      <c r="TXM4" s="42"/>
      <c r="TXN4" s="42"/>
      <c r="TXO4" s="42"/>
      <c r="TXP4" s="42"/>
      <c r="TXQ4" s="42"/>
      <c r="TXR4" s="42"/>
      <c r="TXS4" s="42"/>
      <c r="TXT4" s="42"/>
      <c r="TXU4" s="42"/>
      <c r="TXV4" s="42"/>
      <c r="TXW4" s="42"/>
      <c r="TXX4" s="42"/>
      <c r="TXY4" s="42"/>
      <c r="TXZ4" s="42"/>
      <c r="TYA4" s="42"/>
      <c r="TYB4" s="42"/>
      <c r="TYC4" s="42"/>
      <c r="TYD4" s="42"/>
      <c r="TYE4" s="42"/>
      <c r="TYF4" s="42"/>
      <c r="TYG4" s="42"/>
      <c r="TYH4" s="42"/>
      <c r="TYI4" s="42"/>
      <c r="TYJ4" s="42"/>
      <c r="TYK4" s="42"/>
      <c r="TYL4" s="42"/>
      <c r="TYM4" s="42"/>
      <c r="TYN4" s="42"/>
      <c r="TYO4" s="42"/>
      <c r="TYP4" s="42"/>
      <c r="TYQ4" s="42"/>
      <c r="TYR4" s="42"/>
      <c r="TYS4" s="42"/>
      <c r="TYT4" s="42"/>
      <c r="TYU4" s="42"/>
      <c r="TYV4" s="42"/>
      <c r="TYW4" s="42"/>
      <c r="TYX4" s="42"/>
      <c r="TYY4" s="42"/>
      <c r="TYZ4" s="42"/>
      <c r="TZA4" s="42"/>
      <c r="TZB4" s="42"/>
      <c r="TZC4" s="42"/>
      <c r="TZD4" s="42"/>
      <c r="TZE4" s="42"/>
      <c r="TZF4" s="42"/>
      <c r="TZG4" s="42"/>
      <c r="TZH4" s="42"/>
      <c r="TZI4" s="42"/>
      <c r="TZJ4" s="42"/>
      <c r="TZK4" s="42"/>
      <c r="TZL4" s="42"/>
      <c r="TZM4" s="42"/>
      <c r="TZN4" s="42"/>
      <c r="TZO4" s="42"/>
      <c r="TZP4" s="42"/>
      <c r="TZQ4" s="42"/>
      <c r="TZR4" s="42"/>
      <c r="TZS4" s="42"/>
      <c r="TZT4" s="42"/>
      <c r="TZU4" s="42"/>
      <c r="TZV4" s="42"/>
      <c r="TZW4" s="42"/>
      <c r="TZX4" s="42"/>
      <c r="TZY4" s="42"/>
      <c r="TZZ4" s="42"/>
      <c r="UAA4" s="42"/>
      <c r="UAB4" s="42"/>
      <c r="UAC4" s="42"/>
      <c r="UAD4" s="42"/>
      <c r="UAE4" s="42"/>
      <c r="UAF4" s="42"/>
      <c r="UAG4" s="42"/>
      <c r="UAH4" s="42"/>
      <c r="UAI4" s="42"/>
      <c r="UAJ4" s="42"/>
      <c r="UAK4" s="42"/>
      <c r="UAL4" s="42"/>
      <c r="UAM4" s="42"/>
      <c r="UAN4" s="42"/>
      <c r="UAO4" s="42"/>
      <c r="UAP4" s="42"/>
      <c r="UAQ4" s="42"/>
      <c r="UAR4" s="42"/>
      <c r="UAS4" s="42"/>
      <c r="UAT4" s="42"/>
      <c r="UAU4" s="42"/>
      <c r="UAV4" s="42"/>
      <c r="UAW4" s="42"/>
      <c r="UAX4" s="42"/>
      <c r="UAY4" s="42"/>
      <c r="UAZ4" s="42"/>
      <c r="UBA4" s="42"/>
      <c r="UBB4" s="42"/>
      <c r="UBC4" s="42"/>
      <c r="UBD4" s="42"/>
      <c r="UBE4" s="42"/>
      <c r="UBF4" s="42"/>
      <c r="UBG4" s="42"/>
      <c r="UBH4" s="42"/>
      <c r="UBI4" s="42"/>
      <c r="UBJ4" s="42"/>
      <c r="UBK4" s="42"/>
      <c r="UBL4" s="42"/>
      <c r="UBM4" s="42"/>
      <c r="UBN4" s="42"/>
      <c r="UBO4" s="42"/>
      <c r="UBP4" s="42"/>
      <c r="UBQ4" s="42"/>
      <c r="UBR4" s="42"/>
      <c r="UBS4" s="42"/>
      <c r="UBT4" s="42"/>
      <c r="UBU4" s="42"/>
      <c r="UBV4" s="42"/>
      <c r="UBW4" s="42"/>
      <c r="UBX4" s="42"/>
      <c r="UBY4" s="42"/>
      <c r="UBZ4" s="42"/>
      <c r="UCA4" s="42"/>
      <c r="UCB4" s="42"/>
      <c r="UCC4" s="42"/>
      <c r="UCD4" s="42"/>
      <c r="UCE4" s="42"/>
      <c r="UCF4" s="42"/>
      <c r="UCG4" s="42"/>
      <c r="UCH4" s="42"/>
      <c r="UCI4" s="42"/>
      <c r="UCJ4" s="42"/>
      <c r="UCK4" s="42"/>
      <c r="UCL4" s="42"/>
      <c r="UCM4" s="42"/>
      <c r="UCN4" s="42"/>
      <c r="UCO4" s="42"/>
      <c r="UCP4" s="42"/>
      <c r="UCQ4" s="42"/>
      <c r="UCR4" s="42"/>
      <c r="UCS4" s="42"/>
      <c r="UCT4" s="42"/>
      <c r="UCU4" s="42"/>
      <c r="UCV4" s="42"/>
      <c r="UCW4" s="42"/>
      <c r="UCX4" s="42"/>
      <c r="UCY4" s="42"/>
      <c r="UCZ4" s="42"/>
      <c r="UDA4" s="42"/>
      <c r="UDB4" s="42"/>
      <c r="UDC4" s="42"/>
      <c r="UDD4" s="42"/>
      <c r="UDE4" s="42"/>
      <c r="UDF4" s="42"/>
      <c r="UDG4" s="42"/>
      <c r="UDH4" s="42"/>
      <c r="UDI4" s="42"/>
      <c r="UDJ4" s="42"/>
      <c r="UDK4" s="42"/>
      <c r="UDL4" s="42"/>
      <c r="UDM4" s="42"/>
      <c r="UDN4" s="42"/>
      <c r="UDO4" s="42"/>
      <c r="UDP4" s="42"/>
      <c r="UDQ4" s="42"/>
      <c r="UDR4" s="42"/>
      <c r="UDS4" s="42"/>
      <c r="UDT4" s="42"/>
      <c r="UDU4" s="42"/>
      <c r="UDV4" s="42"/>
      <c r="UDW4" s="42"/>
      <c r="UDX4" s="42"/>
      <c r="UDY4" s="42"/>
      <c r="UDZ4" s="42"/>
      <c r="UEA4" s="42"/>
      <c r="UEB4" s="42"/>
      <c r="UEC4" s="42"/>
      <c r="UED4" s="42"/>
      <c r="UEE4" s="42"/>
      <c r="UEF4" s="42"/>
      <c r="UEG4" s="42"/>
      <c r="UEH4" s="42"/>
      <c r="UEI4" s="42"/>
      <c r="UEJ4" s="42"/>
      <c r="UEK4" s="42"/>
      <c r="UEL4" s="42"/>
      <c r="UEM4" s="42"/>
      <c r="UEN4" s="42"/>
      <c r="UEO4" s="42"/>
      <c r="UEP4" s="42"/>
      <c r="UEQ4" s="42"/>
      <c r="UER4" s="42"/>
      <c r="UES4" s="42"/>
      <c r="UET4" s="42"/>
      <c r="UEU4" s="42"/>
      <c r="UEV4" s="42"/>
      <c r="UEW4" s="42"/>
      <c r="UEX4" s="42"/>
      <c r="UEY4" s="42"/>
      <c r="UEZ4" s="42"/>
      <c r="UFA4" s="42"/>
      <c r="UFB4" s="42"/>
      <c r="UFC4" s="42"/>
      <c r="UFD4" s="42"/>
      <c r="UFE4" s="42"/>
      <c r="UFF4" s="42"/>
      <c r="UFG4" s="42"/>
      <c r="UFH4" s="42"/>
      <c r="UFI4" s="42"/>
      <c r="UFJ4" s="42"/>
      <c r="UFK4" s="42"/>
      <c r="UFL4" s="42"/>
      <c r="UFM4" s="42"/>
      <c r="UFN4" s="42"/>
      <c r="UFO4" s="42"/>
      <c r="UFP4" s="42"/>
      <c r="UFQ4" s="42"/>
      <c r="UFR4" s="42"/>
      <c r="UFS4" s="42"/>
      <c r="UFT4" s="42"/>
      <c r="UFU4" s="42"/>
      <c r="UFV4" s="42"/>
      <c r="UFW4" s="42"/>
      <c r="UFX4" s="42"/>
      <c r="UFY4" s="42"/>
      <c r="UFZ4" s="42"/>
      <c r="UGA4" s="42"/>
      <c r="UGB4" s="42"/>
      <c r="UGC4" s="42"/>
      <c r="UGD4" s="42"/>
      <c r="UGE4" s="42"/>
      <c r="UGF4" s="42"/>
      <c r="UGG4" s="42"/>
      <c r="UGH4" s="42"/>
      <c r="UGI4" s="42"/>
      <c r="UGJ4" s="42"/>
      <c r="UGK4" s="42"/>
      <c r="UGL4" s="42"/>
      <c r="UGM4" s="42"/>
      <c r="UGN4" s="42"/>
      <c r="UGO4" s="42"/>
      <c r="UGP4" s="42"/>
      <c r="UGQ4" s="42"/>
      <c r="UGR4" s="42"/>
      <c r="UGS4" s="42"/>
      <c r="UGT4" s="42"/>
      <c r="UGU4" s="42"/>
      <c r="UGV4" s="42"/>
      <c r="UGW4" s="42"/>
      <c r="UGX4" s="42"/>
      <c r="UGY4" s="42"/>
      <c r="UGZ4" s="42"/>
      <c r="UHA4" s="42"/>
      <c r="UHB4" s="42"/>
      <c r="UHC4" s="42"/>
      <c r="UHD4" s="42"/>
      <c r="UHE4" s="42"/>
      <c r="UHF4" s="42"/>
      <c r="UHG4" s="42"/>
      <c r="UHH4" s="42"/>
      <c r="UHI4" s="42"/>
      <c r="UHJ4" s="42"/>
      <c r="UHK4" s="42"/>
      <c r="UHL4" s="42"/>
      <c r="UHM4" s="42"/>
      <c r="UHN4" s="42"/>
      <c r="UHO4" s="42"/>
      <c r="UHP4" s="42"/>
      <c r="UHQ4" s="42"/>
      <c r="UHR4" s="42"/>
      <c r="UHS4" s="42"/>
      <c r="UHT4" s="42"/>
      <c r="UHU4" s="42"/>
      <c r="UHV4" s="42"/>
      <c r="UHW4" s="42"/>
      <c r="UHX4" s="42"/>
      <c r="UHY4" s="42"/>
      <c r="UHZ4" s="42"/>
      <c r="UIA4" s="42"/>
      <c r="UIB4" s="42"/>
      <c r="UIC4" s="42"/>
      <c r="UID4" s="42"/>
      <c r="UIE4" s="42"/>
      <c r="UIF4" s="42"/>
      <c r="UIG4" s="42"/>
      <c r="UIH4" s="42"/>
      <c r="UII4" s="42"/>
      <c r="UIJ4" s="42"/>
      <c r="UIK4" s="42"/>
      <c r="UIL4" s="42"/>
      <c r="UIM4" s="42"/>
      <c r="UIN4" s="42"/>
      <c r="UIO4" s="42"/>
      <c r="UIP4" s="42"/>
      <c r="UIQ4" s="42"/>
      <c r="UIR4" s="42"/>
      <c r="UIS4" s="42"/>
      <c r="UIT4" s="42"/>
      <c r="UIU4" s="42"/>
      <c r="UIV4" s="42"/>
      <c r="UIW4" s="42"/>
      <c r="UIX4" s="42"/>
      <c r="UIY4" s="42"/>
      <c r="UIZ4" s="42"/>
      <c r="UJA4" s="42"/>
      <c r="UJB4" s="42"/>
      <c r="UJC4" s="42"/>
      <c r="UJD4" s="42"/>
      <c r="UJE4" s="42"/>
      <c r="UJF4" s="42"/>
      <c r="UJG4" s="42"/>
      <c r="UJH4" s="42"/>
      <c r="UJI4" s="42"/>
      <c r="UJJ4" s="42"/>
      <c r="UJK4" s="42"/>
      <c r="UJL4" s="42"/>
      <c r="UJM4" s="42"/>
      <c r="UJN4" s="42"/>
      <c r="UJO4" s="42"/>
      <c r="UJP4" s="42"/>
      <c r="UJQ4" s="42"/>
      <c r="UJR4" s="42"/>
      <c r="UJS4" s="42"/>
      <c r="UJT4" s="42"/>
      <c r="UJU4" s="42"/>
      <c r="UJV4" s="42"/>
      <c r="UJW4" s="42"/>
      <c r="UJX4" s="42"/>
      <c r="UJY4" s="42"/>
      <c r="UJZ4" s="42"/>
      <c r="UKA4" s="42"/>
      <c r="UKB4" s="42"/>
      <c r="UKC4" s="42"/>
      <c r="UKD4" s="42"/>
      <c r="UKE4" s="42"/>
      <c r="UKF4" s="42"/>
      <c r="UKG4" s="42"/>
      <c r="UKH4" s="42"/>
      <c r="UKI4" s="42"/>
      <c r="UKJ4" s="42"/>
      <c r="UKK4" s="42"/>
      <c r="UKL4" s="42"/>
      <c r="UKM4" s="42"/>
      <c r="UKN4" s="42"/>
      <c r="UKO4" s="42"/>
      <c r="UKP4" s="42"/>
      <c r="UKQ4" s="42"/>
      <c r="UKR4" s="42"/>
      <c r="UKS4" s="42"/>
      <c r="UKT4" s="42"/>
      <c r="UKU4" s="42"/>
      <c r="UKV4" s="42"/>
      <c r="UKW4" s="42"/>
      <c r="UKX4" s="42"/>
      <c r="UKY4" s="42"/>
      <c r="UKZ4" s="42"/>
      <c r="ULA4" s="42"/>
      <c r="ULB4" s="42"/>
      <c r="ULC4" s="42"/>
      <c r="ULD4" s="42"/>
      <c r="ULE4" s="42"/>
      <c r="ULF4" s="42"/>
      <c r="ULG4" s="42"/>
      <c r="ULH4" s="42"/>
      <c r="ULI4" s="42"/>
      <c r="ULJ4" s="42"/>
      <c r="ULK4" s="42"/>
      <c r="ULL4" s="42"/>
      <c r="ULM4" s="42"/>
      <c r="ULN4" s="42"/>
      <c r="ULO4" s="42"/>
      <c r="ULP4" s="42"/>
      <c r="ULQ4" s="42"/>
      <c r="ULR4" s="42"/>
      <c r="ULS4" s="42"/>
      <c r="ULT4" s="42"/>
      <c r="ULU4" s="42"/>
      <c r="ULV4" s="42"/>
      <c r="ULW4" s="42"/>
      <c r="ULX4" s="42"/>
      <c r="ULY4" s="42"/>
      <c r="ULZ4" s="42"/>
      <c r="UMA4" s="42"/>
      <c r="UMB4" s="42"/>
      <c r="UMC4" s="42"/>
      <c r="UMD4" s="42"/>
      <c r="UME4" s="42"/>
      <c r="UMF4" s="42"/>
      <c r="UMG4" s="42"/>
      <c r="UMH4" s="42"/>
      <c r="UMI4" s="42"/>
      <c r="UMJ4" s="42"/>
      <c r="UMK4" s="42"/>
      <c r="UML4" s="42"/>
      <c r="UMM4" s="42"/>
      <c r="UMN4" s="42"/>
      <c r="UMO4" s="42"/>
      <c r="UMP4" s="42"/>
      <c r="UMQ4" s="42"/>
      <c r="UMR4" s="42"/>
      <c r="UMS4" s="42"/>
      <c r="UMT4" s="42"/>
      <c r="UMU4" s="42"/>
      <c r="UMV4" s="42"/>
      <c r="UMW4" s="42"/>
      <c r="UMX4" s="42"/>
      <c r="UMY4" s="42"/>
      <c r="UMZ4" s="42"/>
      <c r="UNA4" s="42"/>
      <c r="UNB4" s="42"/>
      <c r="UNC4" s="42"/>
      <c r="UND4" s="42"/>
      <c r="UNE4" s="42"/>
      <c r="UNF4" s="42"/>
      <c r="UNG4" s="42"/>
      <c r="UNH4" s="42"/>
      <c r="UNI4" s="42"/>
      <c r="UNJ4" s="42"/>
      <c r="UNK4" s="42"/>
      <c r="UNL4" s="42"/>
      <c r="UNM4" s="42"/>
      <c r="UNN4" s="42"/>
      <c r="UNO4" s="42"/>
      <c r="UNP4" s="42"/>
      <c r="UNQ4" s="42"/>
      <c r="UNR4" s="42"/>
      <c r="UNS4" s="42"/>
      <c r="UNT4" s="42"/>
      <c r="UNU4" s="42"/>
      <c r="UNV4" s="42"/>
      <c r="UNW4" s="42"/>
      <c r="UNX4" s="42"/>
      <c r="UNY4" s="42"/>
      <c r="UNZ4" s="42"/>
      <c r="UOA4" s="42"/>
      <c r="UOB4" s="42"/>
      <c r="UOC4" s="42"/>
      <c r="UOD4" s="42"/>
      <c r="UOE4" s="42"/>
      <c r="UOF4" s="42"/>
      <c r="UOG4" s="42"/>
      <c r="UOH4" s="42"/>
      <c r="UOI4" s="42"/>
      <c r="UOJ4" s="42"/>
      <c r="UOK4" s="42"/>
      <c r="UOL4" s="42"/>
      <c r="UOM4" s="42"/>
      <c r="UON4" s="42"/>
      <c r="UOO4" s="42"/>
      <c r="UOP4" s="42"/>
      <c r="UOQ4" s="42"/>
      <c r="UOR4" s="42"/>
      <c r="UOS4" s="42"/>
      <c r="UOT4" s="42"/>
      <c r="UOU4" s="42"/>
      <c r="UOV4" s="42"/>
      <c r="UOW4" s="42"/>
      <c r="UOX4" s="42"/>
      <c r="UOY4" s="42"/>
      <c r="UOZ4" s="42"/>
      <c r="UPA4" s="42"/>
      <c r="UPB4" s="42"/>
      <c r="UPC4" s="42"/>
      <c r="UPD4" s="42"/>
      <c r="UPE4" s="42"/>
      <c r="UPF4" s="42"/>
      <c r="UPG4" s="42"/>
      <c r="UPH4" s="42"/>
      <c r="UPI4" s="42"/>
      <c r="UPJ4" s="42"/>
      <c r="UPK4" s="42"/>
      <c r="UPL4" s="42"/>
      <c r="UPM4" s="42"/>
      <c r="UPN4" s="42"/>
      <c r="UPO4" s="42"/>
      <c r="UPP4" s="42"/>
      <c r="UPQ4" s="42"/>
      <c r="UPR4" s="42"/>
      <c r="UPS4" s="42"/>
      <c r="UPT4" s="42"/>
      <c r="UPU4" s="42"/>
      <c r="UPV4" s="42"/>
      <c r="UPW4" s="42"/>
      <c r="UPX4" s="42"/>
      <c r="UPY4" s="42"/>
      <c r="UPZ4" s="42"/>
      <c r="UQA4" s="42"/>
      <c r="UQB4" s="42"/>
      <c r="UQC4" s="42"/>
      <c r="UQD4" s="42"/>
      <c r="UQE4" s="42"/>
      <c r="UQF4" s="42"/>
      <c r="UQG4" s="42"/>
      <c r="UQH4" s="42"/>
      <c r="UQI4" s="42"/>
      <c r="UQJ4" s="42"/>
      <c r="UQK4" s="42"/>
      <c r="UQL4" s="42"/>
      <c r="UQM4" s="42"/>
      <c r="UQN4" s="42"/>
      <c r="UQO4" s="42"/>
      <c r="UQP4" s="42"/>
      <c r="UQQ4" s="42"/>
      <c r="UQR4" s="42"/>
      <c r="UQS4" s="42"/>
      <c r="UQT4" s="42"/>
      <c r="UQU4" s="42"/>
      <c r="UQV4" s="42"/>
      <c r="UQW4" s="42"/>
      <c r="UQX4" s="42"/>
      <c r="UQY4" s="42"/>
      <c r="UQZ4" s="42"/>
      <c r="URA4" s="42"/>
      <c r="URB4" s="42"/>
      <c r="URC4" s="42"/>
      <c r="URD4" s="42"/>
      <c r="URE4" s="42"/>
      <c r="URF4" s="42"/>
      <c r="URG4" s="42"/>
      <c r="URH4" s="42"/>
      <c r="URI4" s="42"/>
      <c r="URJ4" s="42"/>
      <c r="URK4" s="42"/>
      <c r="URL4" s="42"/>
      <c r="URM4" s="42"/>
      <c r="URN4" s="42"/>
      <c r="URO4" s="42"/>
      <c r="URP4" s="42"/>
      <c r="URQ4" s="42"/>
      <c r="URR4" s="42"/>
      <c r="URS4" s="42"/>
      <c r="URT4" s="42"/>
      <c r="URU4" s="42"/>
      <c r="URV4" s="42"/>
      <c r="URW4" s="42"/>
      <c r="URX4" s="42"/>
      <c r="URY4" s="42"/>
      <c r="URZ4" s="42"/>
      <c r="USA4" s="42"/>
      <c r="USB4" s="42"/>
      <c r="USC4" s="42"/>
      <c r="USD4" s="42"/>
      <c r="USE4" s="42"/>
      <c r="USF4" s="42"/>
      <c r="USG4" s="42"/>
      <c r="USH4" s="42"/>
      <c r="USI4" s="42"/>
      <c r="USJ4" s="42"/>
      <c r="USK4" s="42"/>
      <c r="USL4" s="42"/>
      <c r="USM4" s="42"/>
      <c r="USN4" s="42"/>
      <c r="USO4" s="42"/>
      <c r="USP4" s="42"/>
      <c r="USQ4" s="42"/>
      <c r="USR4" s="42"/>
      <c r="USS4" s="42"/>
      <c r="UST4" s="42"/>
      <c r="USU4" s="42"/>
      <c r="USV4" s="42"/>
      <c r="USW4" s="42"/>
      <c r="USX4" s="42"/>
      <c r="USY4" s="42"/>
      <c r="USZ4" s="42"/>
      <c r="UTA4" s="42"/>
      <c r="UTB4" s="42"/>
      <c r="UTC4" s="42"/>
      <c r="UTD4" s="42"/>
      <c r="UTE4" s="42"/>
      <c r="UTF4" s="42"/>
      <c r="UTG4" s="42"/>
      <c r="UTH4" s="42"/>
      <c r="UTI4" s="42"/>
      <c r="UTJ4" s="42"/>
      <c r="UTK4" s="42"/>
      <c r="UTL4" s="42"/>
      <c r="UTM4" s="42"/>
      <c r="UTN4" s="42"/>
      <c r="UTO4" s="42"/>
      <c r="UTP4" s="42"/>
      <c r="UTQ4" s="42"/>
      <c r="UTR4" s="42"/>
      <c r="UTS4" s="42"/>
      <c r="UTT4" s="42"/>
      <c r="UTU4" s="42"/>
      <c r="UTV4" s="42"/>
      <c r="UTW4" s="42"/>
      <c r="UTX4" s="42"/>
      <c r="UTY4" s="42"/>
      <c r="UTZ4" s="42"/>
      <c r="UUA4" s="42"/>
      <c r="UUB4" s="42"/>
      <c r="UUC4" s="42"/>
      <c r="UUD4" s="42"/>
      <c r="UUE4" s="42"/>
      <c r="UUF4" s="42"/>
      <c r="UUG4" s="42"/>
      <c r="UUH4" s="42"/>
      <c r="UUI4" s="42"/>
      <c r="UUJ4" s="42"/>
      <c r="UUK4" s="42"/>
      <c r="UUL4" s="42"/>
      <c r="UUM4" s="42"/>
      <c r="UUN4" s="42"/>
      <c r="UUO4" s="42"/>
      <c r="UUP4" s="42"/>
      <c r="UUQ4" s="42"/>
      <c r="UUR4" s="42"/>
      <c r="UUS4" s="42"/>
      <c r="UUT4" s="42"/>
      <c r="UUU4" s="42"/>
      <c r="UUV4" s="42"/>
      <c r="UUW4" s="42"/>
      <c r="UUX4" s="42"/>
      <c r="UUY4" s="42"/>
      <c r="UUZ4" s="42"/>
      <c r="UVA4" s="42"/>
      <c r="UVB4" s="42"/>
      <c r="UVC4" s="42"/>
      <c r="UVD4" s="42"/>
      <c r="UVE4" s="42"/>
      <c r="UVF4" s="42"/>
      <c r="UVG4" s="42"/>
      <c r="UVH4" s="42"/>
      <c r="UVI4" s="42"/>
      <c r="UVJ4" s="42"/>
      <c r="UVK4" s="42"/>
      <c r="UVL4" s="42"/>
      <c r="UVM4" s="42"/>
      <c r="UVN4" s="42"/>
      <c r="UVO4" s="42"/>
      <c r="UVP4" s="42"/>
      <c r="UVQ4" s="42"/>
      <c r="UVR4" s="42"/>
      <c r="UVS4" s="42"/>
      <c r="UVT4" s="42"/>
      <c r="UVU4" s="42"/>
      <c r="UVV4" s="42"/>
      <c r="UVW4" s="42"/>
      <c r="UVX4" s="42"/>
      <c r="UVY4" s="42"/>
      <c r="UVZ4" s="42"/>
      <c r="UWA4" s="42"/>
      <c r="UWB4" s="42"/>
      <c r="UWC4" s="42"/>
      <c r="UWD4" s="42"/>
      <c r="UWE4" s="42"/>
      <c r="UWF4" s="42"/>
      <c r="UWG4" s="42"/>
      <c r="UWH4" s="42"/>
      <c r="UWI4" s="42"/>
      <c r="UWJ4" s="42"/>
      <c r="UWK4" s="42"/>
      <c r="UWL4" s="42"/>
      <c r="UWM4" s="42"/>
      <c r="UWN4" s="42"/>
      <c r="UWO4" s="42"/>
      <c r="UWP4" s="42"/>
      <c r="UWQ4" s="42"/>
      <c r="UWR4" s="42"/>
      <c r="UWS4" s="42"/>
      <c r="UWT4" s="42"/>
      <c r="UWU4" s="42"/>
      <c r="UWV4" s="42"/>
      <c r="UWW4" s="42"/>
      <c r="UWX4" s="42"/>
      <c r="UWY4" s="42"/>
      <c r="UWZ4" s="42"/>
      <c r="UXA4" s="42"/>
      <c r="UXB4" s="42"/>
      <c r="UXC4" s="42"/>
      <c r="UXD4" s="42"/>
      <c r="UXE4" s="42"/>
      <c r="UXF4" s="42"/>
      <c r="UXG4" s="42"/>
      <c r="UXH4" s="42"/>
      <c r="UXI4" s="42"/>
      <c r="UXJ4" s="42"/>
      <c r="UXK4" s="42"/>
      <c r="UXL4" s="42"/>
      <c r="UXM4" s="42"/>
      <c r="UXN4" s="42"/>
      <c r="UXO4" s="42"/>
      <c r="UXP4" s="42"/>
      <c r="UXQ4" s="42"/>
      <c r="UXR4" s="42"/>
      <c r="UXS4" s="42"/>
      <c r="UXT4" s="42"/>
      <c r="UXU4" s="42"/>
      <c r="UXV4" s="42"/>
      <c r="UXW4" s="42"/>
      <c r="UXX4" s="42"/>
      <c r="UXY4" s="42"/>
      <c r="UXZ4" s="42"/>
      <c r="UYA4" s="42"/>
      <c r="UYB4" s="42"/>
      <c r="UYC4" s="42"/>
      <c r="UYD4" s="42"/>
      <c r="UYE4" s="42"/>
      <c r="UYF4" s="42"/>
      <c r="UYG4" s="42"/>
      <c r="UYH4" s="42"/>
      <c r="UYI4" s="42"/>
      <c r="UYJ4" s="42"/>
      <c r="UYK4" s="42"/>
      <c r="UYL4" s="42"/>
      <c r="UYM4" s="42"/>
      <c r="UYN4" s="42"/>
      <c r="UYO4" s="42"/>
      <c r="UYP4" s="42"/>
      <c r="UYQ4" s="42"/>
      <c r="UYR4" s="42"/>
      <c r="UYS4" s="42"/>
      <c r="UYT4" s="42"/>
      <c r="UYU4" s="42"/>
      <c r="UYV4" s="42"/>
      <c r="UYW4" s="42"/>
      <c r="UYX4" s="42"/>
      <c r="UYY4" s="42"/>
      <c r="UYZ4" s="42"/>
      <c r="UZA4" s="42"/>
      <c r="UZB4" s="42"/>
      <c r="UZC4" s="42"/>
      <c r="UZD4" s="42"/>
      <c r="UZE4" s="42"/>
      <c r="UZF4" s="42"/>
      <c r="UZG4" s="42"/>
      <c r="UZH4" s="42"/>
      <c r="UZI4" s="42"/>
      <c r="UZJ4" s="42"/>
      <c r="UZK4" s="42"/>
      <c r="UZL4" s="42"/>
      <c r="UZM4" s="42"/>
      <c r="UZN4" s="42"/>
      <c r="UZO4" s="42"/>
      <c r="UZP4" s="42"/>
      <c r="UZQ4" s="42"/>
      <c r="UZR4" s="42"/>
      <c r="UZS4" s="42"/>
      <c r="UZT4" s="42"/>
      <c r="UZU4" s="42"/>
      <c r="UZV4" s="42"/>
      <c r="UZW4" s="42"/>
      <c r="UZX4" s="42"/>
      <c r="UZY4" s="42"/>
      <c r="UZZ4" s="42"/>
      <c r="VAA4" s="42"/>
      <c r="VAB4" s="42"/>
      <c r="VAC4" s="42"/>
      <c r="VAD4" s="42"/>
      <c r="VAE4" s="42"/>
      <c r="VAF4" s="42"/>
      <c r="VAG4" s="42"/>
      <c r="VAH4" s="42"/>
      <c r="VAI4" s="42"/>
      <c r="VAJ4" s="42"/>
      <c r="VAK4" s="42"/>
      <c r="VAL4" s="42"/>
      <c r="VAM4" s="42"/>
      <c r="VAN4" s="42"/>
      <c r="VAO4" s="42"/>
      <c r="VAP4" s="42"/>
      <c r="VAQ4" s="42"/>
      <c r="VAR4" s="42"/>
      <c r="VAS4" s="42"/>
      <c r="VAT4" s="42"/>
      <c r="VAU4" s="42"/>
      <c r="VAV4" s="42"/>
      <c r="VAW4" s="42"/>
      <c r="VAX4" s="42"/>
      <c r="VAY4" s="42"/>
      <c r="VAZ4" s="42"/>
      <c r="VBA4" s="42"/>
      <c r="VBB4" s="42"/>
      <c r="VBC4" s="42"/>
      <c r="VBD4" s="42"/>
      <c r="VBE4" s="42"/>
      <c r="VBF4" s="42"/>
      <c r="VBG4" s="42"/>
      <c r="VBH4" s="42"/>
      <c r="VBI4" s="42"/>
      <c r="VBJ4" s="42"/>
      <c r="VBK4" s="42"/>
      <c r="VBL4" s="42"/>
      <c r="VBM4" s="42"/>
      <c r="VBN4" s="42"/>
      <c r="VBO4" s="42"/>
      <c r="VBP4" s="42"/>
      <c r="VBQ4" s="42"/>
      <c r="VBR4" s="42"/>
      <c r="VBS4" s="42"/>
      <c r="VBT4" s="42"/>
      <c r="VBU4" s="42"/>
      <c r="VBV4" s="42"/>
      <c r="VBW4" s="42"/>
      <c r="VBX4" s="42"/>
      <c r="VBY4" s="42"/>
      <c r="VBZ4" s="42"/>
      <c r="VCA4" s="42"/>
      <c r="VCB4" s="42"/>
      <c r="VCC4" s="42"/>
      <c r="VCD4" s="42"/>
      <c r="VCE4" s="42"/>
      <c r="VCF4" s="42"/>
      <c r="VCG4" s="42"/>
      <c r="VCH4" s="42"/>
      <c r="VCI4" s="42"/>
      <c r="VCJ4" s="42"/>
      <c r="VCK4" s="42"/>
      <c r="VCL4" s="42"/>
      <c r="VCM4" s="42"/>
      <c r="VCN4" s="42"/>
      <c r="VCO4" s="42"/>
      <c r="VCP4" s="42"/>
      <c r="VCQ4" s="42"/>
      <c r="VCR4" s="42"/>
      <c r="VCS4" s="42"/>
      <c r="VCT4" s="42"/>
      <c r="VCU4" s="42"/>
      <c r="VCV4" s="42"/>
      <c r="VCW4" s="42"/>
      <c r="VCX4" s="42"/>
      <c r="VCY4" s="42"/>
      <c r="VCZ4" s="42"/>
      <c r="VDA4" s="42"/>
      <c r="VDB4" s="42"/>
      <c r="VDC4" s="42"/>
      <c r="VDD4" s="42"/>
      <c r="VDE4" s="42"/>
      <c r="VDF4" s="42"/>
      <c r="VDG4" s="42"/>
      <c r="VDH4" s="42"/>
      <c r="VDI4" s="42"/>
      <c r="VDJ4" s="42"/>
      <c r="VDK4" s="42"/>
      <c r="VDL4" s="42"/>
      <c r="VDM4" s="42"/>
      <c r="VDN4" s="42"/>
      <c r="VDO4" s="42"/>
      <c r="VDP4" s="42"/>
      <c r="VDQ4" s="42"/>
      <c r="VDR4" s="42"/>
      <c r="VDS4" s="42"/>
      <c r="VDT4" s="42"/>
      <c r="VDU4" s="42"/>
      <c r="VDV4" s="42"/>
      <c r="VDW4" s="42"/>
      <c r="VDX4" s="42"/>
      <c r="VDY4" s="42"/>
      <c r="VDZ4" s="42"/>
      <c r="VEA4" s="42"/>
      <c r="VEB4" s="42"/>
      <c r="VEC4" s="42"/>
      <c r="VED4" s="42"/>
      <c r="VEE4" s="42"/>
      <c r="VEF4" s="42"/>
      <c r="VEG4" s="42"/>
      <c r="VEH4" s="42"/>
      <c r="VEI4" s="42"/>
      <c r="VEJ4" s="42"/>
      <c r="VEK4" s="42"/>
      <c r="VEL4" s="42"/>
      <c r="VEM4" s="42"/>
      <c r="VEN4" s="42"/>
      <c r="VEO4" s="42"/>
      <c r="VEP4" s="42"/>
      <c r="VEQ4" s="42"/>
      <c r="VER4" s="42"/>
      <c r="VES4" s="42"/>
      <c r="VET4" s="42"/>
      <c r="VEU4" s="42"/>
      <c r="VEV4" s="42"/>
      <c r="VEW4" s="42"/>
      <c r="VEX4" s="42"/>
      <c r="VEY4" s="42"/>
      <c r="VEZ4" s="42"/>
      <c r="VFA4" s="42"/>
      <c r="VFB4" s="42"/>
      <c r="VFC4" s="42"/>
      <c r="VFD4" s="42"/>
      <c r="VFE4" s="42"/>
      <c r="VFF4" s="42"/>
      <c r="VFG4" s="42"/>
      <c r="VFH4" s="42"/>
      <c r="VFI4" s="42"/>
      <c r="VFJ4" s="42"/>
      <c r="VFK4" s="42"/>
      <c r="VFL4" s="42"/>
      <c r="VFM4" s="42"/>
      <c r="VFN4" s="42"/>
      <c r="VFO4" s="42"/>
      <c r="VFP4" s="42"/>
      <c r="VFQ4" s="42"/>
      <c r="VFR4" s="42"/>
      <c r="VFS4" s="42"/>
      <c r="VFT4" s="42"/>
      <c r="VFU4" s="42"/>
      <c r="VFV4" s="42"/>
      <c r="VFW4" s="42"/>
      <c r="VFX4" s="42"/>
      <c r="VFY4" s="42"/>
      <c r="VFZ4" s="42"/>
      <c r="VGA4" s="42"/>
      <c r="VGB4" s="42"/>
      <c r="VGC4" s="42"/>
      <c r="VGD4" s="42"/>
      <c r="VGE4" s="42"/>
      <c r="VGF4" s="42"/>
      <c r="VGG4" s="42"/>
      <c r="VGH4" s="42"/>
      <c r="VGI4" s="42"/>
      <c r="VGJ4" s="42"/>
      <c r="VGK4" s="42"/>
      <c r="VGL4" s="42"/>
      <c r="VGM4" s="42"/>
      <c r="VGN4" s="42"/>
      <c r="VGO4" s="42"/>
      <c r="VGP4" s="42"/>
      <c r="VGQ4" s="42"/>
      <c r="VGR4" s="42"/>
      <c r="VGS4" s="42"/>
      <c r="VGT4" s="42"/>
      <c r="VGU4" s="42"/>
      <c r="VGV4" s="42"/>
      <c r="VGW4" s="42"/>
      <c r="VGX4" s="42"/>
      <c r="VGY4" s="42"/>
      <c r="VGZ4" s="42"/>
      <c r="VHA4" s="42"/>
      <c r="VHB4" s="42"/>
      <c r="VHC4" s="42"/>
      <c r="VHD4" s="42"/>
      <c r="VHE4" s="42"/>
      <c r="VHF4" s="42"/>
      <c r="VHG4" s="42"/>
      <c r="VHH4" s="42"/>
      <c r="VHI4" s="42"/>
      <c r="VHJ4" s="42"/>
      <c r="VHK4" s="42"/>
      <c r="VHL4" s="42"/>
      <c r="VHM4" s="42"/>
      <c r="VHN4" s="42"/>
      <c r="VHO4" s="42"/>
      <c r="VHP4" s="42"/>
      <c r="VHQ4" s="42"/>
      <c r="VHR4" s="42"/>
      <c r="VHS4" s="42"/>
      <c r="VHT4" s="42"/>
      <c r="VHU4" s="42"/>
      <c r="VHV4" s="42"/>
      <c r="VHW4" s="42"/>
      <c r="VHX4" s="42"/>
      <c r="VHY4" s="42"/>
      <c r="VHZ4" s="42"/>
      <c r="VIA4" s="42"/>
      <c r="VIB4" s="42"/>
      <c r="VIC4" s="42"/>
      <c r="VID4" s="42"/>
      <c r="VIE4" s="42"/>
      <c r="VIF4" s="42"/>
      <c r="VIG4" s="42"/>
      <c r="VIH4" s="42"/>
      <c r="VII4" s="42"/>
      <c r="VIJ4" s="42"/>
      <c r="VIK4" s="42"/>
      <c r="VIL4" s="42"/>
      <c r="VIM4" s="42"/>
      <c r="VIN4" s="42"/>
      <c r="VIO4" s="42"/>
      <c r="VIP4" s="42"/>
      <c r="VIQ4" s="42"/>
      <c r="VIR4" s="42"/>
      <c r="VIS4" s="42"/>
      <c r="VIT4" s="42"/>
      <c r="VIU4" s="42"/>
      <c r="VIV4" s="42"/>
      <c r="VIW4" s="42"/>
      <c r="VIX4" s="42"/>
      <c r="VIY4" s="42"/>
      <c r="VIZ4" s="42"/>
      <c r="VJA4" s="42"/>
      <c r="VJB4" s="42"/>
      <c r="VJC4" s="42"/>
      <c r="VJD4" s="42"/>
      <c r="VJE4" s="42"/>
      <c r="VJF4" s="42"/>
      <c r="VJG4" s="42"/>
      <c r="VJH4" s="42"/>
      <c r="VJI4" s="42"/>
      <c r="VJJ4" s="42"/>
      <c r="VJK4" s="42"/>
      <c r="VJL4" s="42"/>
      <c r="VJM4" s="42"/>
      <c r="VJN4" s="42"/>
      <c r="VJO4" s="42"/>
      <c r="VJP4" s="42"/>
      <c r="VJQ4" s="42"/>
      <c r="VJR4" s="42"/>
      <c r="VJS4" s="42"/>
      <c r="VJT4" s="42"/>
      <c r="VJU4" s="42"/>
      <c r="VJV4" s="42"/>
      <c r="VJW4" s="42"/>
      <c r="VJX4" s="42"/>
      <c r="VJY4" s="42"/>
      <c r="VJZ4" s="42"/>
      <c r="VKA4" s="42"/>
      <c r="VKB4" s="42"/>
      <c r="VKC4" s="42"/>
      <c r="VKD4" s="42"/>
      <c r="VKE4" s="42"/>
      <c r="VKF4" s="42"/>
      <c r="VKG4" s="42"/>
      <c r="VKH4" s="42"/>
      <c r="VKI4" s="42"/>
      <c r="VKJ4" s="42"/>
      <c r="VKK4" s="42"/>
      <c r="VKL4" s="42"/>
      <c r="VKM4" s="42"/>
      <c r="VKN4" s="42"/>
      <c r="VKO4" s="42"/>
      <c r="VKP4" s="42"/>
      <c r="VKQ4" s="42"/>
      <c r="VKR4" s="42"/>
      <c r="VKS4" s="42"/>
      <c r="VKT4" s="42"/>
      <c r="VKU4" s="42"/>
      <c r="VKV4" s="42"/>
      <c r="VKW4" s="42"/>
      <c r="VKX4" s="42"/>
      <c r="VKY4" s="42"/>
      <c r="VKZ4" s="42"/>
      <c r="VLA4" s="42"/>
      <c r="VLB4" s="42"/>
      <c r="VLC4" s="42"/>
      <c r="VLD4" s="42"/>
      <c r="VLE4" s="42"/>
      <c r="VLF4" s="42"/>
      <c r="VLG4" s="42"/>
      <c r="VLH4" s="42"/>
      <c r="VLI4" s="42"/>
      <c r="VLJ4" s="42"/>
      <c r="VLK4" s="42"/>
      <c r="VLL4" s="42"/>
      <c r="VLM4" s="42"/>
      <c r="VLN4" s="42"/>
      <c r="VLO4" s="42"/>
      <c r="VLP4" s="42"/>
      <c r="VLQ4" s="42"/>
      <c r="VLR4" s="42"/>
      <c r="VLS4" s="42"/>
      <c r="VLT4" s="42"/>
      <c r="VLU4" s="42"/>
      <c r="VLV4" s="42"/>
      <c r="VLW4" s="42"/>
      <c r="VLX4" s="42"/>
      <c r="VLY4" s="42"/>
      <c r="VLZ4" s="42"/>
      <c r="VMA4" s="42"/>
      <c r="VMB4" s="42"/>
      <c r="VMC4" s="42"/>
      <c r="VMD4" s="42"/>
      <c r="VME4" s="42"/>
      <c r="VMF4" s="42"/>
      <c r="VMG4" s="42"/>
      <c r="VMH4" s="42"/>
      <c r="VMI4" s="42"/>
      <c r="VMJ4" s="42"/>
      <c r="VMK4" s="42"/>
      <c r="VML4" s="42"/>
      <c r="VMM4" s="42"/>
      <c r="VMN4" s="42"/>
      <c r="VMO4" s="42"/>
      <c r="VMP4" s="42"/>
      <c r="VMQ4" s="42"/>
      <c r="VMR4" s="42"/>
      <c r="VMS4" s="42"/>
      <c r="VMT4" s="42"/>
      <c r="VMU4" s="42"/>
      <c r="VMV4" s="42"/>
      <c r="VMW4" s="42"/>
      <c r="VMX4" s="42"/>
      <c r="VMY4" s="42"/>
      <c r="VMZ4" s="42"/>
      <c r="VNA4" s="42"/>
      <c r="VNB4" s="42"/>
      <c r="VNC4" s="42"/>
      <c r="VND4" s="42"/>
      <c r="VNE4" s="42"/>
      <c r="VNF4" s="42"/>
      <c r="VNG4" s="42"/>
      <c r="VNH4" s="42"/>
      <c r="VNI4" s="42"/>
      <c r="VNJ4" s="42"/>
      <c r="VNK4" s="42"/>
      <c r="VNL4" s="42"/>
      <c r="VNM4" s="42"/>
      <c r="VNN4" s="42"/>
      <c r="VNO4" s="42"/>
      <c r="VNP4" s="42"/>
      <c r="VNQ4" s="42"/>
      <c r="VNR4" s="42"/>
      <c r="VNS4" s="42"/>
      <c r="VNT4" s="42"/>
      <c r="VNU4" s="42"/>
      <c r="VNV4" s="42"/>
      <c r="VNW4" s="42"/>
      <c r="VNX4" s="42"/>
      <c r="VNY4" s="42"/>
      <c r="VNZ4" s="42"/>
      <c r="VOA4" s="42"/>
      <c r="VOB4" s="42"/>
      <c r="VOC4" s="42"/>
      <c r="VOD4" s="42"/>
      <c r="VOE4" s="42"/>
      <c r="VOF4" s="42"/>
      <c r="VOG4" s="42"/>
      <c r="VOH4" s="42"/>
      <c r="VOI4" s="42"/>
      <c r="VOJ4" s="42"/>
      <c r="VOK4" s="42"/>
      <c r="VOL4" s="42"/>
      <c r="VOM4" s="42"/>
      <c r="VON4" s="42"/>
      <c r="VOO4" s="42"/>
      <c r="VOP4" s="42"/>
      <c r="VOQ4" s="42"/>
      <c r="VOR4" s="42"/>
      <c r="VOS4" s="42"/>
      <c r="VOT4" s="42"/>
      <c r="VOU4" s="42"/>
      <c r="VOV4" s="42"/>
      <c r="VOW4" s="42"/>
      <c r="VOX4" s="42"/>
      <c r="VOY4" s="42"/>
      <c r="VOZ4" s="42"/>
      <c r="VPA4" s="42"/>
      <c r="VPB4" s="42"/>
      <c r="VPC4" s="42"/>
      <c r="VPD4" s="42"/>
      <c r="VPE4" s="42"/>
      <c r="VPF4" s="42"/>
      <c r="VPG4" s="42"/>
      <c r="VPH4" s="42"/>
      <c r="VPI4" s="42"/>
      <c r="VPJ4" s="42"/>
      <c r="VPK4" s="42"/>
      <c r="VPL4" s="42"/>
      <c r="VPM4" s="42"/>
      <c r="VPN4" s="42"/>
      <c r="VPO4" s="42"/>
      <c r="VPP4" s="42"/>
      <c r="VPQ4" s="42"/>
      <c r="VPR4" s="42"/>
      <c r="VPS4" s="42"/>
      <c r="VPT4" s="42"/>
      <c r="VPU4" s="42"/>
      <c r="VPV4" s="42"/>
      <c r="VPW4" s="42"/>
      <c r="VPX4" s="42"/>
      <c r="VPY4" s="42"/>
      <c r="VPZ4" s="42"/>
      <c r="VQA4" s="42"/>
      <c r="VQB4" s="42"/>
      <c r="VQC4" s="42"/>
      <c r="VQD4" s="42"/>
      <c r="VQE4" s="42"/>
      <c r="VQF4" s="42"/>
      <c r="VQG4" s="42"/>
      <c r="VQH4" s="42"/>
      <c r="VQI4" s="42"/>
      <c r="VQJ4" s="42"/>
      <c r="VQK4" s="42"/>
      <c r="VQL4" s="42"/>
      <c r="VQM4" s="42"/>
      <c r="VQN4" s="42"/>
      <c r="VQO4" s="42"/>
      <c r="VQP4" s="42"/>
      <c r="VQQ4" s="42"/>
      <c r="VQR4" s="42"/>
      <c r="VQS4" s="42"/>
      <c r="VQT4" s="42"/>
      <c r="VQU4" s="42"/>
      <c r="VQV4" s="42"/>
      <c r="VQW4" s="42"/>
      <c r="VQX4" s="42"/>
      <c r="VQY4" s="42"/>
      <c r="VQZ4" s="42"/>
      <c r="VRA4" s="42"/>
      <c r="VRB4" s="42"/>
      <c r="VRC4" s="42"/>
      <c r="VRD4" s="42"/>
      <c r="VRE4" s="42"/>
      <c r="VRF4" s="42"/>
      <c r="VRG4" s="42"/>
      <c r="VRH4" s="42"/>
      <c r="VRI4" s="42"/>
      <c r="VRJ4" s="42"/>
      <c r="VRK4" s="42"/>
      <c r="VRL4" s="42"/>
      <c r="VRM4" s="42"/>
      <c r="VRN4" s="42"/>
      <c r="VRO4" s="42"/>
      <c r="VRP4" s="42"/>
      <c r="VRQ4" s="42"/>
      <c r="VRR4" s="42"/>
      <c r="VRS4" s="42"/>
      <c r="VRT4" s="42"/>
      <c r="VRU4" s="42"/>
      <c r="VRV4" s="42"/>
      <c r="VRW4" s="42"/>
      <c r="VRX4" s="42"/>
      <c r="VRY4" s="42"/>
      <c r="VRZ4" s="42"/>
      <c r="VSA4" s="42"/>
      <c r="VSB4" s="42"/>
      <c r="VSC4" s="42"/>
      <c r="VSD4" s="42"/>
      <c r="VSE4" s="42"/>
      <c r="VSF4" s="42"/>
      <c r="VSG4" s="42"/>
      <c r="VSH4" s="42"/>
      <c r="VSI4" s="42"/>
      <c r="VSJ4" s="42"/>
      <c r="VSK4" s="42"/>
      <c r="VSL4" s="42"/>
      <c r="VSM4" s="42"/>
      <c r="VSN4" s="42"/>
      <c r="VSO4" s="42"/>
      <c r="VSP4" s="42"/>
      <c r="VSQ4" s="42"/>
      <c r="VSR4" s="42"/>
      <c r="VSS4" s="42"/>
      <c r="VST4" s="42"/>
      <c r="VSU4" s="42"/>
      <c r="VSV4" s="42"/>
      <c r="VSW4" s="42"/>
      <c r="VSX4" s="42"/>
      <c r="VSY4" s="42"/>
      <c r="VSZ4" s="42"/>
      <c r="VTA4" s="42"/>
      <c r="VTB4" s="42"/>
      <c r="VTC4" s="42"/>
      <c r="VTD4" s="42"/>
      <c r="VTE4" s="42"/>
      <c r="VTF4" s="42"/>
      <c r="VTG4" s="42"/>
      <c r="VTH4" s="42"/>
      <c r="VTI4" s="42"/>
      <c r="VTJ4" s="42"/>
      <c r="VTK4" s="42"/>
      <c r="VTL4" s="42"/>
      <c r="VTM4" s="42"/>
      <c r="VTN4" s="42"/>
      <c r="VTO4" s="42"/>
      <c r="VTP4" s="42"/>
      <c r="VTQ4" s="42"/>
      <c r="VTR4" s="42"/>
      <c r="VTS4" s="42"/>
      <c r="VTT4" s="42"/>
      <c r="VTU4" s="42"/>
      <c r="VTV4" s="42"/>
      <c r="VTW4" s="42"/>
      <c r="VTX4" s="42"/>
      <c r="VTY4" s="42"/>
      <c r="VTZ4" s="42"/>
      <c r="VUA4" s="42"/>
      <c r="VUB4" s="42"/>
      <c r="VUC4" s="42"/>
      <c r="VUD4" s="42"/>
      <c r="VUE4" s="42"/>
      <c r="VUF4" s="42"/>
      <c r="VUG4" s="42"/>
      <c r="VUH4" s="42"/>
      <c r="VUI4" s="42"/>
      <c r="VUJ4" s="42"/>
      <c r="VUK4" s="42"/>
      <c r="VUL4" s="42"/>
      <c r="VUM4" s="42"/>
      <c r="VUN4" s="42"/>
      <c r="VUO4" s="42"/>
      <c r="VUP4" s="42"/>
      <c r="VUQ4" s="42"/>
      <c r="VUR4" s="42"/>
      <c r="VUS4" s="42"/>
      <c r="VUT4" s="42"/>
      <c r="VUU4" s="42"/>
      <c r="VUV4" s="42"/>
      <c r="VUW4" s="42"/>
      <c r="VUX4" s="42"/>
      <c r="VUY4" s="42"/>
      <c r="VUZ4" s="42"/>
      <c r="VVA4" s="42"/>
      <c r="VVB4" s="42"/>
      <c r="VVC4" s="42"/>
      <c r="VVD4" s="42"/>
      <c r="VVE4" s="42"/>
      <c r="VVF4" s="42"/>
      <c r="VVG4" s="42"/>
      <c r="VVH4" s="42"/>
      <c r="VVI4" s="42"/>
      <c r="VVJ4" s="42"/>
      <c r="VVK4" s="42"/>
      <c r="VVL4" s="42"/>
      <c r="VVM4" s="42"/>
      <c r="VVN4" s="42"/>
      <c r="VVO4" s="42"/>
      <c r="VVP4" s="42"/>
      <c r="VVQ4" s="42"/>
      <c r="VVR4" s="42"/>
      <c r="VVS4" s="42"/>
      <c r="VVT4" s="42"/>
      <c r="VVU4" s="42"/>
      <c r="VVV4" s="42"/>
      <c r="VVW4" s="42"/>
      <c r="VVX4" s="42"/>
      <c r="VVY4" s="42"/>
      <c r="VVZ4" s="42"/>
      <c r="VWA4" s="42"/>
      <c r="VWB4" s="42"/>
      <c r="VWC4" s="42"/>
      <c r="VWD4" s="42"/>
      <c r="VWE4" s="42"/>
      <c r="VWF4" s="42"/>
      <c r="VWG4" s="42"/>
      <c r="VWH4" s="42"/>
      <c r="VWI4" s="42"/>
      <c r="VWJ4" s="42"/>
      <c r="VWK4" s="42"/>
      <c r="VWL4" s="42"/>
      <c r="VWM4" s="42"/>
      <c r="VWN4" s="42"/>
      <c r="VWO4" s="42"/>
      <c r="VWP4" s="42"/>
      <c r="VWQ4" s="42"/>
      <c r="VWR4" s="42"/>
      <c r="VWS4" s="42"/>
      <c r="VWT4" s="42"/>
      <c r="VWU4" s="42"/>
      <c r="VWV4" s="42"/>
      <c r="VWW4" s="42"/>
      <c r="VWX4" s="42"/>
      <c r="VWY4" s="42"/>
      <c r="VWZ4" s="42"/>
      <c r="VXA4" s="42"/>
      <c r="VXB4" s="42"/>
      <c r="VXC4" s="42"/>
      <c r="VXD4" s="42"/>
      <c r="VXE4" s="42"/>
      <c r="VXF4" s="42"/>
      <c r="VXG4" s="42"/>
      <c r="VXH4" s="42"/>
      <c r="VXI4" s="42"/>
      <c r="VXJ4" s="42"/>
      <c r="VXK4" s="42"/>
      <c r="VXL4" s="42"/>
      <c r="VXM4" s="42"/>
      <c r="VXN4" s="42"/>
      <c r="VXO4" s="42"/>
      <c r="VXP4" s="42"/>
      <c r="VXQ4" s="42"/>
      <c r="VXR4" s="42"/>
      <c r="VXS4" s="42"/>
      <c r="VXT4" s="42"/>
      <c r="VXU4" s="42"/>
      <c r="VXV4" s="42"/>
      <c r="VXW4" s="42"/>
      <c r="VXX4" s="42"/>
      <c r="VXY4" s="42"/>
      <c r="VXZ4" s="42"/>
      <c r="VYA4" s="42"/>
      <c r="VYB4" s="42"/>
      <c r="VYC4" s="42"/>
      <c r="VYD4" s="42"/>
      <c r="VYE4" s="42"/>
      <c r="VYF4" s="42"/>
      <c r="VYG4" s="42"/>
      <c r="VYH4" s="42"/>
      <c r="VYI4" s="42"/>
      <c r="VYJ4" s="42"/>
      <c r="VYK4" s="42"/>
      <c r="VYL4" s="42"/>
      <c r="VYM4" s="42"/>
      <c r="VYN4" s="42"/>
      <c r="VYO4" s="42"/>
      <c r="VYP4" s="42"/>
      <c r="VYQ4" s="42"/>
      <c r="VYR4" s="42"/>
      <c r="VYS4" s="42"/>
      <c r="VYT4" s="42"/>
      <c r="VYU4" s="42"/>
      <c r="VYV4" s="42"/>
      <c r="VYW4" s="42"/>
      <c r="VYX4" s="42"/>
      <c r="VYY4" s="42"/>
      <c r="VYZ4" s="42"/>
      <c r="VZA4" s="42"/>
      <c r="VZB4" s="42"/>
      <c r="VZC4" s="42"/>
      <c r="VZD4" s="42"/>
      <c r="VZE4" s="42"/>
      <c r="VZF4" s="42"/>
      <c r="VZG4" s="42"/>
      <c r="VZH4" s="42"/>
      <c r="VZI4" s="42"/>
      <c r="VZJ4" s="42"/>
      <c r="VZK4" s="42"/>
      <c r="VZL4" s="42"/>
      <c r="VZM4" s="42"/>
      <c r="VZN4" s="42"/>
      <c r="VZO4" s="42"/>
      <c r="VZP4" s="42"/>
      <c r="VZQ4" s="42"/>
      <c r="VZR4" s="42"/>
      <c r="VZS4" s="42"/>
      <c r="VZT4" s="42"/>
      <c r="VZU4" s="42"/>
      <c r="VZV4" s="42"/>
      <c r="VZW4" s="42"/>
      <c r="VZX4" s="42"/>
      <c r="VZY4" s="42"/>
      <c r="VZZ4" s="42"/>
      <c r="WAA4" s="42"/>
      <c r="WAB4" s="42"/>
      <c r="WAC4" s="42"/>
      <c r="WAD4" s="42"/>
      <c r="WAE4" s="42"/>
      <c r="WAF4" s="42"/>
      <c r="WAG4" s="42"/>
      <c r="WAH4" s="42"/>
      <c r="WAI4" s="42"/>
      <c r="WAJ4" s="42"/>
      <c r="WAK4" s="42"/>
      <c r="WAL4" s="42"/>
      <c r="WAM4" s="42"/>
      <c r="WAN4" s="42"/>
      <c r="WAO4" s="42"/>
      <c r="WAP4" s="42"/>
      <c r="WAQ4" s="42"/>
      <c r="WAR4" s="42"/>
      <c r="WAS4" s="42"/>
      <c r="WAT4" s="42"/>
      <c r="WAU4" s="42"/>
      <c r="WAV4" s="42"/>
      <c r="WAW4" s="42"/>
      <c r="WAX4" s="42"/>
      <c r="WAY4" s="42"/>
      <c r="WAZ4" s="42"/>
      <c r="WBA4" s="42"/>
      <c r="WBB4" s="42"/>
      <c r="WBC4" s="42"/>
      <c r="WBD4" s="42"/>
      <c r="WBE4" s="42"/>
      <c r="WBF4" s="42"/>
      <c r="WBG4" s="42"/>
      <c r="WBH4" s="42"/>
      <c r="WBI4" s="42"/>
      <c r="WBJ4" s="42"/>
      <c r="WBK4" s="42"/>
      <c r="WBL4" s="42"/>
      <c r="WBM4" s="42"/>
      <c r="WBN4" s="42"/>
      <c r="WBO4" s="42"/>
      <c r="WBP4" s="42"/>
      <c r="WBQ4" s="42"/>
      <c r="WBR4" s="42"/>
      <c r="WBS4" s="42"/>
      <c r="WBT4" s="42"/>
      <c r="WBU4" s="42"/>
      <c r="WBV4" s="42"/>
      <c r="WBW4" s="42"/>
      <c r="WBX4" s="42"/>
      <c r="WBY4" s="42"/>
      <c r="WBZ4" s="42"/>
      <c r="WCA4" s="42"/>
      <c r="WCB4" s="42"/>
      <c r="WCC4" s="42"/>
      <c r="WCD4" s="42"/>
      <c r="WCE4" s="42"/>
      <c r="WCF4" s="42"/>
      <c r="WCG4" s="42"/>
      <c r="WCH4" s="42"/>
      <c r="WCI4" s="42"/>
      <c r="WCJ4" s="42"/>
      <c r="WCK4" s="42"/>
      <c r="WCL4" s="42"/>
      <c r="WCM4" s="42"/>
      <c r="WCN4" s="42"/>
      <c r="WCO4" s="42"/>
      <c r="WCP4" s="42"/>
      <c r="WCQ4" s="42"/>
      <c r="WCR4" s="42"/>
      <c r="WCS4" s="42"/>
      <c r="WCT4" s="42"/>
      <c r="WCU4" s="42"/>
      <c r="WCV4" s="42"/>
      <c r="WCW4" s="42"/>
      <c r="WCX4" s="42"/>
      <c r="WCY4" s="42"/>
      <c r="WCZ4" s="42"/>
      <c r="WDA4" s="42"/>
      <c r="WDB4" s="42"/>
      <c r="WDC4" s="42"/>
      <c r="WDD4" s="42"/>
      <c r="WDE4" s="42"/>
      <c r="WDF4" s="42"/>
      <c r="WDG4" s="42"/>
      <c r="WDH4" s="42"/>
      <c r="WDI4" s="42"/>
      <c r="WDJ4" s="42"/>
      <c r="WDK4" s="42"/>
      <c r="WDL4" s="42"/>
      <c r="WDM4" s="42"/>
      <c r="WDN4" s="42"/>
      <c r="WDO4" s="42"/>
      <c r="WDP4" s="42"/>
      <c r="WDQ4" s="42"/>
      <c r="WDR4" s="42"/>
      <c r="WDS4" s="42"/>
      <c r="WDT4" s="42"/>
      <c r="WDU4" s="42"/>
      <c r="WDV4" s="42"/>
      <c r="WDW4" s="42"/>
      <c r="WDX4" s="42"/>
      <c r="WDY4" s="42"/>
      <c r="WDZ4" s="42"/>
      <c r="WEA4" s="42"/>
      <c r="WEB4" s="42"/>
      <c r="WEC4" s="42"/>
      <c r="WED4" s="42"/>
      <c r="WEE4" s="42"/>
      <c r="WEF4" s="42"/>
      <c r="WEG4" s="42"/>
      <c r="WEH4" s="42"/>
      <c r="WEI4" s="42"/>
      <c r="WEJ4" s="42"/>
      <c r="WEK4" s="42"/>
      <c r="WEL4" s="42"/>
      <c r="WEM4" s="42"/>
      <c r="WEN4" s="42"/>
      <c r="WEO4" s="42"/>
      <c r="WEP4" s="42"/>
      <c r="WEQ4" s="42"/>
      <c r="WER4" s="42"/>
      <c r="WES4" s="42"/>
      <c r="WET4" s="42"/>
      <c r="WEU4" s="42"/>
      <c r="WEV4" s="42"/>
      <c r="WEW4" s="42"/>
      <c r="WEX4" s="42"/>
      <c r="WEY4" s="42"/>
      <c r="WEZ4" s="42"/>
      <c r="WFA4" s="42"/>
      <c r="WFB4" s="42"/>
      <c r="WFC4" s="42"/>
      <c r="WFD4" s="42"/>
      <c r="WFE4" s="42"/>
      <c r="WFF4" s="42"/>
      <c r="WFG4" s="42"/>
      <c r="WFH4" s="42"/>
      <c r="WFI4" s="42"/>
      <c r="WFJ4" s="42"/>
      <c r="WFK4" s="42"/>
      <c r="WFL4" s="42"/>
      <c r="WFM4" s="42"/>
      <c r="WFN4" s="42"/>
      <c r="WFO4" s="42"/>
      <c r="WFP4" s="42"/>
      <c r="WFQ4" s="42"/>
      <c r="WFR4" s="42"/>
      <c r="WFS4" s="42"/>
      <c r="WFT4" s="42"/>
      <c r="WFU4" s="42"/>
      <c r="WFV4" s="42"/>
      <c r="WFW4" s="42"/>
      <c r="WFX4" s="42"/>
      <c r="WFY4" s="42"/>
      <c r="WFZ4" s="42"/>
      <c r="WGA4" s="42"/>
      <c r="WGB4" s="42"/>
      <c r="WGC4" s="42"/>
      <c r="WGD4" s="42"/>
      <c r="WGE4" s="42"/>
      <c r="WGF4" s="42"/>
      <c r="WGG4" s="42"/>
      <c r="WGH4" s="42"/>
      <c r="WGI4" s="42"/>
      <c r="WGJ4" s="42"/>
      <c r="WGK4" s="42"/>
      <c r="WGL4" s="42"/>
      <c r="WGM4" s="42"/>
      <c r="WGN4" s="42"/>
      <c r="WGO4" s="42"/>
      <c r="WGP4" s="42"/>
      <c r="WGQ4" s="42"/>
      <c r="WGR4" s="42"/>
      <c r="WGS4" s="42"/>
      <c r="WGT4" s="42"/>
      <c r="WGU4" s="42"/>
      <c r="WGV4" s="42"/>
      <c r="WGW4" s="42"/>
      <c r="WGX4" s="42"/>
      <c r="WGY4" s="42"/>
      <c r="WGZ4" s="42"/>
      <c r="WHA4" s="42"/>
      <c r="WHB4" s="42"/>
      <c r="WHC4" s="42"/>
      <c r="WHD4" s="42"/>
      <c r="WHE4" s="42"/>
      <c r="WHF4" s="42"/>
      <c r="WHG4" s="42"/>
      <c r="WHH4" s="42"/>
      <c r="WHI4" s="42"/>
      <c r="WHJ4" s="42"/>
      <c r="WHK4" s="42"/>
      <c r="WHL4" s="42"/>
      <c r="WHM4" s="42"/>
      <c r="WHN4" s="42"/>
      <c r="WHO4" s="42"/>
      <c r="WHP4" s="42"/>
      <c r="WHQ4" s="42"/>
      <c r="WHR4" s="42"/>
      <c r="WHS4" s="42"/>
      <c r="WHT4" s="42"/>
      <c r="WHU4" s="42"/>
      <c r="WHV4" s="42"/>
      <c r="WHW4" s="42"/>
      <c r="WHX4" s="42"/>
      <c r="WHY4" s="42"/>
      <c r="WHZ4" s="42"/>
      <c r="WIA4" s="42"/>
      <c r="WIB4" s="42"/>
      <c r="WIC4" s="42"/>
      <c r="WID4" s="42"/>
      <c r="WIE4" s="42"/>
      <c r="WIF4" s="42"/>
      <c r="WIG4" s="42"/>
      <c r="WIH4" s="42"/>
      <c r="WII4" s="42"/>
      <c r="WIJ4" s="42"/>
      <c r="WIK4" s="42"/>
      <c r="WIL4" s="42"/>
      <c r="WIM4" s="42"/>
      <c r="WIN4" s="42"/>
      <c r="WIO4" s="42"/>
      <c r="WIP4" s="42"/>
      <c r="WIQ4" s="42"/>
      <c r="WIR4" s="42"/>
      <c r="WIS4" s="42"/>
      <c r="WIT4" s="42"/>
      <c r="WIU4" s="42"/>
      <c r="WIV4" s="42"/>
      <c r="WIW4" s="42"/>
      <c r="WIX4" s="42"/>
      <c r="WIY4" s="42"/>
      <c r="WIZ4" s="42"/>
      <c r="WJA4" s="42"/>
      <c r="WJB4" s="42"/>
      <c r="WJC4" s="42"/>
      <c r="WJD4" s="42"/>
      <c r="WJE4" s="42"/>
      <c r="WJF4" s="42"/>
      <c r="WJG4" s="42"/>
      <c r="WJH4" s="42"/>
      <c r="WJI4" s="42"/>
      <c r="WJJ4" s="42"/>
      <c r="WJK4" s="42"/>
      <c r="WJL4" s="42"/>
      <c r="WJM4" s="42"/>
      <c r="WJN4" s="42"/>
      <c r="WJO4" s="42"/>
      <c r="WJP4" s="42"/>
      <c r="WJQ4" s="42"/>
      <c r="WJR4" s="42"/>
      <c r="WJS4" s="42"/>
      <c r="WJT4" s="42"/>
      <c r="WJU4" s="42"/>
      <c r="WJV4" s="42"/>
      <c r="WJW4" s="42"/>
      <c r="WJX4" s="42"/>
      <c r="WJY4" s="42"/>
      <c r="WJZ4" s="42"/>
      <c r="WKA4" s="42"/>
      <c r="WKB4" s="42"/>
      <c r="WKC4" s="42"/>
      <c r="WKD4" s="42"/>
      <c r="WKE4" s="42"/>
      <c r="WKF4" s="42"/>
      <c r="WKG4" s="42"/>
      <c r="WKH4" s="42"/>
      <c r="WKI4" s="42"/>
      <c r="WKJ4" s="42"/>
      <c r="WKK4" s="42"/>
      <c r="WKL4" s="42"/>
      <c r="WKM4" s="42"/>
      <c r="WKN4" s="42"/>
      <c r="WKO4" s="42"/>
      <c r="WKP4" s="42"/>
      <c r="WKQ4" s="42"/>
      <c r="WKR4" s="42"/>
      <c r="WKS4" s="42"/>
      <c r="WKT4" s="42"/>
      <c r="WKU4" s="42"/>
      <c r="WKV4" s="42"/>
      <c r="WKW4" s="42"/>
      <c r="WKX4" s="42"/>
      <c r="WKY4" s="42"/>
      <c r="WKZ4" s="42"/>
      <c r="WLA4" s="42"/>
      <c r="WLB4" s="42"/>
      <c r="WLC4" s="42"/>
      <c r="WLD4" s="42"/>
      <c r="WLE4" s="42"/>
      <c r="WLF4" s="42"/>
      <c r="WLG4" s="42"/>
      <c r="WLH4" s="42"/>
      <c r="WLI4" s="42"/>
      <c r="WLJ4" s="42"/>
      <c r="WLK4" s="42"/>
      <c r="WLL4" s="42"/>
      <c r="WLM4" s="42"/>
      <c r="WLN4" s="42"/>
      <c r="WLO4" s="42"/>
      <c r="WLP4" s="42"/>
      <c r="WLQ4" s="42"/>
      <c r="WLR4" s="42"/>
      <c r="WLS4" s="42"/>
      <c r="WLT4" s="42"/>
      <c r="WLU4" s="42"/>
      <c r="WLV4" s="42"/>
      <c r="WLW4" s="42"/>
      <c r="WLX4" s="42"/>
      <c r="WLY4" s="42"/>
      <c r="WLZ4" s="42"/>
      <c r="WMA4" s="42"/>
      <c r="WMB4" s="42"/>
      <c r="WMC4" s="42"/>
      <c r="WMD4" s="42"/>
      <c r="WME4" s="42"/>
      <c r="WMF4" s="42"/>
      <c r="WMG4" s="42"/>
      <c r="WMH4" s="42"/>
      <c r="WMI4" s="42"/>
      <c r="WMJ4" s="42"/>
      <c r="WMK4" s="42"/>
      <c r="WML4" s="42"/>
      <c r="WMM4" s="42"/>
      <c r="WMN4" s="42"/>
      <c r="WMO4" s="42"/>
      <c r="WMP4" s="42"/>
      <c r="WMQ4" s="42"/>
      <c r="WMR4" s="42"/>
      <c r="WMS4" s="42"/>
      <c r="WMT4" s="42"/>
      <c r="WMU4" s="42"/>
      <c r="WMV4" s="42"/>
      <c r="WMW4" s="42"/>
      <c r="WMX4" s="42"/>
      <c r="WMY4" s="42"/>
      <c r="WMZ4" s="42"/>
      <c r="WNA4" s="42"/>
      <c r="WNB4" s="42"/>
      <c r="WNC4" s="42"/>
      <c r="WND4" s="42"/>
      <c r="WNE4" s="42"/>
      <c r="WNF4" s="42"/>
      <c r="WNG4" s="42"/>
      <c r="WNH4" s="42"/>
      <c r="WNI4" s="42"/>
      <c r="WNJ4" s="42"/>
      <c r="WNK4" s="42"/>
      <c r="WNL4" s="42"/>
      <c r="WNM4" s="42"/>
      <c r="WNN4" s="42"/>
      <c r="WNO4" s="42"/>
      <c r="WNP4" s="42"/>
      <c r="WNQ4" s="42"/>
      <c r="WNR4" s="42"/>
      <c r="WNS4" s="42"/>
      <c r="WNT4" s="42"/>
      <c r="WNU4" s="42"/>
      <c r="WNV4" s="42"/>
      <c r="WNW4" s="42"/>
      <c r="WNX4" s="42"/>
      <c r="WNY4" s="42"/>
      <c r="WNZ4" s="42"/>
      <c r="WOA4" s="42"/>
      <c r="WOB4" s="42"/>
      <c r="WOC4" s="42"/>
      <c r="WOD4" s="42"/>
      <c r="WOE4" s="42"/>
      <c r="WOF4" s="42"/>
      <c r="WOG4" s="42"/>
      <c r="WOH4" s="42"/>
      <c r="WOI4" s="42"/>
      <c r="WOJ4" s="42"/>
      <c r="WOK4" s="42"/>
      <c r="WOL4" s="42"/>
      <c r="WOM4" s="42"/>
      <c r="WON4" s="42"/>
      <c r="WOO4" s="42"/>
      <c r="WOP4" s="42"/>
      <c r="WOQ4" s="42"/>
      <c r="WOR4" s="42"/>
      <c r="WOS4" s="42"/>
      <c r="WOT4" s="42"/>
      <c r="WOU4" s="42"/>
      <c r="WOV4" s="42"/>
      <c r="WOW4" s="42"/>
      <c r="WOX4" s="42"/>
      <c r="WOY4" s="42"/>
      <c r="WOZ4" s="42"/>
      <c r="WPA4" s="42"/>
      <c r="WPB4" s="42"/>
      <c r="WPC4" s="42"/>
      <c r="WPD4" s="42"/>
      <c r="WPE4" s="42"/>
      <c r="WPF4" s="42"/>
      <c r="WPG4" s="42"/>
      <c r="WPH4" s="42"/>
      <c r="WPI4" s="42"/>
      <c r="WPJ4" s="42"/>
      <c r="WPK4" s="42"/>
      <c r="WPL4" s="42"/>
      <c r="WPM4" s="42"/>
      <c r="WPN4" s="42"/>
      <c r="WPO4" s="42"/>
      <c r="WPP4" s="42"/>
      <c r="WPQ4" s="42"/>
      <c r="WPR4" s="42"/>
      <c r="WPS4" s="42"/>
      <c r="WPT4" s="42"/>
      <c r="WPU4" s="42"/>
      <c r="WPV4" s="42"/>
      <c r="WPW4" s="42"/>
      <c r="WPX4" s="42"/>
      <c r="WPY4" s="42"/>
      <c r="WPZ4" s="42"/>
      <c r="WQA4" s="42"/>
      <c r="WQB4" s="42"/>
      <c r="WQC4" s="42"/>
      <c r="WQD4" s="42"/>
      <c r="WQE4" s="42"/>
      <c r="WQF4" s="42"/>
      <c r="WQG4" s="42"/>
      <c r="WQH4" s="42"/>
      <c r="WQI4" s="42"/>
      <c r="WQJ4" s="42"/>
      <c r="WQK4" s="42"/>
      <c r="WQL4" s="42"/>
      <c r="WQM4" s="42"/>
      <c r="WQN4" s="42"/>
      <c r="WQO4" s="42"/>
      <c r="WQP4" s="42"/>
      <c r="WQQ4" s="42"/>
      <c r="WQR4" s="42"/>
      <c r="WQS4" s="42"/>
      <c r="WQT4" s="42"/>
      <c r="WQU4" s="42"/>
      <c r="WQV4" s="42"/>
      <c r="WQW4" s="42"/>
      <c r="WQX4" s="42"/>
      <c r="WQY4" s="42"/>
      <c r="WQZ4" s="42"/>
      <c r="WRA4" s="42"/>
      <c r="WRB4" s="42"/>
      <c r="WRC4" s="42"/>
      <c r="WRD4" s="42"/>
      <c r="WRE4" s="42"/>
      <c r="WRF4" s="42"/>
      <c r="WRG4" s="42"/>
      <c r="WRH4" s="42"/>
      <c r="WRI4" s="42"/>
      <c r="WRJ4" s="42"/>
      <c r="WRK4" s="42"/>
      <c r="WRL4" s="42"/>
      <c r="WRM4" s="42"/>
      <c r="WRN4" s="42"/>
      <c r="WRO4" s="42"/>
      <c r="WRP4" s="42"/>
      <c r="WRQ4" s="42"/>
      <c r="WRR4" s="42"/>
      <c r="WRS4" s="42"/>
      <c r="WRT4" s="42"/>
      <c r="WRU4" s="42"/>
      <c r="WRV4" s="42"/>
      <c r="WRW4" s="42"/>
      <c r="WRX4" s="42"/>
      <c r="WRY4" s="42"/>
      <c r="WRZ4" s="42"/>
      <c r="WSA4" s="42"/>
      <c r="WSB4" s="42"/>
      <c r="WSC4" s="42"/>
      <c r="WSD4" s="42"/>
      <c r="WSE4" s="42"/>
      <c r="WSF4" s="42"/>
      <c r="WSG4" s="42"/>
      <c r="WSH4" s="42"/>
      <c r="WSI4" s="42"/>
      <c r="WSJ4" s="42"/>
      <c r="WSK4" s="42"/>
      <c r="WSL4" s="42"/>
      <c r="WSM4" s="42"/>
      <c r="WSN4" s="42"/>
      <c r="WSO4" s="42"/>
      <c r="WSP4" s="42"/>
      <c r="WSQ4" s="42"/>
      <c r="WSR4" s="42"/>
      <c r="WSS4" s="42"/>
      <c r="WST4" s="42"/>
      <c r="WSU4" s="42"/>
      <c r="WSV4" s="42"/>
      <c r="WSW4" s="42"/>
      <c r="WSX4" s="42"/>
      <c r="WSY4" s="42"/>
      <c r="WSZ4" s="42"/>
      <c r="WTA4" s="42"/>
      <c r="WTB4" s="42"/>
      <c r="WTC4" s="42"/>
      <c r="WTD4" s="42"/>
      <c r="WTE4" s="42"/>
      <c r="WTF4" s="42"/>
      <c r="WTG4" s="42"/>
      <c r="WTH4" s="42"/>
      <c r="WTI4" s="42"/>
      <c r="WTJ4" s="42"/>
      <c r="WTK4" s="42"/>
      <c r="WTL4" s="42"/>
      <c r="WTM4" s="42"/>
      <c r="WTN4" s="42"/>
      <c r="WTO4" s="42"/>
      <c r="WTP4" s="42"/>
      <c r="WTQ4" s="42"/>
      <c r="WTR4" s="42"/>
      <c r="WTS4" s="42"/>
      <c r="WTT4" s="42"/>
      <c r="WTU4" s="42"/>
      <c r="WTV4" s="42"/>
      <c r="WTW4" s="42"/>
      <c r="WTX4" s="42"/>
      <c r="WTY4" s="42"/>
      <c r="WTZ4" s="42"/>
      <c r="WUA4" s="42"/>
      <c r="WUB4" s="42"/>
      <c r="WUC4" s="42"/>
      <c r="WUD4" s="42"/>
      <c r="WUE4" s="42"/>
      <c r="WUF4" s="42"/>
      <c r="WUG4" s="42"/>
      <c r="WUH4" s="42"/>
      <c r="WUI4" s="42"/>
      <c r="WUJ4" s="42"/>
      <c r="WUK4" s="42"/>
      <c r="WUL4" s="42"/>
      <c r="WUM4" s="42"/>
      <c r="WUN4" s="42"/>
      <c r="WUO4" s="42"/>
      <c r="WUP4" s="42"/>
      <c r="WUQ4" s="42"/>
      <c r="WUR4" s="42"/>
      <c r="WUS4" s="42"/>
      <c r="WUT4" s="42"/>
      <c r="WUU4" s="42"/>
      <c r="WUV4" s="42"/>
      <c r="WUW4" s="42"/>
      <c r="WUX4" s="42"/>
      <c r="WUY4" s="42"/>
      <c r="WUZ4" s="42"/>
      <c r="WVA4" s="42"/>
      <c r="WVB4" s="42"/>
      <c r="WVC4" s="42"/>
      <c r="WVD4" s="42"/>
      <c r="WVE4" s="42"/>
      <c r="WVF4" s="42"/>
      <c r="WVG4" s="42"/>
      <c r="WVH4" s="42"/>
      <c r="WVI4" s="42"/>
      <c r="WVJ4" s="42"/>
      <c r="WVK4" s="42"/>
      <c r="WVL4" s="42"/>
      <c r="WVM4" s="42"/>
      <c r="WVN4" s="42"/>
      <c r="WVO4" s="42"/>
      <c r="WVP4" s="42"/>
      <c r="WVQ4" s="42"/>
      <c r="WVR4" s="42"/>
      <c r="WVS4" s="42"/>
      <c r="WVT4" s="42"/>
      <c r="WVU4" s="42"/>
      <c r="WVV4" s="42"/>
      <c r="WVW4" s="42"/>
      <c r="WVX4" s="42"/>
      <c r="WVY4" s="42"/>
      <c r="WVZ4" s="42"/>
      <c r="WWA4" s="42"/>
      <c r="WWB4" s="42"/>
      <c r="WWC4" s="42"/>
      <c r="WWD4" s="42"/>
      <c r="WWE4" s="42"/>
      <c r="WWF4" s="42"/>
      <c r="WWG4" s="42"/>
      <c r="WWH4" s="42"/>
      <c r="WWI4" s="42"/>
      <c r="WWJ4" s="42"/>
      <c r="WWK4" s="42"/>
      <c r="WWL4" s="42"/>
      <c r="WWM4" s="42"/>
      <c r="WWN4" s="42"/>
      <c r="WWO4" s="42"/>
      <c r="WWP4" s="42"/>
      <c r="WWQ4" s="42"/>
      <c r="WWR4" s="42"/>
      <c r="WWS4" s="42"/>
      <c r="WWT4" s="42"/>
      <c r="WWU4" s="42"/>
      <c r="WWV4" s="42"/>
      <c r="WWW4" s="42"/>
      <c r="WWX4" s="42"/>
      <c r="WWY4" s="42"/>
      <c r="WWZ4" s="42"/>
      <c r="WXA4" s="42"/>
      <c r="WXB4" s="42"/>
      <c r="WXC4" s="42"/>
      <c r="WXD4" s="42"/>
      <c r="WXE4" s="42"/>
      <c r="WXF4" s="42"/>
      <c r="WXG4" s="42"/>
      <c r="WXH4" s="42"/>
      <c r="WXI4" s="42"/>
      <c r="WXJ4" s="42"/>
      <c r="WXK4" s="42"/>
      <c r="WXL4" s="42"/>
      <c r="WXM4" s="42"/>
      <c r="WXN4" s="42"/>
      <c r="WXO4" s="42"/>
      <c r="WXP4" s="42"/>
      <c r="WXQ4" s="42"/>
      <c r="WXR4" s="42"/>
      <c r="WXS4" s="42"/>
      <c r="WXT4" s="42"/>
      <c r="WXU4" s="42"/>
      <c r="WXV4" s="42"/>
      <c r="WXW4" s="42"/>
      <c r="WXX4" s="42"/>
      <c r="WXY4" s="42"/>
      <c r="WXZ4" s="42"/>
      <c r="WYA4" s="42"/>
      <c r="WYB4" s="42"/>
      <c r="WYC4" s="42"/>
      <c r="WYD4" s="42"/>
      <c r="WYE4" s="42"/>
      <c r="WYF4" s="42"/>
      <c r="WYG4" s="42"/>
      <c r="WYH4" s="42"/>
      <c r="WYI4" s="42"/>
      <c r="WYJ4" s="42"/>
      <c r="WYK4" s="42"/>
      <c r="WYL4" s="42"/>
      <c r="WYM4" s="42"/>
      <c r="WYN4" s="42"/>
      <c r="WYO4" s="42"/>
      <c r="WYP4" s="42"/>
      <c r="WYQ4" s="42"/>
      <c r="WYR4" s="42"/>
      <c r="WYS4" s="42"/>
      <c r="WYT4" s="42"/>
      <c r="WYU4" s="42"/>
      <c r="WYV4" s="42"/>
      <c r="WYW4" s="42"/>
      <c r="WYX4" s="42"/>
      <c r="WYY4" s="42"/>
      <c r="WYZ4" s="42"/>
      <c r="WZA4" s="42"/>
      <c r="WZB4" s="42"/>
      <c r="WZC4" s="42"/>
      <c r="WZD4" s="42"/>
      <c r="WZE4" s="42"/>
      <c r="WZF4" s="42"/>
      <c r="WZG4" s="42"/>
      <c r="WZH4" s="42"/>
      <c r="WZI4" s="42"/>
      <c r="WZJ4" s="42"/>
      <c r="WZK4" s="42"/>
      <c r="WZL4" s="42"/>
      <c r="WZM4" s="42"/>
      <c r="WZN4" s="42"/>
      <c r="WZO4" s="42"/>
      <c r="WZP4" s="42"/>
      <c r="WZQ4" s="42"/>
      <c r="WZR4" s="42"/>
      <c r="WZS4" s="42"/>
      <c r="WZT4" s="42"/>
      <c r="WZU4" s="42"/>
      <c r="WZV4" s="42"/>
      <c r="WZW4" s="42"/>
      <c r="WZX4" s="42"/>
      <c r="WZY4" s="42"/>
      <c r="WZZ4" s="42"/>
      <c r="XAA4" s="42"/>
      <c r="XAB4" s="42"/>
      <c r="XAC4" s="42"/>
      <c r="XAD4" s="42"/>
      <c r="XAE4" s="42"/>
      <c r="XAF4" s="42"/>
      <c r="XAG4" s="42"/>
      <c r="XAH4" s="42"/>
      <c r="XAI4" s="42"/>
      <c r="XAJ4" s="42"/>
      <c r="XAK4" s="42"/>
      <c r="XAL4" s="42"/>
      <c r="XAM4" s="42"/>
      <c r="XAN4" s="42"/>
      <c r="XAO4" s="42"/>
      <c r="XAP4" s="42"/>
      <c r="XAQ4" s="42"/>
      <c r="XAR4" s="42"/>
      <c r="XAS4" s="42"/>
      <c r="XAT4" s="42"/>
      <c r="XAU4" s="42"/>
      <c r="XAV4" s="42"/>
      <c r="XAW4" s="42"/>
      <c r="XAX4" s="42"/>
      <c r="XAY4" s="42"/>
      <c r="XAZ4" s="42"/>
      <c r="XBA4" s="42"/>
      <c r="XBB4" s="42"/>
      <c r="XBC4" s="42"/>
      <c r="XBD4" s="42"/>
      <c r="XBE4" s="42"/>
      <c r="XBF4" s="42"/>
      <c r="XBG4" s="42"/>
      <c r="XBH4" s="42"/>
      <c r="XBI4" s="42"/>
      <c r="XBJ4" s="42"/>
      <c r="XBK4" s="42"/>
      <c r="XBL4" s="42"/>
      <c r="XBM4" s="42"/>
      <c r="XBN4" s="42"/>
      <c r="XBO4" s="42"/>
      <c r="XBP4" s="42"/>
      <c r="XBQ4" s="42"/>
      <c r="XBR4" s="42"/>
      <c r="XBS4" s="42"/>
      <c r="XBT4" s="42"/>
      <c r="XBU4" s="42"/>
      <c r="XBV4" s="42"/>
      <c r="XBW4" s="42"/>
      <c r="XBX4" s="42"/>
      <c r="XBY4" s="42"/>
      <c r="XBZ4" s="42"/>
      <c r="XCA4" s="42"/>
      <c r="XCB4" s="42"/>
      <c r="XCC4" s="42"/>
      <c r="XCD4" s="42"/>
      <c r="XCE4" s="42"/>
      <c r="XCF4" s="42"/>
      <c r="XCG4" s="42"/>
      <c r="XCH4" s="42"/>
      <c r="XCI4" s="42"/>
      <c r="XCJ4" s="42"/>
      <c r="XCK4" s="42"/>
      <c r="XCL4" s="42"/>
      <c r="XCM4" s="42"/>
      <c r="XCN4" s="42"/>
      <c r="XCO4" s="42"/>
      <c r="XCP4" s="42"/>
      <c r="XCQ4" s="42"/>
      <c r="XCR4" s="42"/>
      <c r="XCS4" s="42"/>
      <c r="XCT4" s="42"/>
      <c r="XCU4" s="42"/>
      <c r="XCV4" s="42"/>
      <c r="XCW4" s="42"/>
      <c r="XCX4" s="42"/>
      <c r="XCY4" s="42"/>
      <c r="XCZ4" s="42"/>
      <c r="XDA4" s="42"/>
      <c r="XDB4" s="42"/>
      <c r="XDC4" s="42"/>
      <c r="XDD4" s="42"/>
      <c r="XDE4" s="42"/>
      <c r="XDF4" s="42"/>
      <c r="XDG4" s="42"/>
      <c r="XDH4" s="42"/>
      <c r="XDI4" s="42"/>
      <c r="XDJ4" s="42"/>
      <c r="XDK4" s="42"/>
      <c r="XDL4" s="42"/>
      <c r="XDM4" s="42"/>
      <c r="XDN4" s="42"/>
      <c r="XDO4" s="42"/>
      <c r="XDP4" s="42"/>
      <c r="XDQ4" s="42"/>
      <c r="XDR4" s="42"/>
      <c r="XDS4" s="42"/>
      <c r="XDT4" s="42"/>
      <c r="XDU4" s="42"/>
      <c r="XDV4" s="42"/>
      <c r="XDW4" s="42"/>
      <c r="XDX4" s="42"/>
      <c r="XDY4" s="42"/>
      <c r="XDZ4" s="42"/>
      <c r="XEA4" s="42"/>
      <c r="XEB4" s="42"/>
      <c r="XEC4" s="42"/>
      <c r="XED4" s="42"/>
      <c r="XEE4" s="42"/>
      <c r="XEF4" s="42"/>
      <c r="XEG4" s="42"/>
      <c r="XEH4" s="42"/>
      <c r="XEI4" s="42"/>
      <c r="XEJ4" s="42"/>
      <c r="XEK4" s="42"/>
      <c r="XEL4" s="42"/>
      <c r="XEM4" s="42"/>
      <c r="XEN4" s="42"/>
      <c r="XEO4" s="42"/>
      <c r="XEP4" s="42"/>
      <c r="XEQ4" s="42"/>
      <c r="XER4" s="42"/>
      <c r="XES4" s="42"/>
      <c r="XET4" s="42"/>
      <c r="XEU4" s="42"/>
      <c r="XEV4" s="42"/>
      <c r="XEW4" s="42"/>
      <c r="XEX4" s="42"/>
      <c r="XEY4" s="42"/>
      <c r="XEZ4" s="42"/>
      <c r="XFA4" s="42"/>
      <c r="XFB4" s="42"/>
      <c r="XFC4" s="42">
        <f t="shared" ref="XFC4" si="0">XFB4+365</f>
        <v>365</v>
      </c>
    </row>
    <row r="5" spans="1:16383" ht="5" customHeight="1" x14ac:dyDescent="0.2">
      <c r="C5" s="37"/>
      <c r="D5" s="37"/>
      <c r="E5" s="37"/>
      <c r="F5" s="37"/>
      <c r="G5" s="37"/>
      <c r="H5" s="37"/>
      <c r="I5" s="37"/>
      <c r="J5" s="37"/>
    </row>
    <row r="6" spans="1:16383" x14ac:dyDescent="0.2">
      <c r="B6" s="36" t="s">
        <v>588</v>
      </c>
      <c r="C6" s="36"/>
      <c r="D6" s="36"/>
      <c r="E6" s="36"/>
      <c r="F6" s="36"/>
      <c r="G6" s="36"/>
      <c r="H6" s="36"/>
      <c r="I6" s="36"/>
      <c r="J6" s="36"/>
      <c r="K6" s="36"/>
      <c r="L6" s="36"/>
    </row>
    <row r="7" spans="1:16383" ht="5" customHeight="1" x14ac:dyDescent="0.2">
      <c r="C7" s="37"/>
      <c r="D7" s="37"/>
      <c r="E7" s="37"/>
      <c r="F7" s="37"/>
      <c r="G7" s="37"/>
      <c r="H7" s="37"/>
      <c r="I7" s="37"/>
      <c r="J7" s="37"/>
    </row>
    <row r="8" spans="1:16383" x14ac:dyDescent="0.2">
      <c r="B8" s="43" t="s">
        <v>589</v>
      </c>
      <c r="C8" s="135">
        <f>AFS!B20</f>
        <v>499.18</v>
      </c>
      <c r="D8" s="167">
        <f>AFS!C20</f>
        <v>569.30999999999995</v>
      </c>
      <c r="E8" s="135">
        <f>AFS!D20</f>
        <v>637.49</v>
      </c>
      <c r="F8" s="135">
        <f>AFS!E20</f>
        <v>669.2</v>
      </c>
      <c r="G8" s="135">
        <f>AFS!F20</f>
        <v>706.32</v>
      </c>
      <c r="H8" s="135">
        <f>AFS!G20</f>
        <v>881.31</v>
      </c>
      <c r="I8" s="135">
        <f>AFS!H20</f>
        <v>1237.6500000000001</v>
      </c>
      <c r="J8" s="135">
        <f>AFS!I20</f>
        <v>1361.14</v>
      </c>
      <c r="K8" s="135">
        <f>AFS!J20</f>
        <v>1148.21</v>
      </c>
      <c r="L8" s="135">
        <f>AFS!K20</f>
        <v>1185.43</v>
      </c>
    </row>
    <row r="9" spans="1:16383" x14ac:dyDescent="0.2">
      <c r="B9" s="136" t="s">
        <v>590</v>
      </c>
      <c r="C9" s="137" t="s">
        <v>591</v>
      </c>
      <c r="D9" s="168" t="s">
        <v>591</v>
      </c>
      <c r="E9" s="137" t="s">
        <v>591</v>
      </c>
      <c r="F9" s="137" t="s">
        <v>591</v>
      </c>
      <c r="G9" s="137" t="s">
        <v>591</v>
      </c>
      <c r="H9" s="137" t="s">
        <v>591</v>
      </c>
      <c r="I9" s="137" t="s">
        <v>591</v>
      </c>
      <c r="J9" s="137" t="s">
        <v>591</v>
      </c>
      <c r="K9" s="137" t="s">
        <v>591</v>
      </c>
      <c r="L9" s="137" t="s">
        <v>591</v>
      </c>
    </row>
    <row r="10" spans="1:16383" s="44" customFormat="1" x14ac:dyDescent="0.2">
      <c r="A10" s="34"/>
      <c r="B10" s="41" t="s">
        <v>592</v>
      </c>
      <c r="C10" s="138">
        <f>AFS!B24</f>
        <v>157.28</v>
      </c>
      <c r="D10" s="169">
        <f>AFS!C24</f>
        <v>180.16</v>
      </c>
      <c r="E10" s="138">
        <f>AFS!D24</f>
        <v>205.59</v>
      </c>
      <c r="F10" s="138">
        <f>AFS!E24</f>
        <v>213.43</v>
      </c>
      <c r="G10" s="138">
        <f>AFS!F24</f>
        <v>217.63</v>
      </c>
      <c r="H10" s="138">
        <f>AFS!G24</f>
        <v>278.39999999999998</v>
      </c>
      <c r="I10" s="138">
        <f>AFS!H24</f>
        <v>412.88</v>
      </c>
      <c r="J10" s="138">
        <f>AFS!I24</f>
        <v>460.53</v>
      </c>
      <c r="K10" s="138">
        <f>AFS!J24</f>
        <v>407.02</v>
      </c>
      <c r="L10" s="138">
        <f>AFS!K24</f>
        <v>403.73</v>
      </c>
    </row>
    <row r="11" spans="1:16383" s="44" customFormat="1" x14ac:dyDescent="0.2">
      <c r="A11" s="34"/>
      <c r="B11" s="41" t="s">
        <v>593</v>
      </c>
      <c r="C11" s="138">
        <f>AFS!B29-AFS!B136</f>
        <v>132.91000000000003</v>
      </c>
      <c r="D11" s="169">
        <f>AFS!C29-AFS!C136</f>
        <v>148.79</v>
      </c>
      <c r="E11" s="138">
        <f>AFS!D29-AFS!D136</f>
        <v>163.39999999999998</v>
      </c>
      <c r="F11" s="138">
        <f>AFS!E29-AFS!E136</f>
        <v>179.70999999999998</v>
      </c>
      <c r="G11" s="138">
        <f>AFS!F29-AFS!F136</f>
        <v>186.95</v>
      </c>
      <c r="H11" s="138">
        <f>AFS!G29-AFS!G136</f>
        <v>193.17999999999998</v>
      </c>
      <c r="I11" s="138">
        <f>AFS!H29-AFS!H136</f>
        <v>264.73</v>
      </c>
      <c r="J11" s="138">
        <f>AFS!I29-AFS!I136</f>
        <v>357.17999999999995</v>
      </c>
      <c r="K11" s="138">
        <f>AFS!J29-AFS!J136</f>
        <v>347.03</v>
      </c>
      <c r="L11" s="138">
        <f>AFS!K29-AFS!K136</f>
        <v>361.65</v>
      </c>
    </row>
    <row r="12" spans="1:16383" x14ac:dyDescent="0.2">
      <c r="B12" s="41" t="s">
        <v>191</v>
      </c>
      <c r="C12" s="138">
        <f>AFS!B37</f>
        <v>2.2799999999999998</v>
      </c>
      <c r="D12" s="169">
        <f>AFS!C37</f>
        <v>-0.75</v>
      </c>
      <c r="E12" s="138">
        <f>AFS!D37</f>
        <v>1.33</v>
      </c>
      <c r="F12" s="138">
        <f>AFS!E37</f>
        <v>-1.3</v>
      </c>
      <c r="G12" s="138">
        <f>AFS!F37</f>
        <v>3.86</v>
      </c>
      <c r="H12" s="138">
        <f>AFS!G37</f>
        <v>2.97</v>
      </c>
      <c r="I12" s="138">
        <f>AFS!H37</f>
        <v>3.13</v>
      </c>
      <c r="J12" s="138">
        <f>AFS!I37</f>
        <v>6.89</v>
      </c>
      <c r="K12" s="138">
        <f>AFS!J37</f>
        <v>-2.06</v>
      </c>
      <c r="L12" s="138">
        <f>AFS!K37</f>
        <v>6.22</v>
      </c>
    </row>
    <row r="13" spans="1:16383" ht="17" thickBot="1" x14ac:dyDescent="0.25">
      <c r="B13" s="41" t="s">
        <v>594</v>
      </c>
      <c r="C13" s="139">
        <f>C10+C12+C11</f>
        <v>292.47000000000003</v>
      </c>
      <c r="D13" s="170">
        <f t="shared" ref="D13:L13" si="1">D10+D12+D11</f>
        <v>328.2</v>
      </c>
      <c r="E13" s="139">
        <f t="shared" si="1"/>
        <v>370.32</v>
      </c>
      <c r="F13" s="139">
        <f t="shared" si="1"/>
        <v>391.84</v>
      </c>
      <c r="G13" s="139">
        <f t="shared" si="1"/>
        <v>408.44</v>
      </c>
      <c r="H13" s="139">
        <f t="shared" si="1"/>
        <v>474.54999999999995</v>
      </c>
      <c r="I13" s="139">
        <f t="shared" si="1"/>
        <v>680.74</v>
      </c>
      <c r="J13" s="139">
        <f t="shared" si="1"/>
        <v>824.59999999999991</v>
      </c>
      <c r="K13" s="139">
        <f t="shared" si="1"/>
        <v>751.99</v>
      </c>
      <c r="L13" s="139">
        <f t="shared" si="1"/>
        <v>771.6</v>
      </c>
    </row>
    <row r="14" spans="1:16383" x14ac:dyDescent="0.2">
      <c r="B14" s="45" t="s">
        <v>595</v>
      </c>
      <c r="C14" s="140">
        <f>C8-C13</f>
        <v>206.70999999999998</v>
      </c>
      <c r="D14" s="171">
        <f t="shared" ref="D14:L14" si="2">D8-D13</f>
        <v>241.10999999999996</v>
      </c>
      <c r="E14" s="140">
        <f t="shared" si="2"/>
        <v>267.17</v>
      </c>
      <c r="F14" s="140">
        <f t="shared" si="2"/>
        <v>277.36000000000007</v>
      </c>
      <c r="G14" s="140">
        <f t="shared" si="2"/>
        <v>297.88000000000005</v>
      </c>
      <c r="H14" s="140">
        <f t="shared" si="2"/>
        <v>406.76</v>
      </c>
      <c r="I14" s="140">
        <f t="shared" si="2"/>
        <v>556.91000000000008</v>
      </c>
      <c r="J14" s="140">
        <f t="shared" si="2"/>
        <v>536.54000000000019</v>
      </c>
      <c r="K14" s="140">
        <f t="shared" si="2"/>
        <v>396.22</v>
      </c>
      <c r="L14" s="140">
        <f t="shared" si="2"/>
        <v>413.83000000000004</v>
      </c>
    </row>
    <row r="15" spans="1:16383" x14ac:dyDescent="0.2">
      <c r="B15" s="136" t="s">
        <v>596</v>
      </c>
      <c r="C15" s="141">
        <f>C14/C8</f>
        <v>0.41409912256100001</v>
      </c>
      <c r="D15" s="172">
        <f t="shared" ref="D15:L15" si="3">D14/D8</f>
        <v>0.42351267323602254</v>
      </c>
      <c r="E15" s="141">
        <f t="shared" si="3"/>
        <v>0.41909677014541408</v>
      </c>
      <c r="F15" s="141">
        <f t="shared" si="3"/>
        <v>0.4144650328750748</v>
      </c>
      <c r="G15" s="141">
        <f t="shared" si="3"/>
        <v>0.42173519084834071</v>
      </c>
      <c r="H15" s="141">
        <f t="shared" si="3"/>
        <v>0.46154020719156713</v>
      </c>
      <c r="I15" s="141">
        <f t="shared" si="3"/>
        <v>0.44997374055670025</v>
      </c>
      <c r="J15" s="141">
        <f t="shared" si="3"/>
        <v>0.39418428670085381</v>
      </c>
      <c r="K15" s="141">
        <f t="shared" si="3"/>
        <v>0.34507624911819268</v>
      </c>
      <c r="L15" s="141">
        <f t="shared" si="3"/>
        <v>0.34909695216081932</v>
      </c>
      <c r="M15" s="38"/>
    </row>
    <row r="16" spans="1:16383" ht="17" thickBot="1" x14ac:dyDescent="0.25">
      <c r="B16" s="41" t="s">
        <v>488</v>
      </c>
      <c r="C16" s="138">
        <f>AFS!B136</f>
        <v>50.64</v>
      </c>
      <c r="D16" s="169">
        <f>AFS!C136</f>
        <v>63.18</v>
      </c>
      <c r="E16" s="138">
        <f>AFS!D136</f>
        <v>69.61</v>
      </c>
      <c r="F16" s="138">
        <f>AFS!E136</f>
        <v>67.510000000000005</v>
      </c>
      <c r="G16" s="138">
        <f>AFS!F136</f>
        <v>75.42</v>
      </c>
      <c r="H16" s="138">
        <f>AFS!G136</f>
        <v>76.650000000000006</v>
      </c>
      <c r="I16" s="138">
        <f>AFS!H136</f>
        <v>115.51</v>
      </c>
      <c r="J16" s="138">
        <f>AFS!I136</f>
        <v>161.22</v>
      </c>
      <c r="K16" s="138">
        <f>AFS!J136</f>
        <v>158.37</v>
      </c>
      <c r="L16" s="138">
        <f>AFS!K136</f>
        <v>148.79</v>
      </c>
      <c r="M16" s="37"/>
    </row>
    <row r="17" spans="2:13 16384:16384" ht="17" hidden="1" thickBot="1" x14ac:dyDescent="0.25">
      <c r="B17" s="46" t="s">
        <v>597</v>
      </c>
      <c r="C17" s="138"/>
      <c r="D17" s="169"/>
      <c r="E17" s="138"/>
      <c r="F17" s="138"/>
      <c r="G17" s="138"/>
      <c r="H17" s="138"/>
      <c r="I17" s="138"/>
      <c r="J17" s="138"/>
      <c r="K17" s="138"/>
      <c r="L17" s="138"/>
    </row>
    <row r="18" spans="2:13 16384:16384" x14ac:dyDescent="0.2">
      <c r="B18" s="45" t="s">
        <v>442</v>
      </c>
      <c r="C18" s="140">
        <f>C14-C16</f>
        <v>156.07</v>
      </c>
      <c r="D18" s="171">
        <f t="shared" ref="D18:L18" si="4">D14-D16</f>
        <v>177.92999999999995</v>
      </c>
      <c r="E18" s="140">
        <f t="shared" si="4"/>
        <v>197.56</v>
      </c>
      <c r="F18" s="140">
        <f t="shared" si="4"/>
        <v>209.85000000000008</v>
      </c>
      <c r="G18" s="140">
        <f t="shared" si="4"/>
        <v>222.46000000000004</v>
      </c>
      <c r="H18" s="140">
        <f t="shared" si="4"/>
        <v>330.11</v>
      </c>
      <c r="I18" s="140">
        <f t="shared" si="4"/>
        <v>441.40000000000009</v>
      </c>
      <c r="J18" s="140">
        <f t="shared" si="4"/>
        <v>375.32000000000016</v>
      </c>
      <c r="K18" s="140">
        <f t="shared" si="4"/>
        <v>237.85000000000002</v>
      </c>
      <c r="L18" s="140">
        <f t="shared" si="4"/>
        <v>265.04000000000008</v>
      </c>
      <c r="M18" s="38"/>
    </row>
    <row r="19" spans="2:13 16384:16384" x14ac:dyDescent="0.2">
      <c r="B19" s="41" t="s">
        <v>598</v>
      </c>
      <c r="C19" s="38">
        <f>AFS!B48</f>
        <v>-4.0199999999999996</v>
      </c>
      <c r="D19" s="38">
        <f>AFS!C48</f>
        <v>-2.38</v>
      </c>
      <c r="E19" s="38">
        <f>AFS!D48</f>
        <v>-3.83</v>
      </c>
      <c r="F19" s="38">
        <f>AFS!E48</f>
        <v>-1.1399999999999999</v>
      </c>
      <c r="G19" s="38">
        <f>AFS!F48</f>
        <v>-0.76</v>
      </c>
      <c r="H19" s="38">
        <f>AFS!G48</f>
        <v>-1.91</v>
      </c>
      <c r="I19" s="38">
        <f>AFS!H48</f>
        <v>0.89</v>
      </c>
      <c r="J19" s="38">
        <f>AFS!I48</f>
        <v>1.37</v>
      </c>
      <c r="K19" s="38">
        <f>AFS!J48</f>
        <v>3.11</v>
      </c>
      <c r="L19" s="38">
        <f>AFS!K48</f>
        <v>3.57</v>
      </c>
    </row>
    <row r="20" spans="2:13 16384:16384" x14ac:dyDescent="0.2">
      <c r="B20" s="41" t="s">
        <v>599</v>
      </c>
      <c r="C20" s="138">
        <f>AFS!B45</f>
        <v>-0.59</v>
      </c>
      <c r="D20" s="138">
        <f>AFS!C45</f>
        <v>1.38</v>
      </c>
      <c r="E20" s="138">
        <f>AFS!D45</f>
        <v>2.6</v>
      </c>
      <c r="F20" s="138">
        <f>AFS!E45</f>
        <v>2.4900000000000002</v>
      </c>
      <c r="G20" s="138">
        <f>AFS!F45</f>
        <v>0.68</v>
      </c>
      <c r="H20" s="138">
        <f>AFS!G45</f>
        <v>0.94</v>
      </c>
      <c r="I20" s="138">
        <f>AFS!H45</f>
        <v>21.06</v>
      </c>
      <c r="J20" s="138">
        <f>AFS!I45</f>
        <v>30.72</v>
      </c>
      <c r="K20" s="138">
        <f>AFS!J45</f>
        <v>19.59</v>
      </c>
      <c r="L20" s="138">
        <f>AFS!K45</f>
        <v>19.45</v>
      </c>
    </row>
    <row r="21" spans="2:13 16384:16384" ht="17" thickBot="1" x14ac:dyDescent="0.25">
      <c r="B21" s="41" t="s">
        <v>600</v>
      </c>
      <c r="C21" s="138">
        <f>C19-C20</f>
        <v>-3.4299999999999997</v>
      </c>
      <c r="D21" s="138">
        <f t="shared" ref="D21:L21" si="5">D19-D20</f>
        <v>-3.76</v>
      </c>
      <c r="E21" s="138">
        <f t="shared" si="5"/>
        <v>-6.43</v>
      </c>
      <c r="F21" s="138">
        <f t="shared" si="5"/>
        <v>-3.63</v>
      </c>
      <c r="G21" s="138">
        <f t="shared" si="5"/>
        <v>-1.44</v>
      </c>
      <c r="H21" s="138">
        <f t="shared" si="5"/>
        <v>-2.8499999999999996</v>
      </c>
      <c r="I21" s="138">
        <f t="shared" si="5"/>
        <v>-20.169999999999998</v>
      </c>
      <c r="J21" s="138">
        <f t="shared" si="5"/>
        <v>-29.349999999999998</v>
      </c>
      <c r="K21" s="138">
        <f t="shared" si="5"/>
        <v>-16.48</v>
      </c>
      <c r="L21" s="138">
        <f t="shared" si="5"/>
        <v>-15.879999999999999</v>
      </c>
    </row>
    <row r="22" spans="2:13 16384:16384" x14ac:dyDescent="0.2">
      <c r="B22" s="45" t="s">
        <v>601</v>
      </c>
      <c r="C22" s="140">
        <f>C18+C21+AFS!B51</f>
        <v>152.20999999999998</v>
      </c>
      <c r="D22" s="140">
        <f>D18+D21+AFS!C51</f>
        <v>173.60999999999996</v>
      </c>
      <c r="E22" s="140">
        <f>E18+E21+AFS!D51</f>
        <v>190.73</v>
      </c>
      <c r="F22" s="140">
        <f>F18+F21+AFS!E51</f>
        <v>206.0800000000001</v>
      </c>
      <c r="G22" s="140">
        <f>G18+G21+AFS!F51</f>
        <v>220.91000000000003</v>
      </c>
      <c r="H22" s="140">
        <f>H18+H21+AFS!G51</f>
        <v>327.26</v>
      </c>
      <c r="I22" s="140">
        <f>I18+I21+AFS!H51</f>
        <v>421.23000000000008</v>
      </c>
      <c r="J22" s="140">
        <f>J18+J21+AFS!I51</f>
        <v>345.97000000000014</v>
      </c>
      <c r="K22" s="140">
        <f>K18+K21+AFS!J51</f>
        <v>221.37000000000003</v>
      </c>
      <c r="L22" s="140">
        <f>L18+L21+AFS!K51</f>
        <v>249.16000000000008</v>
      </c>
    </row>
    <row r="23" spans="2:13 16384:16384" ht="18" thickBot="1" x14ac:dyDescent="0.25">
      <c r="B23" s="47" t="s">
        <v>602</v>
      </c>
      <c r="C23" s="138">
        <f>AFS!B54</f>
        <v>-2.11</v>
      </c>
      <c r="D23" s="138">
        <f>AFS!C54</f>
        <v>-5.43</v>
      </c>
      <c r="E23" s="138">
        <f>AFS!D54</f>
        <v>-12.02</v>
      </c>
      <c r="F23" s="138">
        <f>AFS!E54</f>
        <v>-1.71</v>
      </c>
      <c r="G23" s="138">
        <f>AFS!F54</f>
        <v>-4.6100000000000003</v>
      </c>
      <c r="H23" s="138">
        <f>AFS!G54</f>
        <v>-5.88</v>
      </c>
      <c r="I23" s="138">
        <f>AFS!H54</f>
        <v>-21.9</v>
      </c>
      <c r="J23" s="138">
        <f>AFS!I54</f>
        <v>-20.02</v>
      </c>
      <c r="K23" s="138">
        <f>AFS!J54</f>
        <v>-20.149999999999999</v>
      </c>
      <c r="L23" s="138">
        <f>AFS!K54</f>
        <v>-6.72</v>
      </c>
      <c r="XFD23" s="38"/>
    </row>
    <row r="24" spans="2:13 16384:16384" x14ac:dyDescent="0.2">
      <c r="B24" s="45" t="s">
        <v>603</v>
      </c>
      <c r="C24" s="140">
        <f>C22+C23</f>
        <v>150.09999999999997</v>
      </c>
      <c r="D24" s="140">
        <f t="shared" ref="D24:L24" si="6">D22+D23</f>
        <v>168.17999999999995</v>
      </c>
      <c r="E24" s="140">
        <f t="shared" si="6"/>
        <v>178.70999999999998</v>
      </c>
      <c r="F24" s="140">
        <f t="shared" si="6"/>
        <v>204.37000000000009</v>
      </c>
      <c r="G24" s="140">
        <f t="shared" si="6"/>
        <v>216.3</v>
      </c>
      <c r="H24" s="140">
        <f t="shared" si="6"/>
        <v>321.38</v>
      </c>
      <c r="I24" s="140">
        <f t="shared" si="6"/>
        <v>399.3300000000001</v>
      </c>
      <c r="J24" s="140">
        <f t="shared" si="6"/>
        <v>325.95000000000016</v>
      </c>
      <c r="K24" s="140">
        <f t="shared" si="6"/>
        <v>201.22000000000003</v>
      </c>
      <c r="L24" s="140">
        <f t="shared" si="6"/>
        <v>242.44000000000008</v>
      </c>
    </row>
    <row r="25" spans="2:13 16384:16384" x14ac:dyDescent="0.2">
      <c r="B25" s="136" t="s">
        <v>596</v>
      </c>
      <c r="C25" s="141">
        <f>C24/C8</f>
        <v>0.30069313674426051</v>
      </c>
      <c r="D25" s="141">
        <f t="shared" ref="D25:L25" si="7">D24/D8</f>
        <v>0.29541023344048051</v>
      </c>
      <c r="E25" s="141">
        <f t="shared" si="7"/>
        <v>0.28033380915779066</v>
      </c>
      <c r="F25" s="141">
        <f t="shared" si="7"/>
        <v>0.30539450089659304</v>
      </c>
      <c r="G25" s="141">
        <f t="shared" si="7"/>
        <v>0.30623513421678561</v>
      </c>
      <c r="H25" s="141">
        <f t="shared" si="7"/>
        <v>0.36466169679227517</v>
      </c>
      <c r="I25" s="141">
        <f t="shared" si="7"/>
        <v>0.32265179978184466</v>
      </c>
      <c r="J25" s="141">
        <f t="shared" si="7"/>
        <v>0.23946838679342325</v>
      </c>
      <c r="K25" s="141">
        <f t="shared" si="7"/>
        <v>0.17524668832356452</v>
      </c>
      <c r="L25" s="141">
        <f t="shared" si="7"/>
        <v>0.20451650455952697</v>
      </c>
    </row>
    <row r="26" spans="2:13 16384:16384" ht="17" thickBot="1" x14ac:dyDescent="0.25">
      <c r="B26" s="41" t="s">
        <v>604</v>
      </c>
      <c r="C26" s="139">
        <f>-AFS!B64</f>
        <v>-49.55</v>
      </c>
      <c r="D26" s="139">
        <f>-AFS!C64</f>
        <v>-55.58</v>
      </c>
      <c r="E26" s="139">
        <f>-AFS!D64</f>
        <v>-38.83</v>
      </c>
      <c r="F26" s="139">
        <f>-AFS!E64</f>
        <v>-46.24</v>
      </c>
      <c r="G26" s="139">
        <f>-AFS!F64</f>
        <v>-40.549999999999997</v>
      </c>
      <c r="H26" s="139">
        <f>-AFS!G64</f>
        <v>-73.08</v>
      </c>
      <c r="I26" s="139">
        <f>-AFS!H64</f>
        <v>-88.6</v>
      </c>
      <c r="J26" s="139">
        <f>-AFS!I64</f>
        <v>-85.83</v>
      </c>
      <c r="K26" s="139">
        <f>-AFS!J64</f>
        <v>-42.71</v>
      </c>
      <c r="L26" s="139">
        <f>-AFS!K64</f>
        <v>-55.39</v>
      </c>
    </row>
    <row r="27" spans="2:13 16384:16384" x14ac:dyDescent="0.2">
      <c r="B27" s="45" t="s">
        <v>101</v>
      </c>
      <c r="C27" s="135">
        <f>C24+C26</f>
        <v>100.54999999999997</v>
      </c>
      <c r="D27" s="135">
        <f t="shared" ref="D27:L27" si="8">D24+D26</f>
        <v>112.59999999999995</v>
      </c>
      <c r="E27" s="135">
        <f t="shared" si="8"/>
        <v>139.88</v>
      </c>
      <c r="F27" s="135">
        <f t="shared" si="8"/>
        <v>158.13000000000008</v>
      </c>
      <c r="G27" s="135">
        <f t="shared" si="8"/>
        <v>175.75</v>
      </c>
      <c r="H27" s="135">
        <f t="shared" si="8"/>
        <v>248.3</v>
      </c>
      <c r="I27" s="135">
        <f t="shared" si="8"/>
        <v>310.73000000000013</v>
      </c>
      <c r="J27" s="135">
        <f t="shared" si="8"/>
        <v>240.12000000000018</v>
      </c>
      <c r="K27" s="135">
        <f t="shared" si="8"/>
        <v>158.51000000000002</v>
      </c>
      <c r="L27" s="135">
        <f t="shared" si="8"/>
        <v>187.05000000000007</v>
      </c>
    </row>
    <row r="28" spans="2:13 16384:16384" x14ac:dyDescent="0.2">
      <c r="B28" s="41" t="s">
        <v>605</v>
      </c>
      <c r="C28" s="138">
        <f>AFS!B73</f>
        <v>0.13</v>
      </c>
      <c r="D28" s="138">
        <f>AFS!C73</f>
        <v>0.24</v>
      </c>
      <c r="E28" s="138">
        <f>AFS!D73</f>
        <v>0</v>
      </c>
      <c r="F28" s="138">
        <f>AFS!E73</f>
        <v>0</v>
      </c>
      <c r="G28" s="138">
        <f>AFS!F73</f>
        <v>0</v>
      </c>
      <c r="H28" s="138">
        <f>AFS!G73</f>
        <v>0.43</v>
      </c>
      <c r="I28" s="138">
        <f>AFS!H73</f>
        <v>-0.24</v>
      </c>
      <c r="J28" s="138">
        <f>AFS!I73</f>
        <v>-0.8</v>
      </c>
      <c r="K28" s="138">
        <f>AFS!J73</f>
        <v>-1.34</v>
      </c>
      <c r="L28" s="138">
        <f>AFS!K73</f>
        <v>-1.05</v>
      </c>
    </row>
    <row r="29" spans="2:13 16384:16384" x14ac:dyDescent="0.2">
      <c r="B29" s="48" t="s">
        <v>606</v>
      </c>
      <c r="C29" s="142">
        <f>C27-C28</f>
        <v>100.41999999999997</v>
      </c>
      <c r="D29" s="142">
        <f t="shared" ref="D29:L29" si="9">D27-D28</f>
        <v>112.35999999999996</v>
      </c>
      <c r="E29" s="142">
        <f t="shared" si="9"/>
        <v>139.88</v>
      </c>
      <c r="F29" s="142">
        <f t="shared" si="9"/>
        <v>158.13000000000008</v>
      </c>
      <c r="G29" s="142">
        <f t="shared" si="9"/>
        <v>175.75</v>
      </c>
      <c r="H29" s="142">
        <f t="shared" si="9"/>
        <v>247.87</v>
      </c>
      <c r="I29" s="142">
        <f t="shared" si="9"/>
        <v>310.97000000000014</v>
      </c>
      <c r="J29" s="142">
        <f t="shared" si="9"/>
        <v>240.92000000000019</v>
      </c>
      <c r="K29" s="142">
        <f t="shared" si="9"/>
        <v>159.85000000000002</v>
      </c>
      <c r="L29" s="142">
        <f t="shared" si="9"/>
        <v>188.10000000000008</v>
      </c>
    </row>
    <row r="30" spans="2:13 16384:16384" x14ac:dyDescent="0.2">
      <c r="B30" s="136" t="s">
        <v>596</v>
      </c>
      <c r="C30" s="141">
        <f>C29/C8</f>
        <v>0.20116991866661318</v>
      </c>
      <c r="D30" s="141">
        <f t="shared" ref="D30:L30" si="10">D29/D8</f>
        <v>0.19736171857160417</v>
      </c>
      <c r="E30" s="141">
        <f t="shared" si="10"/>
        <v>0.21942304977332977</v>
      </c>
      <c r="F30" s="141">
        <f t="shared" si="10"/>
        <v>0.23629707112970721</v>
      </c>
      <c r="G30" s="141">
        <f t="shared" si="10"/>
        <v>0.24882489523162304</v>
      </c>
      <c r="H30" s="141">
        <f t="shared" si="10"/>
        <v>0.28125177292893538</v>
      </c>
      <c r="I30" s="141">
        <f t="shared" si="10"/>
        <v>0.25125843332121367</v>
      </c>
      <c r="J30" s="141">
        <f t="shared" si="10"/>
        <v>0.17699869227265394</v>
      </c>
      <c r="K30" s="141">
        <f t="shared" si="10"/>
        <v>0.13921669381036572</v>
      </c>
      <c r="L30" s="141">
        <f t="shared" si="10"/>
        <v>0.15867659836515025</v>
      </c>
    </row>
    <row r="31" spans="2:13 16384:16384" x14ac:dyDescent="0.2">
      <c r="B31" s="49" t="s">
        <v>607</v>
      </c>
      <c r="C31" s="143"/>
      <c r="D31" s="143"/>
      <c r="E31" s="143"/>
      <c r="F31" s="143"/>
      <c r="G31" s="143"/>
      <c r="H31" s="143"/>
      <c r="I31" s="143"/>
      <c r="J31" s="143"/>
      <c r="K31" s="143"/>
      <c r="L31" s="143"/>
    </row>
    <row r="32" spans="2:13 16384:16384" x14ac:dyDescent="0.2">
      <c r="B32" s="41" t="s">
        <v>608</v>
      </c>
      <c r="C32" s="38">
        <f>AFS!B118+AFS!B120</f>
        <v>0.6</v>
      </c>
      <c r="D32" s="38">
        <f>AFS!C118+AFS!C120</f>
        <v>0.65</v>
      </c>
      <c r="E32" s="38">
        <f>AFS!D118+AFS!D120</f>
        <v>0.8</v>
      </c>
      <c r="F32" s="38">
        <f>AFS!E118+AFS!E120</f>
        <v>2.65</v>
      </c>
      <c r="G32" s="38">
        <f>AFS!F118+AFS!F120</f>
        <v>0.9</v>
      </c>
      <c r="H32" s="38">
        <f>AFS!G118+AFS!G120</f>
        <v>0.95</v>
      </c>
      <c r="I32" s="38">
        <f>AFS!H118+AFS!H120</f>
        <v>1</v>
      </c>
      <c r="J32" s="38">
        <f>AFS!I118+AFS!I120</f>
        <v>1.05</v>
      </c>
      <c r="K32" s="38">
        <f>AFS!J118+AFS!J120</f>
        <v>1.1000000000000001</v>
      </c>
      <c r="L32" s="38">
        <f>AFS!K118+AFS!K120</f>
        <v>1.1499999999999999</v>
      </c>
    </row>
    <row r="33" spans="2:14" x14ac:dyDescent="0.2">
      <c r="B33" s="41" t="s">
        <v>609</v>
      </c>
      <c r="C33" s="138">
        <f t="shared" ref="C33:L33" si="11">C27-C28</f>
        <v>100.41999999999997</v>
      </c>
      <c r="D33" s="138">
        <f t="shared" si="11"/>
        <v>112.35999999999996</v>
      </c>
      <c r="E33" s="138">
        <f t="shared" si="11"/>
        <v>139.88</v>
      </c>
      <c r="F33" s="138">
        <f t="shared" si="11"/>
        <v>158.13000000000008</v>
      </c>
      <c r="G33" s="138">
        <f t="shared" si="11"/>
        <v>175.75</v>
      </c>
      <c r="H33" s="138">
        <f t="shared" si="11"/>
        <v>247.87</v>
      </c>
      <c r="I33" s="138">
        <f t="shared" si="11"/>
        <v>310.97000000000014</v>
      </c>
      <c r="J33" s="138">
        <f t="shared" si="11"/>
        <v>240.92000000000019</v>
      </c>
      <c r="K33" s="138">
        <f t="shared" si="11"/>
        <v>159.85000000000002</v>
      </c>
      <c r="L33" s="138">
        <f t="shared" si="11"/>
        <v>188.10000000000008</v>
      </c>
    </row>
    <row r="34" spans="2:14" x14ac:dyDescent="0.2">
      <c r="B34" s="41"/>
      <c r="C34" s="138"/>
      <c r="D34" s="138"/>
      <c r="E34" s="138"/>
      <c r="F34" s="138"/>
      <c r="G34" s="138"/>
      <c r="H34" s="138"/>
      <c r="I34" s="138"/>
      <c r="J34" s="138"/>
      <c r="K34" s="138"/>
      <c r="L34" s="138"/>
    </row>
    <row r="35" spans="2:14" x14ac:dyDescent="0.2">
      <c r="B35" s="41"/>
      <c r="C35" s="138"/>
      <c r="D35" s="138"/>
      <c r="E35" s="138"/>
      <c r="F35" s="138"/>
      <c r="G35" s="138"/>
      <c r="H35" s="138"/>
      <c r="I35" s="138"/>
      <c r="J35" s="138"/>
      <c r="K35" s="138"/>
      <c r="L35" s="138"/>
    </row>
    <row r="36" spans="2:14" x14ac:dyDescent="0.2">
      <c r="B36" s="144" t="s">
        <v>588</v>
      </c>
      <c r="C36" s="145"/>
      <c r="D36" s="145"/>
      <c r="E36" s="145"/>
      <c r="F36" s="145"/>
      <c r="G36" s="145"/>
      <c r="H36" s="145"/>
      <c r="I36" s="145"/>
      <c r="J36" s="145"/>
      <c r="K36" s="145"/>
      <c r="L36" s="145"/>
      <c r="M36" s="133"/>
      <c r="N36" s="133"/>
    </row>
    <row r="37" spans="2:14" x14ac:dyDescent="0.2">
      <c r="B37" s="146"/>
      <c r="C37" s="147"/>
      <c r="D37" s="147"/>
      <c r="E37" s="147"/>
      <c r="F37" s="147"/>
      <c r="G37" s="147"/>
      <c r="H37" s="147"/>
      <c r="I37" s="147"/>
      <c r="J37" s="147"/>
      <c r="K37" s="147"/>
      <c r="L37" s="147"/>
      <c r="M37" s="133"/>
      <c r="N37" s="133"/>
    </row>
    <row r="38" spans="2:14" x14ac:dyDescent="0.2">
      <c r="B38" s="174" t="s">
        <v>484</v>
      </c>
      <c r="C38" s="148">
        <f>'AFS3'!B3</f>
        <v>499.18099999999998</v>
      </c>
      <c r="D38" s="148">
        <f>'AFS3'!C3</f>
        <v>569.31200000000001</v>
      </c>
      <c r="E38" s="148">
        <f>'AFS3'!D3</f>
        <v>637.48699999999997</v>
      </c>
      <c r="F38" s="148">
        <f>'AFS3'!E3</f>
        <v>669.197</v>
      </c>
      <c r="G38" s="148">
        <f>'AFS3'!F3</f>
        <v>706.31899999999996</v>
      </c>
      <c r="H38" s="148">
        <f>'AFS3'!G3</f>
        <v>881.30499999999995</v>
      </c>
      <c r="I38" s="148">
        <f>'AFS3'!H3</f>
        <v>1237.654</v>
      </c>
      <c r="J38" s="148">
        <f>'AFS3'!I3</f>
        <v>1361.1379999999999</v>
      </c>
      <c r="K38" s="148">
        <f>'AFS3'!J3</f>
        <v>1148.21</v>
      </c>
      <c r="L38" s="148">
        <f>'AFS3'!K3</f>
        <v>1185.4269999999999</v>
      </c>
      <c r="M38" s="134"/>
      <c r="N38" s="134"/>
    </row>
    <row r="39" spans="2:14" x14ac:dyDescent="0.2">
      <c r="B39" s="173" t="s">
        <v>590</v>
      </c>
      <c r="C39" s="175" t="s">
        <v>610</v>
      </c>
      <c r="D39" s="175">
        <f>D38/C38-1</f>
        <v>0.14049212610255601</v>
      </c>
      <c r="E39" s="149">
        <f>E38/D38-1</f>
        <v>0.1197498032713169</v>
      </c>
      <c r="F39" s="149">
        <f t="shared" ref="F39:L39" si="12">F38/E38-1</f>
        <v>4.9742190821146171E-2</v>
      </c>
      <c r="G39" s="149">
        <f t="shared" si="12"/>
        <v>5.5472454299705376E-2</v>
      </c>
      <c r="H39" s="149">
        <f t="shared" si="12"/>
        <v>0.24774358328177493</v>
      </c>
      <c r="I39" s="149">
        <f t="shared" si="12"/>
        <v>0.40434242401892662</v>
      </c>
      <c r="J39" s="149">
        <f t="shared" si="12"/>
        <v>9.9772634354997392E-2</v>
      </c>
      <c r="K39" s="149">
        <f t="shared" si="12"/>
        <v>-0.1564338075933519</v>
      </c>
      <c r="L39" s="149">
        <f t="shared" si="12"/>
        <v>3.2413060328685406E-2</v>
      </c>
    </row>
    <row r="40" spans="2:14" x14ac:dyDescent="0.2">
      <c r="B40" s="41"/>
      <c r="C40" s="147"/>
      <c r="D40" s="147"/>
      <c r="E40" s="147"/>
      <c r="F40" s="147"/>
      <c r="G40" s="147"/>
      <c r="H40" s="147"/>
      <c r="I40" s="147"/>
      <c r="J40" s="147"/>
      <c r="K40" s="147"/>
      <c r="L40" s="147"/>
    </row>
    <row r="41" spans="2:14" x14ac:dyDescent="0.2">
      <c r="B41" s="41" t="s">
        <v>611</v>
      </c>
      <c r="C41" s="150">
        <f>-'AFS3'!B5</f>
        <v>-132.69</v>
      </c>
      <c r="D41" s="150">
        <f>-'AFS3'!C5</f>
        <v>-154.02199999999999</v>
      </c>
      <c r="E41" s="150">
        <f>-'AFS3'!D5</f>
        <v>-179.24299999999999</v>
      </c>
      <c r="F41" s="150">
        <f>-'AFS3'!E5</f>
        <v>-189.58099999999999</v>
      </c>
      <c r="G41" s="150">
        <f>-'AFS3'!F5</f>
        <v>-191.387</v>
      </c>
      <c r="H41" s="150">
        <f>-'AFS3'!G5</f>
        <v>-240.119</v>
      </c>
      <c r="I41" s="150">
        <f>-'AFS3'!H5</f>
        <v>-372.18099999999998</v>
      </c>
      <c r="J41" s="150">
        <f>-'AFS3'!I5</f>
        <v>-415.28800000000001</v>
      </c>
      <c r="K41" s="150">
        <f>-'AFS3'!J5</f>
        <v>-364.101</v>
      </c>
      <c r="L41" s="150">
        <f>-'AFS3'!K5</f>
        <v>-348.86799999999999</v>
      </c>
    </row>
    <row r="42" spans="2:14" x14ac:dyDescent="0.2">
      <c r="B42" s="41" t="s">
        <v>612</v>
      </c>
      <c r="C42" s="150">
        <f>-('AFS3'!B13+'AFS3'!B10)</f>
        <v>-177.142</v>
      </c>
      <c r="D42" s="150">
        <f>-('AFS3'!C13+'AFS3'!C10)</f>
        <v>-194.904</v>
      </c>
      <c r="E42" s="150">
        <f>-('AFS3'!D13+'AFS3'!D10)</f>
        <v>-214.20500000000001</v>
      </c>
      <c r="F42" s="150">
        <f>-('AFS3'!E13+'AFS3'!E10)</f>
        <v>-225.68899999999999</v>
      </c>
      <c r="G42" s="150">
        <f>-('AFS3'!F13+'AFS3'!F10)</f>
        <v>-235.833</v>
      </c>
      <c r="H42" s="150">
        <f>-('AFS3'!G13+'AFS3'!G10)</f>
        <v>-249.29499999999999</v>
      </c>
      <c r="I42" s="150">
        <f>-('AFS3'!H13+'AFS3'!H10)</f>
        <v>-337.53399999999999</v>
      </c>
      <c r="J42" s="150">
        <f>-('AFS3'!I13+'AFS3'!I10)</f>
        <v>-444.28999999999996</v>
      </c>
      <c r="K42" s="150">
        <f>-('AFS3'!J13+'AFS3'!J10)</f>
        <v>-433.29500000000002</v>
      </c>
      <c r="L42" s="150">
        <f>-('AFS3'!K13+'AFS3'!K10)</f>
        <v>-429.86599999999999</v>
      </c>
    </row>
    <row r="43" spans="2:14" x14ac:dyDescent="0.2">
      <c r="B43" s="174" t="s">
        <v>435</v>
      </c>
      <c r="C43" s="151">
        <f>SUM(C38,C41,C42)</f>
        <v>189.34899999999999</v>
      </c>
      <c r="D43" s="151">
        <f>SUM(D38,D41,D42)</f>
        <v>220.38600000000002</v>
      </c>
      <c r="E43" s="151">
        <f t="shared" ref="E43:L43" si="13">SUM(E38,E41,E42)</f>
        <v>244.03899999999996</v>
      </c>
      <c r="F43" s="151">
        <f t="shared" si="13"/>
        <v>253.92699999999999</v>
      </c>
      <c r="G43" s="151">
        <f t="shared" si="13"/>
        <v>279.09900000000005</v>
      </c>
      <c r="H43" s="151">
        <f t="shared" si="13"/>
        <v>391.89099999999996</v>
      </c>
      <c r="I43" s="151">
        <f t="shared" si="13"/>
        <v>527.93899999999996</v>
      </c>
      <c r="J43" s="151">
        <f t="shared" si="13"/>
        <v>501.55999999999995</v>
      </c>
      <c r="K43" s="151">
        <f t="shared" si="13"/>
        <v>350.81400000000002</v>
      </c>
      <c r="L43" s="151">
        <f t="shared" si="13"/>
        <v>406.69299999999998</v>
      </c>
      <c r="M43" s="50"/>
    </row>
    <row r="44" spans="2:14" x14ac:dyDescent="0.2">
      <c r="B44" s="173" t="s">
        <v>596</v>
      </c>
      <c r="C44" s="149">
        <f>C43/C38</f>
        <v>0.37931932505443916</v>
      </c>
      <c r="D44" s="149">
        <f t="shared" ref="D44:L44" si="14">D43/D38</f>
        <v>0.38710935304367378</v>
      </c>
      <c r="E44" s="149">
        <f t="shared" si="14"/>
        <v>0.38281408091459118</v>
      </c>
      <c r="F44" s="149">
        <f t="shared" si="14"/>
        <v>0.37945029640001371</v>
      </c>
      <c r="G44" s="149">
        <f t="shared" si="14"/>
        <v>0.39514581938189408</v>
      </c>
      <c r="H44" s="149">
        <f t="shared" si="14"/>
        <v>0.44467125455999906</v>
      </c>
      <c r="I44" s="149">
        <f t="shared" si="14"/>
        <v>0.42656429018126224</v>
      </c>
      <c r="J44" s="149">
        <f t="shared" si="14"/>
        <v>0.36848578175027069</v>
      </c>
      <c r="K44" s="149">
        <f t="shared" si="14"/>
        <v>0.30553121815695738</v>
      </c>
      <c r="L44" s="149">
        <f t="shared" si="14"/>
        <v>0.3430772202759006</v>
      </c>
    </row>
    <row r="45" spans="2:14" x14ac:dyDescent="0.2">
      <c r="B45" s="41"/>
      <c r="C45" s="147"/>
      <c r="D45" s="147"/>
      <c r="E45" s="147"/>
      <c r="F45" s="147"/>
      <c r="G45" s="147"/>
      <c r="H45" s="147"/>
      <c r="I45" s="147"/>
      <c r="J45" s="147"/>
      <c r="K45" s="147"/>
      <c r="L45" s="147"/>
    </row>
    <row r="46" spans="2:14" x14ac:dyDescent="0.2">
      <c r="B46" s="41" t="s">
        <v>613</v>
      </c>
      <c r="C46" s="150">
        <f>-'AFS3'!B7</f>
        <v>-24.875</v>
      </c>
      <c r="D46" s="150">
        <f>-'AFS3'!C7</f>
        <v>-27.140999999999998</v>
      </c>
      <c r="E46" s="150">
        <f>-'AFS3'!D7</f>
        <v>-29.666</v>
      </c>
      <c r="F46" s="150">
        <f>-'AFS3'!E7</f>
        <v>-28.530999999999999</v>
      </c>
      <c r="G46" s="150">
        <f>-'AFS3'!F7</f>
        <v>-35.131999999999998</v>
      </c>
      <c r="H46" s="150">
        <f>-'AFS3'!G7</f>
        <v>-33.558</v>
      </c>
      <c r="I46" s="150">
        <f>-'AFS3'!H7</f>
        <v>-47.131</v>
      </c>
      <c r="J46" s="150">
        <f>-'AFS3'!I7</f>
        <v>-60.404000000000003</v>
      </c>
      <c r="K46" s="150">
        <f>-'AFS3'!J7</f>
        <v>-61.829000000000001</v>
      </c>
      <c r="L46" s="150">
        <f>-'AFS3'!K7</f>
        <v>-53.871000000000002</v>
      </c>
    </row>
    <row r="47" spans="2:14" x14ac:dyDescent="0.2">
      <c r="B47" s="41" t="s">
        <v>614</v>
      </c>
      <c r="C47" s="150">
        <f>-'AFS3'!B8</f>
        <v>-8.109</v>
      </c>
      <c r="D47" s="150">
        <f>-'AFS3'!C8</f>
        <v>-17.565999999999999</v>
      </c>
      <c r="E47" s="150">
        <f>-'AFS3'!D8</f>
        <v>-16.184999999999999</v>
      </c>
      <c r="F47" s="150">
        <f>-'AFS3'!E8</f>
        <v>-16.844000000000001</v>
      </c>
      <c r="G47" s="150">
        <f>-'AFS3'!F8</f>
        <v>-17.643999999999998</v>
      </c>
      <c r="H47" s="150">
        <f>-'AFS3'!G8</f>
        <v>-25.254999999999999</v>
      </c>
      <c r="I47" s="150">
        <f>-'AFS3'!H8</f>
        <v>-36.274999999999999</v>
      </c>
      <c r="J47" s="150">
        <f>-'AFS3'!I8</f>
        <v>-58.94</v>
      </c>
      <c r="K47" s="150">
        <f>-'AFS3'!J8</f>
        <v>-53.197000000000003</v>
      </c>
      <c r="L47" s="150">
        <f>-'AFS3'!K8</f>
        <v>-75.17</v>
      </c>
    </row>
    <row r="48" spans="2:14" x14ac:dyDescent="0.2">
      <c r="B48" s="174" t="s">
        <v>442</v>
      </c>
      <c r="C48" s="151">
        <f>SUM(C43,C46,C47)</f>
        <v>156.36499999999998</v>
      </c>
      <c r="D48" s="151">
        <f>SUM(D43,D46,D47)</f>
        <v>175.67900000000003</v>
      </c>
      <c r="E48" s="151">
        <f t="shared" ref="E48:L48" si="15">SUM(E43,E46,E47)</f>
        <v>198.18799999999996</v>
      </c>
      <c r="F48" s="151">
        <f t="shared" si="15"/>
        <v>208.55199999999999</v>
      </c>
      <c r="G48" s="151">
        <f t="shared" si="15"/>
        <v>226.32300000000004</v>
      </c>
      <c r="H48" s="151">
        <f t="shared" si="15"/>
        <v>333.07799999999997</v>
      </c>
      <c r="I48" s="151">
        <f t="shared" si="15"/>
        <v>444.53300000000002</v>
      </c>
      <c r="J48" s="151">
        <f t="shared" si="15"/>
        <v>382.21599999999995</v>
      </c>
      <c r="K48" s="151">
        <f t="shared" si="15"/>
        <v>235.78800000000001</v>
      </c>
      <c r="L48" s="151">
        <f t="shared" si="15"/>
        <v>277.65199999999999</v>
      </c>
    </row>
    <row r="49" spans="2:13" x14ac:dyDescent="0.2">
      <c r="B49" s="173" t="s">
        <v>596</v>
      </c>
      <c r="C49" s="149">
        <f>C48/C38</f>
        <v>0.31324309218499902</v>
      </c>
      <c r="D49" s="149">
        <f t="shared" ref="D49:L49" si="16">D48/D38</f>
        <v>0.3085812348940476</v>
      </c>
      <c r="E49" s="149">
        <f t="shared" si="16"/>
        <v>0.31088947696188307</v>
      </c>
      <c r="F49" s="149">
        <f t="shared" si="16"/>
        <v>0.31164515083002464</v>
      </c>
      <c r="G49" s="149">
        <f t="shared" si="16"/>
        <v>0.32042603979221862</v>
      </c>
      <c r="H49" s="149">
        <f t="shared" si="16"/>
        <v>0.37793726348993822</v>
      </c>
      <c r="I49" s="149">
        <f t="shared" si="16"/>
        <v>0.35917388866355221</v>
      </c>
      <c r="J49" s="149">
        <f t="shared" si="16"/>
        <v>0.28080620774675308</v>
      </c>
      <c r="K49" s="149">
        <f t="shared" si="16"/>
        <v>0.20535267938791685</v>
      </c>
      <c r="L49" s="149">
        <f t="shared" si="16"/>
        <v>0.23422108657892896</v>
      </c>
    </row>
    <row r="50" spans="2:13" x14ac:dyDescent="0.2">
      <c r="B50" s="41"/>
      <c r="C50" s="149"/>
      <c r="D50" s="149"/>
      <c r="E50" s="149"/>
      <c r="F50" s="149"/>
      <c r="G50" s="149"/>
      <c r="H50" s="149"/>
      <c r="I50" s="149"/>
      <c r="J50" s="149"/>
      <c r="K50" s="149"/>
      <c r="L50" s="149"/>
    </row>
    <row r="51" spans="2:13" x14ac:dyDescent="0.2">
      <c r="B51" s="192" t="s">
        <v>615</v>
      </c>
      <c r="C51" s="193">
        <f>'AFS3'!B17</f>
        <v>-3.22</v>
      </c>
      <c r="D51" s="147">
        <f>'AFS3'!C17</f>
        <v>0.53200000000000003</v>
      </c>
      <c r="E51" s="147">
        <f>'AFS3'!D17</f>
        <v>-4.1459999999999999</v>
      </c>
      <c r="F51" s="147">
        <f>'AFS3'!E17</f>
        <v>0.46800000000000003</v>
      </c>
      <c r="G51" s="147">
        <f>'AFS3'!F17</f>
        <v>-4.1749999999999998</v>
      </c>
      <c r="H51" s="147">
        <f>'AFS3'!G17</f>
        <v>-4.3959999999999999</v>
      </c>
      <c r="I51" s="147">
        <f>'AFS3'!H17</f>
        <v>-1.766</v>
      </c>
      <c r="J51" s="147">
        <f>'AFS3'!I17</f>
        <v>-7.4320000000000004</v>
      </c>
      <c r="K51" s="147">
        <f>'AFS3'!J17</f>
        <v>-7.3209999999999997</v>
      </c>
      <c r="L51" s="147">
        <f>'AFS3'!K17</f>
        <v>-14.097</v>
      </c>
    </row>
    <row r="52" spans="2:13" x14ac:dyDescent="0.2">
      <c r="B52" s="41" t="s">
        <v>598</v>
      </c>
      <c r="C52" s="150">
        <f>('AFS3'!B16)</f>
        <v>1.778</v>
      </c>
      <c r="D52" s="150">
        <f>('AFS3'!C16)</f>
        <v>1.071</v>
      </c>
      <c r="E52" s="150">
        <f>-(-'AFS3'!D16)</f>
        <v>1.2230000000000001</v>
      </c>
      <c r="F52" s="150">
        <f>-(-'AFS3'!E16)</f>
        <v>1.5149999999999999</v>
      </c>
      <c r="G52" s="150">
        <f>-(-'AFS3'!F16)</f>
        <v>2.8330000000000002</v>
      </c>
      <c r="H52" s="150">
        <f>-(-'AFS3'!G16)</f>
        <v>2.0049999999999999</v>
      </c>
      <c r="I52" s="150">
        <f>-(-'AFS3'!H16)</f>
        <v>0.28399999999999997</v>
      </c>
      <c r="J52" s="150">
        <f>-(-'AFS3'!I16)</f>
        <v>5.6079999999999997</v>
      </c>
      <c r="K52" s="150">
        <f>-(-'AFS3'!J16)</f>
        <v>13.930999999999999</v>
      </c>
      <c r="L52" s="150">
        <f>-(-'AFS3'!K16)</f>
        <v>12.923999999999999</v>
      </c>
    </row>
    <row r="53" spans="2:13" x14ac:dyDescent="0.2">
      <c r="B53" s="41" t="s">
        <v>194</v>
      </c>
      <c r="C53" s="150">
        <f>-'AFS3'!B18</f>
        <v>-2.282</v>
      </c>
      <c r="D53" s="150">
        <f>-'AFS3'!C18</f>
        <v>-3.105</v>
      </c>
      <c r="E53" s="150">
        <f>-'AFS3'!D18</f>
        <v>-4.133</v>
      </c>
      <c r="F53" s="150">
        <f>-'AFS3'!E18</f>
        <v>-4.3179999999999996</v>
      </c>
      <c r="G53" s="150">
        <f>-'AFS3'!F18</f>
        <v>-3.964</v>
      </c>
      <c r="H53" s="150">
        <f>-'AFS3'!G18</f>
        <v>-3.4289999999999998</v>
      </c>
      <c r="I53" s="150">
        <f>-'AFS3'!H18</f>
        <v>-21.814</v>
      </c>
      <c r="J53" s="150">
        <f>-'AFS3'!I18</f>
        <v>-34.427</v>
      </c>
      <c r="K53" s="150">
        <f>-'AFS3'!J18</f>
        <v>-29.367999999999999</v>
      </c>
      <c r="L53" s="150">
        <f>-'AFS3'!K18</f>
        <v>-27.64</v>
      </c>
    </row>
    <row r="54" spans="2:13" x14ac:dyDescent="0.2">
      <c r="B54" s="41" t="s">
        <v>616</v>
      </c>
      <c r="C54" s="150">
        <f>'AFS3'!B34</f>
        <v>-0.43099999999999999</v>
      </c>
      <c r="D54" s="150">
        <f>'AFS3'!C34</f>
        <v>-0.55500000000000005</v>
      </c>
      <c r="E54" s="150">
        <f>'AFS3'!D34</f>
        <v>-0.40400000000000003</v>
      </c>
      <c r="F54" s="150">
        <f>'AFS3'!E34</f>
        <v>-0.14299999999999999</v>
      </c>
      <c r="G54" s="150">
        <f>'AFS3'!F34</f>
        <v>-0.115</v>
      </c>
      <c r="H54" s="150">
        <f>'AFS3'!G34</f>
        <v>0</v>
      </c>
      <c r="I54" s="150">
        <f>'AFS3'!H34</f>
        <v>0</v>
      </c>
      <c r="J54" s="150">
        <f>'AFS3'!I34</f>
        <v>0</v>
      </c>
      <c r="K54" s="150">
        <f>'AFS3'!J34</f>
        <v>0</v>
      </c>
      <c r="L54" s="150">
        <f>'AFS3'!K34</f>
        <v>0</v>
      </c>
    </row>
    <row r="55" spans="2:13" x14ac:dyDescent="0.2">
      <c r="B55" s="192" t="s">
        <v>617</v>
      </c>
      <c r="C55" s="190">
        <f>-'AFS3'!B20</f>
        <v>-2.1080000000000001</v>
      </c>
      <c r="D55" s="150">
        <f>-'AFS3'!C20</f>
        <v>-5.4260000000000002</v>
      </c>
      <c r="E55" s="150">
        <f>-'AFS3'!D20</f>
        <v>-12.022</v>
      </c>
      <c r="F55" s="150">
        <f>-'AFS3'!E20</f>
        <v>-1.7090000000000001</v>
      </c>
      <c r="G55" s="150">
        <f>-'AFS3'!F20</f>
        <v>-4.6150000000000002</v>
      </c>
      <c r="H55" s="150">
        <f>-'AFS3'!G20</f>
        <v>-5.8849999999999998</v>
      </c>
      <c r="I55" s="150">
        <f>-'AFS3'!H20</f>
        <v>-21.902000000000001</v>
      </c>
      <c r="J55" s="150">
        <f>-'AFS3'!I20</f>
        <v>-20.024999999999999</v>
      </c>
      <c r="K55" s="150">
        <f>-'AFS3'!J20</f>
        <v>-11.814</v>
      </c>
      <c r="L55" s="150">
        <f>-'AFS3'!K20</f>
        <v>-6.391</v>
      </c>
    </row>
    <row r="56" spans="2:13" hidden="1" x14ac:dyDescent="0.2">
      <c r="B56" s="41" t="s">
        <v>618</v>
      </c>
      <c r="C56" s="150"/>
      <c r="D56" s="150"/>
      <c r="E56" s="150"/>
      <c r="F56" s="150"/>
      <c r="G56" s="150"/>
      <c r="H56" s="150"/>
      <c r="I56" s="150"/>
      <c r="J56" s="150"/>
      <c r="K56" s="150"/>
      <c r="L56" s="150"/>
    </row>
    <row r="57" spans="2:13" hidden="1" x14ac:dyDescent="0.2">
      <c r="B57" s="41" t="s">
        <v>619</v>
      </c>
      <c r="C57" s="150"/>
      <c r="D57" s="150"/>
      <c r="E57" s="150"/>
      <c r="F57" s="150"/>
      <c r="G57" s="150"/>
      <c r="H57" s="150"/>
      <c r="I57" s="150"/>
      <c r="J57" s="150"/>
      <c r="K57" s="150"/>
      <c r="L57" s="150"/>
    </row>
    <row r="58" spans="2:13" x14ac:dyDescent="0.2">
      <c r="B58" s="174" t="s">
        <v>603</v>
      </c>
      <c r="C58" s="151">
        <f>SUM(C48,C51:C55)</f>
        <v>150.10199999999995</v>
      </c>
      <c r="D58" s="151">
        <f t="shared" ref="D58:L58" si="17">SUM(D48,D51:D55)</f>
        <v>168.19600000000005</v>
      </c>
      <c r="E58" s="151">
        <f t="shared" si="17"/>
        <v>178.70599999999999</v>
      </c>
      <c r="F58" s="151">
        <f t="shared" si="17"/>
        <v>204.36499999999995</v>
      </c>
      <c r="G58" s="151">
        <f t="shared" si="17"/>
        <v>216.28700000000001</v>
      </c>
      <c r="H58" s="151">
        <f t="shared" si="17"/>
        <v>321.37299999999999</v>
      </c>
      <c r="I58" s="151">
        <f t="shared" si="17"/>
        <v>399.33499999999998</v>
      </c>
      <c r="J58" s="151">
        <f t="shared" si="17"/>
        <v>325.93999999999994</v>
      </c>
      <c r="K58" s="151">
        <f t="shared" si="17"/>
        <v>201.21600000000004</v>
      </c>
      <c r="L58" s="151">
        <f t="shared" si="17"/>
        <v>242.44800000000001</v>
      </c>
    </row>
    <row r="59" spans="2:13" x14ac:dyDescent="0.2">
      <c r="B59" s="41"/>
      <c r="C59" s="41"/>
      <c r="D59" s="150"/>
      <c r="E59" s="150"/>
      <c r="F59" s="150"/>
      <c r="G59" s="150"/>
      <c r="H59" s="150"/>
      <c r="I59" s="150"/>
      <c r="J59" s="150"/>
      <c r="K59" s="150"/>
      <c r="L59" s="150"/>
    </row>
    <row r="60" spans="2:13" x14ac:dyDescent="0.2">
      <c r="B60" s="41" t="s">
        <v>620</v>
      </c>
      <c r="C60" s="150">
        <f>-'AFS3'!B31</f>
        <v>-49.554000000000002</v>
      </c>
      <c r="D60" s="150">
        <f>-'AFS3'!C31</f>
        <v>-55.578000000000003</v>
      </c>
      <c r="E60" s="150">
        <f>-'AFS3'!D31</f>
        <v>-38.828000000000003</v>
      </c>
      <c r="F60" s="150">
        <f>-'AFS3'!E31</f>
        <v>-46.234999999999999</v>
      </c>
      <c r="G60" s="150">
        <f>-'AFS3'!F31</f>
        <v>-40.552</v>
      </c>
      <c r="H60" s="150">
        <f>-'AFS3'!G31</f>
        <v>-73.076999999999998</v>
      </c>
      <c r="I60" s="150">
        <f>-'AFS3'!H31</f>
        <v>-88.602999999999994</v>
      </c>
      <c r="J60" s="150">
        <f>-'AFS3'!I31</f>
        <v>-85.83</v>
      </c>
      <c r="K60" s="150">
        <f>-'AFS3'!J31</f>
        <v>-42.707999999999998</v>
      </c>
      <c r="L60" s="150">
        <f>-'AFS3'!K31</f>
        <v>-55.390999999999998</v>
      </c>
    </row>
    <row r="61" spans="2:13" x14ac:dyDescent="0.2">
      <c r="B61" s="41" t="s">
        <v>621</v>
      </c>
      <c r="C61" s="150">
        <f>-'AFS3'!B36</f>
        <v>-0.128</v>
      </c>
      <c r="D61" s="150">
        <f>-'AFS3'!C36</f>
        <v>-0.23499999999999999</v>
      </c>
      <c r="E61" s="150">
        <f>-'AFS3'!D36</f>
        <v>0</v>
      </c>
      <c r="F61" s="150">
        <f>-'AFS3'!E36</f>
        <v>-2E-3</v>
      </c>
      <c r="G61" s="150">
        <f>-'AFS3'!F36</f>
        <v>0</v>
      </c>
      <c r="H61" s="150">
        <f>-'AFS3'!G36</f>
        <v>-0.42499999999999999</v>
      </c>
      <c r="I61" s="150">
        <f>-'AFS3'!H36</f>
        <v>0.23599999999999999</v>
      </c>
      <c r="J61" s="150">
        <f>-'AFS3'!I36</f>
        <v>0.79700000000000004</v>
      </c>
      <c r="K61" s="150">
        <f>-'AFS3'!J36</f>
        <v>1.341</v>
      </c>
      <c r="L61" s="150">
        <f>-'AFS3'!K36</f>
        <v>1.048</v>
      </c>
      <c r="M61" s="37"/>
    </row>
    <row r="62" spans="2:13" x14ac:dyDescent="0.2">
      <c r="B62" s="152" t="s">
        <v>622</v>
      </c>
      <c r="C62" s="152">
        <f t="shared" ref="C62:L62" si="18">SUM(C58:C61)</f>
        <v>100.41999999999994</v>
      </c>
      <c r="D62" s="189">
        <f t="shared" si="18"/>
        <v>112.38300000000005</v>
      </c>
      <c r="E62" s="152">
        <f t="shared" si="18"/>
        <v>139.87799999999999</v>
      </c>
      <c r="F62" s="152">
        <f t="shared" si="18"/>
        <v>158.12799999999993</v>
      </c>
      <c r="G62" s="152">
        <f t="shared" si="18"/>
        <v>175.73500000000001</v>
      </c>
      <c r="H62" s="152">
        <f t="shared" si="18"/>
        <v>247.87099999999998</v>
      </c>
      <c r="I62" s="152">
        <f t="shared" si="18"/>
        <v>310.96799999999996</v>
      </c>
      <c r="J62" s="152">
        <f t="shared" si="18"/>
        <v>240.90699999999995</v>
      </c>
      <c r="K62" s="152">
        <f t="shared" si="18"/>
        <v>159.84900000000005</v>
      </c>
      <c r="L62" s="152">
        <f t="shared" si="18"/>
        <v>188.10500000000002</v>
      </c>
      <c r="M62" s="37"/>
    </row>
    <row r="63" spans="2:13" x14ac:dyDescent="0.2">
      <c r="B63" s="173" t="s">
        <v>596</v>
      </c>
      <c r="C63" s="149">
        <f t="shared" ref="C63:L63" si="19">C62/C38</f>
        <v>0.20116951566666189</v>
      </c>
      <c r="D63" s="149">
        <f t="shared" si="19"/>
        <v>0.19740142487774726</v>
      </c>
      <c r="E63" s="149">
        <f t="shared" si="19"/>
        <v>0.2194209450545658</v>
      </c>
      <c r="F63" s="149">
        <f t="shared" si="19"/>
        <v>0.23629514178933847</v>
      </c>
      <c r="G63" s="149">
        <f t="shared" si="19"/>
        <v>0.24880401065241062</v>
      </c>
      <c r="H63" s="149">
        <f t="shared" si="19"/>
        <v>0.28125450326504442</v>
      </c>
      <c r="I63" s="149">
        <f t="shared" si="19"/>
        <v>0.25125600531327813</v>
      </c>
      <c r="J63" s="149">
        <f t="shared" si="19"/>
        <v>0.17698940151549658</v>
      </c>
      <c r="K63" s="149">
        <f t="shared" si="19"/>
        <v>0.13921582288954115</v>
      </c>
      <c r="L63" s="149">
        <f t="shared" si="19"/>
        <v>0.15868121782277614</v>
      </c>
    </row>
    <row r="64" spans="2:13" x14ac:dyDescent="0.2">
      <c r="B64" s="41"/>
      <c r="C64" s="150"/>
      <c r="D64" s="150"/>
      <c r="E64" s="150"/>
      <c r="F64" s="150"/>
      <c r="G64" s="150"/>
      <c r="H64" s="150"/>
      <c r="I64" s="150"/>
      <c r="J64" s="150"/>
      <c r="K64" s="150"/>
      <c r="L64" s="150"/>
    </row>
    <row r="65" spans="1:13" x14ac:dyDescent="0.2">
      <c r="B65" s="41" t="s">
        <v>608</v>
      </c>
      <c r="C65" s="150">
        <f>'AFS3'!B48</f>
        <v>0.65</v>
      </c>
      <c r="D65" s="190">
        <f>'AFS3'!C48</f>
        <v>0.8</v>
      </c>
      <c r="E65" s="150">
        <f>'AFS3'!D48</f>
        <v>0.85</v>
      </c>
      <c r="F65" s="150">
        <f>'AFS3'!E48</f>
        <v>0.9</v>
      </c>
      <c r="G65" s="150">
        <f>'AFS3'!F48</f>
        <v>0.95</v>
      </c>
      <c r="H65" s="150">
        <f>'AFS3'!G48</f>
        <v>1</v>
      </c>
      <c r="I65" s="150">
        <f>'AFS3'!H48</f>
        <v>1.05</v>
      </c>
      <c r="J65" s="150">
        <f>'AFS3'!I48</f>
        <v>1.1000000000000001</v>
      </c>
      <c r="K65" s="150">
        <f>'AFS3'!J48</f>
        <v>1.1499999999999999</v>
      </c>
      <c r="L65" s="150">
        <f>'AFS3'!K48</f>
        <v>1.2</v>
      </c>
    </row>
    <row r="66" spans="1:13" x14ac:dyDescent="0.2">
      <c r="A66" s="40"/>
      <c r="B66" s="41" t="s">
        <v>609</v>
      </c>
      <c r="C66" s="153">
        <f>C65/C62</f>
        <v>6.4728141804421468E-3</v>
      </c>
      <c r="D66" s="153">
        <f t="shared" ref="D66:L66" si="20">D65/D62</f>
        <v>7.118514366051802E-3</v>
      </c>
      <c r="E66" s="153">
        <f t="shared" si="20"/>
        <v>6.0767240023449007E-3</v>
      </c>
      <c r="F66" s="153">
        <f t="shared" si="20"/>
        <v>5.6915916219771349E-3</v>
      </c>
      <c r="G66" s="153">
        <f t="shared" si="20"/>
        <v>5.4058667880615696E-3</v>
      </c>
      <c r="H66" s="153">
        <f t="shared" si="20"/>
        <v>4.0343565806407371E-3</v>
      </c>
      <c r="I66" s="153">
        <f t="shared" si="20"/>
        <v>3.3765532144786605E-3</v>
      </c>
      <c r="J66" s="153">
        <f t="shared" si="20"/>
        <v>4.5660773659544985E-3</v>
      </c>
      <c r="K66" s="153">
        <f t="shared" si="20"/>
        <v>7.1942896108202091E-3</v>
      </c>
      <c r="L66" s="153">
        <f t="shared" si="20"/>
        <v>6.3794157518407262E-3</v>
      </c>
    </row>
    <row r="67" spans="1:13" x14ac:dyDescent="0.2">
      <c r="C67" s="138"/>
      <c r="D67" s="138"/>
      <c r="E67" s="138"/>
      <c r="F67" s="138"/>
      <c r="G67" s="138"/>
      <c r="H67" s="138"/>
      <c r="I67" s="138"/>
      <c r="J67" s="138"/>
      <c r="K67" s="138"/>
      <c r="L67" s="138"/>
    </row>
    <row r="68" spans="1:13" x14ac:dyDescent="0.2">
      <c r="B68" s="36" t="s">
        <v>623</v>
      </c>
      <c r="C68" s="154"/>
      <c r="D68" s="154"/>
      <c r="E68" s="154"/>
      <c r="F68" s="154"/>
      <c r="G68" s="154"/>
      <c r="H68" s="154"/>
      <c r="I68" s="154"/>
      <c r="J68" s="154"/>
      <c r="K68" s="154"/>
      <c r="L68" s="154"/>
    </row>
    <row r="69" spans="1:13" x14ac:dyDescent="0.2">
      <c r="C69" s="138"/>
      <c r="D69" s="138"/>
      <c r="E69" s="138"/>
      <c r="F69" s="138"/>
      <c r="G69" s="138"/>
      <c r="H69" s="138"/>
      <c r="I69" s="138"/>
      <c r="J69" s="138"/>
      <c r="K69" s="138"/>
      <c r="L69" s="138"/>
    </row>
    <row r="70" spans="1:13" x14ac:dyDescent="0.2">
      <c r="A70" s="40"/>
      <c r="B70" s="34" t="s">
        <v>624</v>
      </c>
      <c r="C70" s="138">
        <f>'AFS3'!B62+'AFS3'!B65</f>
        <v>105.60899999999999</v>
      </c>
      <c r="D70" s="138">
        <f>'AFS3'!C62+'AFS3'!C65</f>
        <v>120.261</v>
      </c>
      <c r="E70" s="138">
        <f>'AFS3'!D62+'AFS3'!D65</f>
        <v>147.24</v>
      </c>
      <c r="F70" s="138">
        <f>'AFS3'!E62+'AFS3'!E65</f>
        <v>136.244</v>
      </c>
      <c r="G70" s="138">
        <f>'AFS3'!F62+'AFS3'!F65</f>
        <v>140.5</v>
      </c>
      <c r="H70" s="138">
        <f>'AFS3'!G62+'AFS3'!G65</f>
        <v>166.68699999999998</v>
      </c>
      <c r="I70" s="138">
        <f>'AFS3'!H62+'AFS3'!H65</f>
        <v>226.249</v>
      </c>
      <c r="J70" s="138">
        <f>'AFS3'!I62+'AFS3'!I65</f>
        <v>241.35300000000001</v>
      </c>
      <c r="K70" s="138">
        <f>'AFS3'!J62+'AFS3'!J65</f>
        <v>228.71100000000001</v>
      </c>
      <c r="L70" s="138">
        <f>'AFS3'!K62+'AFS3'!K65</f>
        <v>204.11099999999999</v>
      </c>
      <c r="M70" s="138"/>
    </row>
    <row r="71" spans="1:13" x14ac:dyDescent="0.2">
      <c r="B71" s="34" t="s">
        <v>625</v>
      </c>
      <c r="C71" s="138">
        <f>-'AFS3'!B101</f>
        <v>-40.774999999999999</v>
      </c>
      <c r="D71" s="138">
        <f>-'AFS3'!C101</f>
        <v>-47.673999999999999</v>
      </c>
      <c r="E71" s="138">
        <f>-'AFS3'!D101</f>
        <v>-62.331000000000003</v>
      </c>
      <c r="F71" s="138">
        <f>-'AFS3'!E101</f>
        <v>-57.286000000000001</v>
      </c>
      <c r="G71" s="138">
        <f>-'AFS3'!F101</f>
        <v>-55.732999999999997</v>
      </c>
      <c r="H71" s="138">
        <f>-'AFS3'!G101</f>
        <v>-65.484999999999999</v>
      </c>
      <c r="I71" s="138">
        <f>-'AFS3'!H101</f>
        <v>-84.772999999999996</v>
      </c>
      <c r="J71" s="138">
        <f>-'AFS3'!I101</f>
        <v>-104.20399999999999</v>
      </c>
      <c r="K71" s="138">
        <f>-'AFS3'!J101</f>
        <v>-100.706</v>
      </c>
      <c r="L71" s="138">
        <f>-'AFS3'!K101</f>
        <v>-99.52</v>
      </c>
      <c r="M71" s="138"/>
    </row>
    <row r="72" spans="1:13" x14ac:dyDescent="0.2">
      <c r="B72" s="34" t="s">
        <v>626</v>
      </c>
      <c r="C72" s="138">
        <f>'AFS3'!B66</f>
        <v>106.193</v>
      </c>
      <c r="D72" s="138">
        <f>'AFS3'!C66</f>
        <v>128.87</v>
      </c>
      <c r="E72" s="138">
        <f>'AFS3'!D66</f>
        <v>142.80199999999999</v>
      </c>
      <c r="F72" s="138">
        <f>'AFS3'!E66</f>
        <v>160.39599999999999</v>
      </c>
      <c r="G72" s="138">
        <f>'AFS3'!F66</f>
        <v>171.12700000000001</v>
      </c>
      <c r="H72" s="138">
        <f>'AFS3'!G66</f>
        <v>191.23400000000001</v>
      </c>
      <c r="I72" s="138">
        <f>'AFS3'!H66</f>
        <v>298.04899999999998</v>
      </c>
      <c r="J72" s="138">
        <f>'AFS3'!I66</f>
        <v>306.50299999999999</v>
      </c>
      <c r="K72" s="138">
        <f>'AFS3'!J66</f>
        <v>315.5</v>
      </c>
      <c r="L72" s="138">
        <f>'AFS3'!K66</f>
        <v>344.04300000000001</v>
      </c>
      <c r="M72" s="138"/>
    </row>
    <row r="73" spans="1:13" x14ac:dyDescent="0.2">
      <c r="B73" s="34" t="s">
        <v>627</v>
      </c>
      <c r="C73" s="138">
        <f>'AFS3'!B70-'AFS3'!B103</f>
        <v>-20.808</v>
      </c>
      <c r="D73" s="138">
        <f>'AFS3'!C70-'AFS3'!C103</f>
        <v>-31.588000000000001</v>
      </c>
      <c r="E73" s="138">
        <f>'AFS3'!D70-'AFS3'!D103</f>
        <v>-31.803999999999998</v>
      </c>
      <c r="F73" s="138">
        <f>'AFS3'!E70-'AFS3'!E103</f>
        <v>-29.356999999999999</v>
      </c>
      <c r="G73" s="138">
        <f>'AFS3'!F70-'AFS3'!F103</f>
        <v>-34.14</v>
      </c>
      <c r="H73" s="138">
        <f>'AFS3'!G70-'AFS3'!G103</f>
        <v>-44.698999999999998</v>
      </c>
      <c r="I73" s="138">
        <f>'AFS3'!H70-'AFS3'!H103</f>
        <v>-75.817000000000007</v>
      </c>
      <c r="J73" s="138">
        <f>'AFS3'!I70-'AFS3'!I103</f>
        <v>-35.438000000000002</v>
      </c>
      <c r="K73" s="138">
        <f>'AFS3'!J70-'AFS3'!J103</f>
        <v>-65.271000000000001</v>
      </c>
      <c r="L73" s="138">
        <f>'AFS3'!K70-'AFS3'!K103</f>
        <v>-84.167000000000002</v>
      </c>
      <c r="M73" s="138"/>
    </row>
    <row r="74" spans="1:13" x14ac:dyDescent="0.2">
      <c r="B74" s="34" t="s">
        <v>555</v>
      </c>
      <c r="C74" s="138">
        <f>('AFS3'!B94)-('AFS3'!B112)</f>
        <v>18.149000000000001</v>
      </c>
      <c r="D74" s="138">
        <f>('AFS3'!C94)-('AFS3'!C112)</f>
        <v>21.588000000000001</v>
      </c>
      <c r="E74" s="138">
        <f>('AFS3'!D94)-('AFS3'!D112)</f>
        <v>20.271999999999998</v>
      </c>
      <c r="F74" s="138">
        <f>('AFS3'!E94)-('AFS3'!E112)</f>
        <v>15.907999999999998</v>
      </c>
      <c r="G74" s="138">
        <f>('AFS3'!F94)-('AFS3'!F112)</f>
        <v>24.512</v>
      </c>
      <c r="H74" s="138">
        <f>('AFS3'!G94)-('AFS3'!G112)</f>
        <v>23.013999999999996</v>
      </c>
      <c r="I74" s="138">
        <f>('AFS3'!H94)-('AFS3'!H112)</f>
        <v>-147.107</v>
      </c>
      <c r="J74" s="138">
        <f>('AFS3'!I94)-('AFS3'!I112)</f>
        <v>-194.851</v>
      </c>
      <c r="K74" s="138">
        <f>('AFS3'!J94)-('AFS3'!J112)</f>
        <v>-167.78300000000002</v>
      </c>
      <c r="L74" s="138">
        <f>('AFS3'!K94)-('AFS3'!K112)</f>
        <v>-167.96899999999999</v>
      </c>
      <c r="M74" s="138"/>
    </row>
    <row r="75" spans="1:13" x14ac:dyDescent="0.2">
      <c r="B75" s="34" t="s">
        <v>628</v>
      </c>
      <c r="C75" s="138">
        <f>-'AFS3'!B102</f>
        <v>-6.3840000000000003</v>
      </c>
      <c r="D75" s="138">
        <f>-'AFS3'!C102</f>
        <v>-10.324999999999999</v>
      </c>
      <c r="E75" s="138">
        <f>-'AFS3'!D102</f>
        <v>-5.19</v>
      </c>
      <c r="F75" s="138">
        <f>-'AFS3'!E102</f>
        <v>-9.5129999999999999</v>
      </c>
      <c r="G75" s="138">
        <f>-'AFS3'!F102</f>
        <v>-10.8</v>
      </c>
      <c r="H75" s="138">
        <f>-'AFS3'!G102</f>
        <v>-29.831</v>
      </c>
      <c r="I75" s="138">
        <f>-'AFS3'!H102</f>
        <v>-6.2549999999999999</v>
      </c>
      <c r="J75" s="138">
        <f>-'AFS3'!I102</f>
        <v>-13.786</v>
      </c>
      <c r="K75" s="138">
        <f>-'AFS3'!J102</f>
        <v>-9.3989999999999991</v>
      </c>
      <c r="L75" s="138">
        <f>-'AFS3'!K102</f>
        <v>-18.068999999999999</v>
      </c>
      <c r="M75" s="138"/>
    </row>
    <row r="76" spans="1:13" ht="17" thickBot="1" x14ac:dyDescent="0.25">
      <c r="B76" s="34" t="s">
        <v>629</v>
      </c>
      <c r="C76" s="138">
        <f>-'AFS3'!B111</f>
        <v>-35.021000000000001</v>
      </c>
      <c r="D76" s="138">
        <f>-'AFS3'!C111</f>
        <v>-41.584000000000003</v>
      </c>
      <c r="E76" s="138">
        <f>-'AFS3'!D111</f>
        <v>-32.531999999999996</v>
      </c>
      <c r="F76" s="138">
        <f>-'AFS3'!E111</f>
        <v>-32.658999999999999</v>
      </c>
      <c r="G76" s="138">
        <f>-'AFS3'!F111</f>
        <v>-36.262999999999998</v>
      </c>
      <c r="H76" s="138">
        <f>-'AFS3'!G111</f>
        <v>-41.241999999999997</v>
      </c>
      <c r="I76" s="138">
        <f>-'AFS3'!H111</f>
        <v>-40.917000000000002</v>
      </c>
      <c r="J76" s="138">
        <f>-'AFS3'!I111</f>
        <v>-62.753</v>
      </c>
      <c r="K76" s="138">
        <f>-'AFS3'!J111</f>
        <v>-60.014000000000003</v>
      </c>
      <c r="L76" s="138">
        <f>-'AFS3'!K111</f>
        <v>-54.662999999999997</v>
      </c>
    </row>
    <row r="77" spans="1:13" x14ac:dyDescent="0.2">
      <c r="B77" s="51" t="s">
        <v>630</v>
      </c>
      <c r="C77" s="140">
        <f t="shared" ref="C77" si="21">SUM(C70:C76)</f>
        <v>126.96299999999998</v>
      </c>
      <c r="D77" s="140">
        <f>SUM(D70:D76)</f>
        <v>139.548</v>
      </c>
      <c r="E77" s="140">
        <f t="shared" ref="E77:L77" si="22">SUM(E70:E76)</f>
        <v>178.45699999999999</v>
      </c>
      <c r="F77" s="140">
        <f t="shared" si="22"/>
        <v>183.73299999999998</v>
      </c>
      <c r="G77" s="140">
        <f t="shared" si="22"/>
        <v>199.203</v>
      </c>
      <c r="H77" s="140">
        <f t="shared" si="22"/>
        <v>199.678</v>
      </c>
      <c r="I77" s="140">
        <f t="shared" si="22"/>
        <v>169.42899999999997</v>
      </c>
      <c r="J77" s="140">
        <f t="shared" si="22"/>
        <v>136.82400000000001</v>
      </c>
      <c r="K77" s="140">
        <f t="shared" si="22"/>
        <v>141.03799999999995</v>
      </c>
      <c r="L77" s="140">
        <f t="shared" si="22"/>
        <v>123.76600000000001</v>
      </c>
    </row>
    <row r="78" spans="1:13" x14ac:dyDescent="0.2">
      <c r="C78" s="138"/>
      <c r="D78" s="138"/>
      <c r="E78" s="138"/>
      <c r="F78" s="138"/>
      <c r="G78" s="138"/>
      <c r="H78" s="138"/>
      <c r="I78" s="138"/>
      <c r="J78" s="138"/>
      <c r="K78" s="138"/>
      <c r="L78" s="138"/>
    </row>
    <row r="79" spans="1:13" x14ac:dyDescent="0.2">
      <c r="B79" s="178" t="s">
        <v>631</v>
      </c>
      <c r="C79" s="179">
        <f>'AFS3'!B74</f>
        <v>74.492999999999995</v>
      </c>
      <c r="D79" s="179">
        <f>'AFS3'!C74</f>
        <v>92.134</v>
      </c>
      <c r="E79" s="138">
        <f>'AFS3'!D74</f>
        <v>92.331999999999994</v>
      </c>
      <c r="F79" s="138">
        <f>'AFS3'!E74</f>
        <v>94.980999999999995</v>
      </c>
      <c r="G79" s="138">
        <f>'AFS3'!F74</f>
        <v>128.38499999999999</v>
      </c>
      <c r="H79" s="138">
        <f>'AFS3'!G74</f>
        <v>140.49700000000001</v>
      </c>
      <c r="I79" s="138">
        <f>'AFS3'!H74</f>
        <v>276.197</v>
      </c>
      <c r="J79" s="138">
        <f>'AFS3'!I74</f>
        <v>268.44799999999998</v>
      </c>
      <c r="K79" s="138">
        <f>'AFS3'!J74</f>
        <v>256.286</v>
      </c>
      <c r="L79" s="138">
        <f>'AFS3'!K74</f>
        <v>271.35899999999998</v>
      </c>
    </row>
    <row r="80" spans="1:13" x14ac:dyDescent="0.2">
      <c r="B80" s="178" t="s">
        <v>553</v>
      </c>
      <c r="C80" s="179">
        <f>'AFS3'!B92</f>
        <v>68.501999999999995</v>
      </c>
      <c r="D80" s="179">
        <f>'AFS3'!C92</f>
        <v>163.20400000000001</v>
      </c>
      <c r="E80" s="138">
        <f>'AFS3'!D92</f>
        <v>150.744</v>
      </c>
      <c r="F80" s="138">
        <f>'AFS3'!E92</f>
        <v>162.61600000000001</v>
      </c>
      <c r="G80" s="138">
        <f>'AFS3'!F92</f>
        <v>164.68100000000001</v>
      </c>
      <c r="H80" s="138">
        <f>'AFS3'!G92</f>
        <v>154.774</v>
      </c>
      <c r="I80" s="138">
        <f>'AFS3'!H92</f>
        <v>789.63099999999997</v>
      </c>
      <c r="J80" s="138">
        <f>'AFS3'!I92</f>
        <v>826.35199999999998</v>
      </c>
      <c r="K80" s="138">
        <f>'AFS3'!J92</f>
        <v>799.36500000000001</v>
      </c>
      <c r="L80" s="138">
        <f>'AFS3'!K92</f>
        <v>846.86</v>
      </c>
    </row>
    <row r="81" spans="1:16383" ht="17" thickBot="1" x14ac:dyDescent="0.25">
      <c r="B81" s="178" t="s">
        <v>632</v>
      </c>
      <c r="C81" s="179">
        <f>'AFS3'!B93</f>
        <v>49.404000000000003</v>
      </c>
      <c r="D81" s="179">
        <f>'AFS3'!C93</f>
        <v>193.88200000000001</v>
      </c>
      <c r="E81" s="138">
        <f>'AFS3'!D93</f>
        <v>193.60599999999999</v>
      </c>
      <c r="F81" s="138">
        <f>'AFS3'!E93</f>
        <v>210.46799999999999</v>
      </c>
      <c r="G81" s="138">
        <f>'AFS3'!F93</f>
        <v>205.59800000000001</v>
      </c>
      <c r="H81" s="138">
        <f>'AFS3'!G93</f>
        <v>201.96299999999999</v>
      </c>
      <c r="I81" s="138">
        <f>'AFS3'!H93</f>
        <v>1153.7380000000001</v>
      </c>
      <c r="J81" s="138">
        <f>'AFS3'!I93</f>
        <v>1168.711</v>
      </c>
      <c r="K81" s="138">
        <f>'AFS3'!J93</f>
        <v>1125.605</v>
      </c>
      <c r="L81" s="138">
        <f>'AFS3'!K93</f>
        <v>1181.626</v>
      </c>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c r="BS81" s="54"/>
      <c r="BT81" s="54"/>
      <c r="BU81" s="54"/>
      <c r="BV81" s="54"/>
      <c r="BW81" s="54"/>
      <c r="BX81" s="54"/>
      <c r="BY81" s="54"/>
      <c r="BZ81" s="54"/>
      <c r="CA81" s="54"/>
      <c r="CB81" s="54"/>
      <c r="CC81" s="54"/>
      <c r="CD81" s="54"/>
      <c r="CE81" s="54"/>
      <c r="CF81" s="54"/>
      <c r="CG81" s="54"/>
      <c r="CH81" s="54"/>
      <c r="CI81" s="54"/>
      <c r="CJ81" s="54"/>
      <c r="CK81" s="54"/>
      <c r="CL81" s="54"/>
      <c r="CM81" s="54"/>
      <c r="CN81" s="54"/>
      <c r="CO81" s="54"/>
      <c r="CP81" s="54"/>
      <c r="CQ81" s="54"/>
      <c r="CR81" s="54"/>
      <c r="CS81" s="54"/>
      <c r="CT81" s="54"/>
      <c r="CU81" s="54"/>
      <c r="CV81" s="54"/>
      <c r="CW81" s="54"/>
      <c r="CX81" s="54"/>
      <c r="CY81" s="54"/>
      <c r="CZ81" s="54"/>
      <c r="DA81" s="54"/>
      <c r="DB81" s="54"/>
      <c r="DC81" s="54"/>
      <c r="DD81" s="54"/>
      <c r="DE81" s="54"/>
      <c r="DF81" s="54"/>
      <c r="DG81" s="54"/>
      <c r="DH81" s="54"/>
      <c r="DI81" s="54"/>
      <c r="DJ81" s="54"/>
      <c r="DK81" s="54"/>
      <c r="DL81" s="54"/>
      <c r="DM81" s="54"/>
      <c r="DN81" s="54"/>
      <c r="DO81" s="54"/>
      <c r="DP81" s="54"/>
      <c r="DQ81" s="54"/>
      <c r="DR81" s="54"/>
      <c r="DS81" s="54"/>
      <c r="DT81" s="54"/>
      <c r="DU81" s="54"/>
      <c r="DV81" s="54"/>
      <c r="DW81" s="54"/>
      <c r="DX81" s="54"/>
      <c r="DY81" s="54"/>
      <c r="DZ81" s="54"/>
      <c r="EA81" s="54"/>
      <c r="EB81" s="54"/>
      <c r="EC81" s="54"/>
      <c r="ED81" s="54"/>
      <c r="EE81" s="54"/>
      <c r="EF81" s="54"/>
      <c r="EG81" s="54"/>
      <c r="EH81" s="54"/>
      <c r="EI81" s="54"/>
      <c r="EJ81" s="54"/>
      <c r="EK81" s="54"/>
      <c r="EL81" s="54"/>
      <c r="EM81" s="54"/>
      <c r="EN81" s="54"/>
      <c r="EO81" s="54"/>
      <c r="EP81" s="54"/>
      <c r="EQ81" s="54"/>
      <c r="ER81" s="54"/>
      <c r="ES81" s="54"/>
      <c r="ET81" s="54"/>
      <c r="EU81" s="54"/>
      <c r="EV81" s="54"/>
      <c r="EW81" s="54"/>
      <c r="EX81" s="54"/>
      <c r="EY81" s="54"/>
      <c r="EZ81" s="54"/>
      <c r="FA81" s="54"/>
      <c r="FB81" s="54"/>
      <c r="FC81" s="54"/>
      <c r="FD81" s="54"/>
      <c r="FE81" s="54"/>
      <c r="FF81" s="54"/>
      <c r="FG81" s="54"/>
      <c r="FH81" s="54"/>
      <c r="FI81" s="54"/>
      <c r="FJ81" s="54"/>
      <c r="FK81" s="54"/>
      <c r="FL81" s="54"/>
      <c r="FM81" s="54"/>
      <c r="FN81" s="54"/>
      <c r="FO81" s="54"/>
      <c r="FP81" s="54"/>
      <c r="FQ81" s="54"/>
      <c r="FR81" s="54"/>
      <c r="FS81" s="54"/>
      <c r="FT81" s="54"/>
      <c r="FU81" s="54"/>
      <c r="FV81" s="54"/>
      <c r="FW81" s="54"/>
      <c r="FX81" s="54"/>
      <c r="FY81" s="54"/>
      <c r="FZ81" s="54"/>
      <c r="GA81" s="54"/>
      <c r="GB81" s="54"/>
      <c r="GC81" s="54"/>
      <c r="GD81" s="54"/>
      <c r="GE81" s="54"/>
      <c r="GF81" s="54"/>
      <c r="GG81" s="54"/>
      <c r="GH81" s="54"/>
      <c r="GI81" s="54"/>
      <c r="GJ81" s="54"/>
      <c r="GK81" s="54"/>
      <c r="GL81" s="54"/>
      <c r="GM81" s="54"/>
      <c r="GN81" s="54"/>
      <c r="GO81" s="54"/>
      <c r="GP81" s="54"/>
      <c r="GQ81" s="54"/>
      <c r="GR81" s="54"/>
      <c r="GS81" s="54"/>
      <c r="GT81" s="54"/>
      <c r="GU81" s="54"/>
      <c r="GV81" s="54"/>
      <c r="GW81" s="54"/>
      <c r="GX81" s="54"/>
      <c r="GY81" s="54"/>
      <c r="GZ81" s="54"/>
      <c r="HA81" s="54"/>
      <c r="HB81" s="54"/>
      <c r="HC81" s="54"/>
      <c r="HD81" s="54"/>
      <c r="HE81" s="54"/>
      <c r="HF81" s="54"/>
      <c r="HG81" s="54"/>
      <c r="HH81" s="54"/>
      <c r="HI81" s="54"/>
      <c r="HJ81" s="54"/>
      <c r="HK81" s="54"/>
      <c r="HL81" s="54"/>
      <c r="HM81" s="54"/>
      <c r="HN81" s="54"/>
      <c r="HO81" s="54"/>
      <c r="HP81" s="54"/>
      <c r="HQ81" s="54"/>
      <c r="HR81" s="54"/>
      <c r="HS81" s="54"/>
      <c r="HT81" s="54"/>
      <c r="HU81" s="54"/>
      <c r="HV81" s="54"/>
      <c r="HW81" s="54"/>
      <c r="HX81" s="54"/>
      <c r="HY81" s="54"/>
      <c r="HZ81" s="54"/>
      <c r="IA81" s="54"/>
      <c r="IB81" s="54"/>
      <c r="IC81" s="54"/>
      <c r="ID81" s="54"/>
      <c r="IE81" s="54"/>
      <c r="IF81" s="54"/>
      <c r="IG81" s="54"/>
      <c r="IH81" s="54"/>
      <c r="II81" s="54"/>
      <c r="IJ81" s="54"/>
      <c r="IK81" s="54"/>
      <c r="IL81" s="54"/>
      <c r="IM81" s="54"/>
      <c r="IN81" s="54"/>
      <c r="IO81" s="54"/>
      <c r="IP81" s="54"/>
      <c r="IQ81" s="54"/>
      <c r="IR81" s="54"/>
      <c r="IS81" s="54"/>
      <c r="IT81" s="54"/>
      <c r="IU81" s="54"/>
      <c r="IV81" s="54"/>
      <c r="IW81" s="54"/>
      <c r="IX81" s="54"/>
      <c r="IY81" s="54"/>
      <c r="IZ81" s="54"/>
      <c r="JA81" s="54"/>
      <c r="JB81" s="54"/>
      <c r="JC81" s="54"/>
      <c r="JD81" s="54"/>
      <c r="JE81" s="54"/>
      <c r="JF81" s="54"/>
      <c r="JG81" s="54"/>
      <c r="JH81" s="54"/>
      <c r="JI81" s="54"/>
      <c r="JJ81" s="54"/>
      <c r="JK81" s="54"/>
      <c r="JL81" s="54"/>
      <c r="JM81" s="54"/>
      <c r="JN81" s="54"/>
      <c r="JO81" s="54"/>
      <c r="JP81" s="54"/>
      <c r="JQ81" s="54"/>
      <c r="JR81" s="54"/>
      <c r="JS81" s="54"/>
      <c r="JT81" s="54"/>
      <c r="JU81" s="54"/>
      <c r="JV81" s="54"/>
      <c r="JW81" s="54"/>
      <c r="JX81" s="54"/>
      <c r="JY81" s="54"/>
      <c r="JZ81" s="54"/>
      <c r="KA81" s="54"/>
      <c r="KB81" s="54"/>
      <c r="KC81" s="54"/>
      <c r="KD81" s="54"/>
      <c r="KE81" s="54"/>
      <c r="KF81" s="54"/>
      <c r="KG81" s="54"/>
      <c r="KH81" s="54"/>
      <c r="KI81" s="54"/>
      <c r="KJ81" s="54"/>
      <c r="KK81" s="54"/>
      <c r="KL81" s="54"/>
      <c r="KM81" s="54"/>
      <c r="KN81" s="54"/>
      <c r="KO81" s="54"/>
      <c r="KP81" s="54"/>
      <c r="KQ81" s="54"/>
      <c r="KR81" s="54"/>
      <c r="KS81" s="54"/>
      <c r="KT81" s="54"/>
      <c r="KU81" s="54"/>
      <c r="KV81" s="54"/>
      <c r="KW81" s="54"/>
      <c r="KX81" s="54"/>
      <c r="KY81" s="54"/>
      <c r="KZ81" s="54"/>
      <c r="LA81" s="54"/>
      <c r="LB81" s="54"/>
      <c r="LC81" s="54"/>
      <c r="LD81" s="54"/>
      <c r="LE81" s="54"/>
      <c r="LF81" s="54"/>
      <c r="LG81" s="54"/>
      <c r="LH81" s="54"/>
      <c r="LI81" s="54"/>
      <c r="LJ81" s="54"/>
      <c r="LK81" s="54"/>
      <c r="LL81" s="54"/>
      <c r="LM81" s="54"/>
      <c r="LN81" s="54"/>
      <c r="LO81" s="54"/>
      <c r="LP81" s="54"/>
      <c r="LQ81" s="54"/>
      <c r="LR81" s="54"/>
      <c r="LS81" s="54"/>
      <c r="LT81" s="54"/>
      <c r="LU81" s="54"/>
      <c r="LV81" s="54"/>
      <c r="LW81" s="54"/>
      <c r="LX81" s="54"/>
      <c r="LY81" s="54"/>
      <c r="LZ81" s="54"/>
      <c r="MA81" s="54"/>
      <c r="MB81" s="54"/>
      <c r="MC81" s="54"/>
      <c r="MD81" s="54"/>
      <c r="ME81" s="54"/>
      <c r="MF81" s="54"/>
      <c r="MG81" s="54"/>
      <c r="MH81" s="54"/>
      <c r="MI81" s="54"/>
      <c r="MJ81" s="54"/>
      <c r="MK81" s="54"/>
      <c r="ML81" s="54"/>
      <c r="MM81" s="54"/>
      <c r="MN81" s="54"/>
      <c r="MO81" s="54"/>
      <c r="MP81" s="54"/>
      <c r="MQ81" s="54"/>
      <c r="MR81" s="54"/>
      <c r="MS81" s="54"/>
      <c r="MT81" s="54"/>
      <c r="MU81" s="54"/>
      <c r="MV81" s="54"/>
      <c r="MW81" s="54"/>
      <c r="MX81" s="54"/>
      <c r="MY81" s="54"/>
      <c r="MZ81" s="54"/>
      <c r="NA81" s="54"/>
      <c r="NB81" s="54"/>
      <c r="NC81" s="54"/>
      <c r="ND81" s="54"/>
      <c r="NE81" s="54"/>
      <c r="NF81" s="54"/>
      <c r="NG81" s="54"/>
      <c r="NH81" s="54"/>
      <c r="NI81" s="54"/>
      <c r="NJ81" s="54"/>
      <c r="NK81" s="54"/>
      <c r="NL81" s="54"/>
      <c r="NM81" s="54"/>
      <c r="NN81" s="54"/>
      <c r="NO81" s="54"/>
      <c r="NP81" s="54"/>
      <c r="NQ81" s="54"/>
      <c r="NR81" s="54"/>
      <c r="NS81" s="54"/>
      <c r="NT81" s="54"/>
      <c r="NU81" s="54"/>
      <c r="NV81" s="54"/>
      <c r="NW81" s="54"/>
      <c r="NX81" s="54"/>
      <c r="NY81" s="54"/>
      <c r="NZ81" s="54"/>
      <c r="OA81" s="54"/>
      <c r="OB81" s="54"/>
      <c r="OC81" s="54"/>
      <c r="OD81" s="54"/>
      <c r="OE81" s="54"/>
      <c r="OF81" s="54"/>
      <c r="OG81" s="54"/>
      <c r="OH81" s="54"/>
      <c r="OI81" s="54"/>
      <c r="OJ81" s="54"/>
      <c r="OK81" s="54"/>
      <c r="OL81" s="54"/>
      <c r="OM81" s="54"/>
      <c r="ON81" s="54"/>
      <c r="OO81" s="54"/>
      <c r="OP81" s="54"/>
      <c r="OQ81" s="54"/>
      <c r="OR81" s="54"/>
      <c r="OS81" s="54"/>
      <c r="OT81" s="54"/>
      <c r="OU81" s="54"/>
      <c r="OV81" s="54"/>
      <c r="OW81" s="54"/>
      <c r="OX81" s="54"/>
      <c r="OY81" s="54"/>
      <c r="OZ81" s="54"/>
      <c r="PA81" s="54"/>
      <c r="PB81" s="54"/>
      <c r="PC81" s="54"/>
      <c r="PD81" s="54"/>
      <c r="PE81" s="54"/>
      <c r="PF81" s="54"/>
      <c r="PG81" s="54"/>
      <c r="PH81" s="54"/>
      <c r="PI81" s="54"/>
      <c r="PJ81" s="54"/>
      <c r="PK81" s="54"/>
      <c r="PL81" s="54"/>
      <c r="PM81" s="54"/>
      <c r="PN81" s="54"/>
      <c r="PO81" s="54"/>
      <c r="PP81" s="54"/>
      <c r="PQ81" s="54"/>
      <c r="PR81" s="54"/>
      <c r="PS81" s="54"/>
      <c r="PT81" s="54"/>
      <c r="PU81" s="54"/>
      <c r="PV81" s="54"/>
      <c r="PW81" s="54"/>
      <c r="PX81" s="54"/>
      <c r="PY81" s="54"/>
      <c r="PZ81" s="54"/>
      <c r="QA81" s="54"/>
      <c r="QB81" s="54"/>
      <c r="QC81" s="54"/>
      <c r="QD81" s="54"/>
      <c r="QE81" s="54"/>
      <c r="QF81" s="54"/>
      <c r="QG81" s="54"/>
      <c r="QH81" s="54"/>
      <c r="QI81" s="54"/>
      <c r="QJ81" s="54"/>
      <c r="QK81" s="54"/>
      <c r="QL81" s="54"/>
      <c r="QM81" s="54"/>
      <c r="QN81" s="54"/>
      <c r="QO81" s="54"/>
      <c r="QP81" s="54"/>
      <c r="QQ81" s="54"/>
      <c r="QR81" s="54"/>
      <c r="QS81" s="54"/>
      <c r="QT81" s="54"/>
      <c r="QU81" s="54"/>
      <c r="QV81" s="54"/>
      <c r="QW81" s="54"/>
      <c r="QX81" s="54"/>
      <c r="QY81" s="54"/>
      <c r="QZ81" s="54"/>
      <c r="RA81" s="54"/>
      <c r="RB81" s="54"/>
      <c r="RC81" s="54"/>
      <c r="RD81" s="54"/>
      <c r="RE81" s="54"/>
      <c r="RF81" s="54"/>
      <c r="RG81" s="54"/>
      <c r="RH81" s="54"/>
      <c r="RI81" s="54"/>
      <c r="RJ81" s="54"/>
      <c r="RK81" s="54"/>
      <c r="RL81" s="54"/>
      <c r="RM81" s="54"/>
      <c r="RN81" s="54"/>
      <c r="RO81" s="54"/>
      <c r="RP81" s="54"/>
      <c r="RQ81" s="54"/>
      <c r="RR81" s="54"/>
      <c r="RS81" s="54"/>
      <c r="RT81" s="54"/>
      <c r="RU81" s="54"/>
      <c r="RV81" s="54"/>
      <c r="RW81" s="54"/>
      <c r="RX81" s="54"/>
      <c r="RY81" s="54"/>
      <c r="RZ81" s="54"/>
      <c r="SA81" s="54"/>
      <c r="SB81" s="54"/>
      <c r="SC81" s="54"/>
      <c r="SD81" s="54"/>
      <c r="SE81" s="54"/>
      <c r="SF81" s="54"/>
      <c r="SG81" s="54"/>
      <c r="SH81" s="54"/>
      <c r="SI81" s="54"/>
      <c r="SJ81" s="54"/>
      <c r="SK81" s="54"/>
      <c r="SL81" s="54"/>
      <c r="SM81" s="54"/>
      <c r="SN81" s="54"/>
      <c r="SO81" s="54"/>
      <c r="SP81" s="54"/>
      <c r="SQ81" s="54"/>
      <c r="SR81" s="54"/>
      <c r="SS81" s="54"/>
      <c r="ST81" s="54"/>
      <c r="SU81" s="54"/>
      <c r="SV81" s="54"/>
      <c r="SW81" s="54"/>
      <c r="SX81" s="54"/>
      <c r="SY81" s="54"/>
      <c r="SZ81" s="54"/>
      <c r="TA81" s="54"/>
      <c r="TB81" s="54"/>
      <c r="TC81" s="54"/>
      <c r="TD81" s="54"/>
      <c r="TE81" s="54"/>
      <c r="TF81" s="54"/>
      <c r="TG81" s="54"/>
      <c r="TH81" s="54"/>
      <c r="TI81" s="54"/>
      <c r="TJ81" s="54"/>
      <c r="TK81" s="54"/>
      <c r="TL81" s="54"/>
      <c r="TM81" s="54"/>
      <c r="TN81" s="54"/>
      <c r="TO81" s="54"/>
      <c r="TP81" s="54"/>
      <c r="TQ81" s="54"/>
      <c r="TR81" s="54"/>
      <c r="TS81" s="54"/>
      <c r="TT81" s="54"/>
      <c r="TU81" s="54"/>
      <c r="TV81" s="54"/>
      <c r="TW81" s="54"/>
      <c r="TX81" s="54"/>
      <c r="TY81" s="54"/>
      <c r="TZ81" s="54"/>
      <c r="UA81" s="54"/>
      <c r="UB81" s="54"/>
      <c r="UC81" s="54"/>
      <c r="UD81" s="54"/>
      <c r="UE81" s="54"/>
      <c r="UF81" s="54"/>
      <c r="UG81" s="54"/>
      <c r="UH81" s="54"/>
      <c r="UI81" s="54"/>
      <c r="UJ81" s="54"/>
      <c r="UK81" s="54"/>
      <c r="UL81" s="54"/>
      <c r="UM81" s="54"/>
      <c r="UN81" s="54"/>
      <c r="UO81" s="54"/>
      <c r="UP81" s="54"/>
      <c r="UQ81" s="54"/>
      <c r="UR81" s="54"/>
      <c r="US81" s="54"/>
      <c r="UT81" s="54"/>
      <c r="UU81" s="54"/>
      <c r="UV81" s="54"/>
      <c r="UW81" s="54"/>
      <c r="UX81" s="54"/>
      <c r="UY81" s="54"/>
      <c r="UZ81" s="54"/>
      <c r="VA81" s="54"/>
      <c r="VB81" s="54"/>
      <c r="VC81" s="54"/>
      <c r="VD81" s="54"/>
      <c r="VE81" s="54"/>
      <c r="VF81" s="54"/>
      <c r="VG81" s="54"/>
      <c r="VH81" s="54"/>
      <c r="VI81" s="54"/>
      <c r="VJ81" s="54"/>
      <c r="VK81" s="54"/>
      <c r="VL81" s="54"/>
      <c r="VM81" s="54"/>
      <c r="VN81" s="54"/>
      <c r="VO81" s="54"/>
      <c r="VP81" s="54"/>
      <c r="VQ81" s="54"/>
      <c r="VR81" s="54"/>
      <c r="VS81" s="54"/>
      <c r="VT81" s="54"/>
      <c r="VU81" s="54"/>
      <c r="VV81" s="54"/>
      <c r="VW81" s="54"/>
      <c r="VX81" s="54"/>
      <c r="VY81" s="54"/>
      <c r="VZ81" s="54"/>
      <c r="WA81" s="54"/>
      <c r="WB81" s="54"/>
      <c r="WC81" s="54"/>
      <c r="WD81" s="54"/>
      <c r="WE81" s="54"/>
      <c r="WF81" s="54"/>
      <c r="WG81" s="54"/>
      <c r="WH81" s="54"/>
      <c r="WI81" s="54"/>
      <c r="WJ81" s="54"/>
      <c r="WK81" s="54"/>
      <c r="WL81" s="54"/>
      <c r="WM81" s="54"/>
      <c r="WN81" s="54"/>
      <c r="WO81" s="54"/>
      <c r="WP81" s="54"/>
      <c r="WQ81" s="54"/>
      <c r="WR81" s="54"/>
      <c r="WS81" s="54"/>
      <c r="WT81" s="54"/>
      <c r="WU81" s="54"/>
      <c r="WV81" s="54"/>
      <c r="WW81" s="54"/>
      <c r="WX81" s="54"/>
      <c r="WY81" s="54"/>
      <c r="WZ81" s="54"/>
      <c r="XA81" s="54"/>
      <c r="XB81" s="54"/>
      <c r="XC81" s="54"/>
      <c r="XD81" s="54"/>
      <c r="XE81" s="54"/>
      <c r="XF81" s="54"/>
      <c r="XG81" s="54"/>
      <c r="XH81" s="54"/>
      <c r="XI81" s="54"/>
      <c r="XJ81" s="54"/>
      <c r="XK81" s="54"/>
      <c r="XL81" s="54"/>
      <c r="XM81" s="54"/>
      <c r="XN81" s="54"/>
      <c r="XO81" s="54"/>
      <c r="XP81" s="54"/>
      <c r="XQ81" s="54"/>
      <c r="XR81" s="54"/>
      <c r="XS81" s="54"/>
      <c r="XT81" s="54"/>
      <c r="XU81" s="54"/>
      <c r="XV81" s="54"/>
      <c r="XW81" s="54"/>
      <c r="XX81" s="54"/>
      <c r="XY81" s="54"/>
      <c r="XZ81" s="54"/>
      <c r="YA81" s="54"/>
      <c r="YB81" s="54"/>
      <c r="YC81" s="54"/>
      <c r="YD81" s="54"/>
      <c r="YE81" s="54"/>
      <c r="YF81" s="54"/>
      <c r="YG81" s="54"/>
      <c r="YH81" s="54"/>
      <c r="YI81" s="54"/>
      <c r="YJ81" s="54"/>
      <c r="YK81" s="54"/>
      <c r="YL81" s="54"/>
      <c r="YM81" s="54"/>
      <c r="YN81" s="54"/>
      <c r="YO81" s="54"/>
      <c r="YP81" s="54"/>
      <c r="YQ81" s="54"/>
      <c r="YR81" s="54"/>
      <c r="YS81" s="54"/>
      <c r="YT81" s="54"/>
      <c r="YU81" s="54"/>
      <c r="YV81" s="54"/>
      <c r="YW81" s="54"/>
      <c r="YX81" s="54"/>
      <c r="YY81" s="54"/>
      <c r="YZ81" s="54"/>
      <c r="ZA81" s="54"/>
      <c r="ZB81" s="54"/>
      <c r="ZC81" s="54"/>
      <c r="ZD81" s="54"/>
      <c r="ZE81" s="54"/>
      <c r="ZF81" s="54"/>
      <c r="ZG81" s="54"/>
      <c r="ZH81" s="54"/>
      <c r="ZI81" s="54"/>
      <c r="ZJ81" s="54"/>
      <c r="ZK81" s="54"/>
      <c r="ZL81" s="54"/>
      <c r="ZM81" s="54"/>
      <c r="ZN81" s="54"/>
      <c r="ZO81" s="54"/>
      <c r="ZP81" s="54"/>
      <c r="ZQ81" s="54"/>
      <c r="ZR81" s="54"/>
      <c r="ZS81" s="54"/>
      <c r="ZT81" s="54"/>
      <c r="ZU81" s="54"/>
      <c r="ZV81" s="54"/>
      <c r="ZW81" s="54"/>
      <c r="ZX81" s="54"/>
      <c r="ZY81" s="54"/>
      <c r="ZZ81" s="54"/>
      <c r="AAA81" s="54"/>
      <c r="AAB81" s="54"/>
      <c r="AAC81" s="54"/>
      <c r="AAD81" s="54"/>
      <c r="AAE81" s="54"/>
      <c r="AAF81" s="54"/>
      <c r="AAG81" s="54"/>
      <c r="AAH81" s="54"/>
      <c r="AAI81" s="54"/>
      <c r="AAJ81" s="54"/>
      <c r="AAK81" s="54"/>
      <c r="AAL81" s="54"/>
      <c r="AAM81" s="54"/>
      <c r="AAN81" s="54"/>
      <c r="AAO81" s="54"/>
      <c r="AAP81" s="54"/>
      <c r="AAQ81" s="54"/>
      <c r="AAR81" s="54"/>
      <c r="AAS81" s="54"/>
      <c r="AAT81" s="54"/>
      <c r="AAU81" s="54"/>
      <c r="AAV81" s="54"/>
      <c r="AAW81" s="54"/>
      <c r="AAX81" s="54"/>
      <c r="AAY81" s="54"/>
      <c r="AAZ81" s="54"/>
      <c r="ABA81" s="54"/>
      <c r="ABB81" s="54"/>
      <c r="ABC81" s="54"/>
      <c r="ABD81" s="54"/>
      <c r="ABE81" s="54"/>
      <c r="ABF81" s="54"/>
      <c r="ABG81" s="54"/>
      <c r="ABH81" s="54"/>
      <c r="ABI81" s="54"/>
      <c r="ABJ81" s="54"/>
      <c r="ABK81" s="54"/>
      <c r="ABL81" s="54"/>
      <c r="ABM81" s="54"/>
      <c r="ABN81" s="54"/>
      <c r="ABO81" s="54"/>
      <c r="ABP81" s="54"/>
      <c r="ABQ81" s="54"/>
      <c r="ABR81" s="54"/>
      <c r="ABS81" s="54"/>
      <c r="ABT81" s="54"/>
      <c r="ABU81" s="54"/>
      <c r="ABV81" s="54"/>
      <c r="ABW81" s="54"/>
      <c r="ABX81" s="54"/>
      <c r="ABY81" s="54"/>
      <c r="ABZ81" s="54"/>
      <c r="ACA81" s="54"/>
      <c r="ACB81" s="54"/>
      <c r="ACC81" s="54"/>
      <c r="ACD81" s="54"/>
      <c r="ACE81" s="54"/>
      <c r="ACF81" s="54"/>
      <c r="ACG81" s="54"/>
      <c r="ACH81" s="54"/>
      <c r="ACI81" s="54"/>
      <c r="ACJ81" s="54"/>
      <c r="ACK81" s="54"/>
      <c r="ACL81" s="54"/>
      <c r="ACM81" s="54"/>
      <c r="ACN81" s="54"/>
      <c r="ACO81" s="54"/>
      <c r="ACP81" s="54"/>
      <c r="ACQ81" s="54"/>
      <c r="ACR81" s="54"/>
      <c r="ACS81" s="54"/>
      <c r="ACT81" s="54"/>
      <c r="ACU81" s="54"/>
      <c r="ACV81" s="54"/>
      <c r="ACW81" s="54"/>
      <c r="ACX81" s="54"/>
      <c r="ACY81" s="54"/>
      <c r="ACZ81" s="54"/>
      <c r="ADA81" s="54"/>
      <c r="ADB81" s="54"/>
      <c r="ADC81" s="54"/>
      <c r="ADD81" s="54"/>
      <c r="ADE81" s="54"/>
      <c r="ADF81" s="54"/>
      <c r="ADG81" s="54"/>
      <c r="ADH81" s="54"/>
      <c r="ADI81" s="54"/>
      <c r="ADJ81" s="54"/>
      <c r="ADK81" s="54"/>
      <c r="ADL81" s="54"/>
      <c r="ADM81" s="54"/>
      <c r="ADN81" s="54"/>
      <c r="ADO81" s="54"/>
      <c r="ADP81" s="54"/>
      <c r="ADQ81" s="54"/>
      <c r="ADR81" s="54"/>
      <c r="ADS81" s="54"/>
      <c r="ADT81" s="54"/>
      <c r="ADU81" s="54"/>
      <c r="ADV81" s="54"/>
      <c r="ADW81" s="54"/>
      <c r="ADX81" s="54"/>
      <c r="ADY81" s="54"/>
      <c r="ADZ81" s="54"/>
      <c r="AEA81" s="54"/>
      <c r="AEB81" s="54"/>
      <c r="AEC81" s="54"/>
      <c r="AED81" s="54"/>
      <c r="AEE81" s="54"/>
      <c r="AEF81" s="54"/>
      <c r="AEG81" s="54"/>
      <c r="AEH81" s="54"/>
      <c r="AEI81" s="54"/>
      <c r="AEJ81" s="54"/>
      <c r="AEK81" s="54"/>
      <c r="AEL81" s="54"/>
      <c r="AEM81" s="54"/>
      <c r="AEN81" s="54"/>
      <c r="AEO81" s="54"/>
      <c r="AEP81" s="54"/>
      <c r="AEQ81" s="54"/>
      <c r="AER81" s="54"/>
      <c r="AES81" s="54"/>
      <c r="AET81" s="54"/>
      <c r="AEU81" s="54"/>
      <c r="AEV81" s="54"/>
      <c r="AEW81" s="54"/>
      <c r="AEX81" s="54"/>
      <c r="AEY81" s="54"/>
      <c r="AEZ81" s="54"/>
      <c r="AFA81" s="54"/>
      <c r="AFB81" s="54"/>
      <c r="AFC81" s="54"/>
      <c r="AFD81" s="54"/>
      <c r="AFE81" s="54"/>
      <c r="AFF81" s="54"/>
      <c r="AFG81" s="54"/>
      <c r="AFH81" s="54"/>
      <c r="AFI81" s="54"/>
      <c r="AFJ81" s="54"/>
      <c r="AFK81" s="54"/>
      <c r="AFL81" s="54"/>
      <c r="AFM81" s="54"/>
      <c r="AFN81" s="54"/>
      <c r="AFO81" s="54"/>
      <c r="AFP81" s="54"/>
      <c r="AFQ81" s="54"/>
      <c r="AFR81" s="54"/>
      <c r="AFS81" s="54"/>
      <c r="AFT81" s="54"/>
      <c r="AFU81" s="54"/>
      <c r="AFV81" s="54"/>
      <c r="AFW81" s="54"/>
      <c r="AFX81" s="54"/>
      <c r="AFY81" s="54"/>
      <c r="AFZ81" s="54"/>
      <c r="AGA81" s="54"/>
      <c r="AGB81" s="54"/>
      <c r="AGC81" s="54"/>
      <c r="AGD81" s="54"/>
      <c r="AGE81" s="54"/>
      <c r="AGF81" s="54"/>
      <c r="AGG81" s="54"/>
      <c r="AGH81" s="54"/>
      <c r="AGI81" s="54"/>
      <c r="AGJ81" s="54"/>
      <c r="AGK81" s="54"/>
      <c r="AGL81" s="54"/>
      <c r="AGM81" s="54"/>
      <c r="AGN81" s="54"/>
      <c r="AGO81" s="54"/>
      <c r="AGP81" s="54"/>
      <c r="AGQ81" s="54"/>
      <c r="AGR81" s="54"/>
      <c r="AGS81" s="54"/>
      <c r="AGT81" s="54"/>
      <c r="AGU81" s="54"/>
      <c r="AGV81" s="54"/>
      <c r="AGW81" s="54"/>
      <c r="AGX81" s="54"/>
      <c r="AGY81" s="54"/>
      <c r="AGZ81" s="54"/>
      <c r="AHA81" s="54"/>
      <c r="AHB81" s="54"/>
      <c r="AHC81" s="54"/>
      <c r="AHD81" s="54"/>
      <c r="AHE81" s="54"/>
      <c r="AHF81" s="54"/>
      <c r="AHG81" s="54"/>
      <c r="AHH81" s="54"/>
      <c r="AHI81" s="54"/>
      <c r="AHJ81" s="54"/>
      <c r="AHK81" s="54"/>
      <c r="AHL81" s="54"/>
      <c r="AHM81" s="54"/>
      <c r="AHN81" s="54"/>
      <c r="AHO81" s="54"/>
      <c r="AHP81" s="54"/>
      <c r="AHQ81" s="54"/>
      <c r="AHR81" s="54"/>
      <c r="AHS81" s="54"/>
      <c r="AHT81" s="54"/>
      <c r="AHU81" s="54"/>
      <c r="AHV81" s="54"/>
      <c r="AHW81" s="54"/>
      <c r="AHX81" s="54"/>
      <c r="AHY81" s="54"/>
      <c r="AHZ81" s="54"/>
      <c r="AIA81" s="54"/>
      <c r="AIB81" s="54"/>
      <c r="AIC81" s="54"/>
      <c r="AID81" s="54"/>
      <c r="AIE81" s="54"/>
      <c r="AIF81" s="54"/>
      <c r="AIG81" s="54"/>
      <c r="AIH81" s="54"/>
      <c r="AII81" s="54"/>
      <c r="AIJ81" s="54"/>
      <c r="AIK81" s="54"/>
      <c r="AIL81" s="54"/>
      <c r="AIM81" s="54"/>
      <c r="AIN81" s="54"/>
      <c r="AIO81" s="54"/>
      <c r="AIP81" s="54"/>
      <c r="AIQ81" s="54"/>
      <c r="AIR81" s="54"/>
      <c r="AIS81" s="54"/>
      <c r="AIT81" s="54"/>
      <c r="AIU81" s="54"/>
      <c r="AIV81" s="54"/>
      <c r="AIW81" s="54"/>
      <c r="AIX81" s="54"/>
      <c r="AIY81" s="54"/>
      <c r="AIZ81" s="54"/>
      <c r="AJA81" s="54"/>
      <c r="AJB81" s="54"/>
      <c r="AJC81" s="54"/>
      <c r="AJD81" s="54"/>
      <c r="AJE81" s="54"/>
      <c r="AJF81" s="54"/>
      <c r="AJG81" s="54"/>
      <c r="AJH81" s="54"/>
      <c r="AJI81" s="54"/>
      <c r="AJJ81" s="54"/>
      <c r="AJK81" s="54"/>
      <c r="AJL81" s="54"/>
      <c r="AJM81" s="54"/>
      <c r="AJN81" s="54"/>
      <c r="AJO81" s="54"/>
      <c r="AJP81" s="54"/>
      <c r="AJQ81" s="54"/>
      <c r="AJR81" s="54"/>
      <c r="AJS81" s="54"/>
      <c r="AJT81" s="54"/>
      <c r="AJU81" s="54"/>
      <c r="AJV81" s="54"/>
      <c r="AJW81" s="54"/>
      <c r="AJX81" s="54"/>
      <c r="AJY81" s="54"/>
      <c r="AJZ81" s="54"/>
      <c r="AKA81" s="54"/>
      <c r="AKB81" s="54"/>
      <c r="AKC81" s="54"/>
      <c r="AKD81" s="54"/>
      <c r="AKE81" s="54"/>
      <c r="AKF81" s="54"/>
      <c r="AKG81" s="54"/>
      <c r="AKH81" s="54"/>
      <c r="AKI81" s="54"/>
      <c r="AKJ81" s="54"/>
      <c r="AKK81" s="54"/>
      <c r="AKL81" s="54"/>
      <c r="AKM81" s="54"/>
      <c r="AKN81" s="54"/>
      <c r="AKO81" s="54"/>
      <c r="AKP81" s="54"/>
      <c r="AKQ81" s="54"/>
      <c r="AKR81" s="54"/>
      <c r="AKS81" s="54"/>
      <c r="AKT81" s="54"/>
      <c r="AKU81" s="54"/>
      <c r="AKV81" s="54"/>
      <c r="AKW81" s="54"/>
      <c r="AKX81" s="54"/>
      <c r="AKY81" s="54"/>
      <c r="AKZ81" s="54"/>
      <c r="ALA81" s="54"/>
      <c r="ALB81" s="54"/>
      <c r="ALC81" s="54"/>
      <c r="ALD81" s="54"/>
      <c r="ALE81" s="54"/>
      <c r="ALF81" s="54"/>
      <c r="ALG81" s="54"/>
      <c r="ALH81" s="54"/>
      <c r="ALI81" s="54"/>
      <c r="ALJ81" s="54"/>
      <c r="ALK81" s="54"/>
      <c r="ALL81" s="54"/>
      <c r="ALM81" s="54"/>
      <c r="ALN81" s="54"/>
      <c r="ALO81" s="54"/>
      <c r="ALP81" s="54"/>
      <c r="ALQ81" s="54"/>
      <c r="ALR81" s="54"/>
      <c r="ALS81" s="54"/>
      <c r="ALT81" s="54"/>
      <c r="ALU81" s="54"/>
      <c r="ALV81" s="54"/>
      <c r="ALW81" s="54"/>
      <c r="ALX81" s="54"/>
      <c r="ALY81" s="54"/>
      <c r="ALZ81" s="54"/>
      <c r="AMA81" s="54"/>
      <c r="AMB81" s="54"/>
      <c r="AMC81" s="54"/>
      <c r="AMD81" s="54"/>
      <c r="AME81" s="54"/>
      <c r="AMF81" s="54"/>
      <c r="AMG81" s="54"/>
      <c r="AMH81" s="54"/>
      <c r="AMI81" s="54"/>
      <c r="AMJ81" s="54"/>
      <c r="AMK81" s="54"/>
      <c r="AML81" s="54"/>
      <c r="AMM81" s="54"/>
      <c r="AMN81" s="54"/>
      <c r="AMO81" s="54"/>
      <c r="AMP81" s="54"/>
      <c r="AMQ81" s="54"/>
      <c r="AMR81" s="54"/>
      <c r="AMS81" s="54"/>
      <c r="AMT81" s="54"/>
      <c r="AMU81" s="54"/>
      <c r="AMV81" s="54"/>
      <c r="AMW81" s="54"/>
      <c r="AMX81" s="54"/>
      <c r="AMY81" s="54"/>
      <c r="AMZ81" s="54"/>
      <c r="ANA81" s="54"/>
      <c r="ANB81" s="54"/>
      <c r="ANC81" s="54"/>
      <c r="AND81" s="54"/>
      <c r="ANE81" s="54"/>
      <c r="ANF81" s="54"/>
      <c r="ANG81" s="54"/>
      <c r="ANH81" s="54"/>
      <c r="ANI81" s="54"/>
      <c r="ANJ81" s="54"/>
      <c r="ANK81" s="54"/>
      <c r="ANL81" s="54"/>
      <c r="ANM81" s="54"/>
      <c r="ANN81" s="54"/>
      <c r="ANO81" s="54"/>
      <c r="ANP81" s="54"/>
      <c r="ANQ81" s="54"/>
      <c r="ANR81" s="54"/>
      <c r="ANS81" s="54"/>
      <c r="ANT81" s="54"/>
      <c r="ANU81" s="54"/>
      <c r="ANV81" s="54"/>
      <c r="ANW81" s="54"/>
      <c r="ANX81" s="54"/>
      <c r="ANY81" s="54"/>
      <c r="ANZ81" s="54"/>
      <c r="AOA81" s="54"/>
      <c r="AOB81" s="54"/>
      <c r="AOC81" s="54"/>
      <c r="AOD81" s="54"/>
      <c r="AOE81" s="54"/>
      <c r="AOF81" s="54"/>
      <c r="AOG81" s="54"/>
      <c r="AOH81" s="54"/>
      <c r="AOI81" s="54"/>
      <c r="AOJ81" s="54"/>
      <c r="AOK81" s="54"/>
      <c r="AOL81" s="54"/>
      <c r="AOM81" s="54"/>
      <c r="AON81" s="54"/>
      <c r="AOO81" s="54"/>
      <c r="AOP81" s="54"/>
      <c r="AOQ81" s="54"/>
      <c r="AOR81" s="54"/>
      <c r="AOS81" s="54"/>
      <c r="AOT81" s="54"/>
      <c r="AOU81" s="54"/>
      <c r="AOV81" s="54"/>
      <c r="AOW81" s="54"/>
      <c r="AOX81" s="54"/>
      <c r="AOY81" s="54"/>
      <c r="AOZ81" s="54"/>
      <c r="APA81" s="54"/>
      <c r="APB81" s="54"/>
      <c r="APC81" s="54"/>
      <c r="APD81" s="54"/>
      <c r="APE81" s="54"/>
      <c r="APF81" s="54"/>
      <c r="APG81" s="54"/>
      <c r="APH81" s="54"/>
      <c r="API81" s="54"/>
      <c r="APJ81" s="54"/>
      <c r="APK81" s="54"/>
      <c r="APL81" s="54"/>
      <c r="APM81" s="54"/>
      <c r="APN81" s="54"/>
      <c r="APO81" s="54"/>
      <c r="APP81" s="54"/>
      <c r="APQ81" s="54"/>
      <c r="APR81" s="54"/>
      <c r="APS81" s="54"/>
      <c r="APT81" s="54"/>
      <c r="APU81" s="54"/>
      <c r="APV81" s="54"/>
      <c r="APW81" s="54"/>
      <c r="APX81" s="54"/>
      <c r="APY81" s="54"/>
      <c r="APZ81" s="54"/>
      <c r="AQA81" s="54"/>
      <c r="AQB81" s="54"/>
      <c r="AQC81" s="54"/>
      <c r="AQD81" s="54"/>
      <c r="AQE81" s="54"/>
      <c r="AQF81" s="54"/>
      <c r="AQG81" s="54"/>
      <c r="AQH81" s="54"/>
      <c r="AQI81" s="54"/>
      <c r="AQJ81" s="54"/>
      <c r="AQK81" s="54"/>
      <c r="AQL81" s="54"/>
      <c r="AQM81" s="54"/>
      <c r="AQN81" s="54"/>
      <c r="AQO81" s="54"/>
      <c r="AQP81" s="54"/>
      <c r="AQQ81" s="54"/>
      <c r="AQR81" s="54"/>
      <c r="AQS81" s="54"/>
      <c r="AQT81" s="54"/>
      <c r="AQU81" s="54"/>
      <c r="AQV81" s="54"/>
      <c r="AQW81" s="54"/>
      <c r="AQX81" s="54"/>
      <c r="AQY81" s="54"/>
      <c r="AQZ81" s="54"/>
      <c r="ARA81" s="54"/>
      <c r="ARB81" s="54"/>
      <c r="ARC81" s="54"/>
      <c r="ARD81" s="54"/>
      <c r="ARE81" s="54"/>
      <c r="ARF81" s="54"/>
      <c r="ARG81" s="54"/>
      <c r="ARH81" s="54"/>
      <c r="ARI81" s="54"/>
      <c r="ARJ81" s="54"/>
      <c r="ARK81" s="54"/>
      <c r="ARL81" s="54"/>
      <c r="ARM81" s="54"/>
      <c r="ARN81" s="54"/>
      <c r="ARO81" s="54"/>
      <c r="ARP81" s="54"/>
      <c r="ARQ81" s="54"/>
      <c r="ARR81" s="54"/>
      <c r="ARS81" s="54"/>
      <c r="ART81" s="54"/>
      <c r="ARU81" s="54"/>
      <c r="ARV81" s="54"/>
      <c r="ARW81" s="54"/>
      <c r="ARX81" s="54"/>
      <c r="ARY81" s="54"/>
      <c r="ARZ81" s="54"/>
      <c r="ASA81" s="54"/>
      <c r="ASB81" s="54"/>
      <c r="ASC81" s="54"/>
      <c r="ASD81" s="54"/>
      <c r="ASE81" s="54"/>
      <c r="ASF81" s="54"/>
      <c r="ASG81" s="54"/>
      <c r="ASH81" s="54"/>
      <c r="ASI81" s="54"/>
      <c r="ASJ81" s="54"/>
      <c r="ASK81" s="54"/>
      <c r="ASL81" s="54"/>
      <c r="ASM81" s="54"/>
      <c r="ASN81" s="54"/>
      <c r="ASO81" s="54"/>
      <c r="ASP81" s="54"/>
      <c r="ASQ81" s="54"/>
      <c r="ASR81" s="54"/>
      <c r="ASS81" s="54"/>
      <c r="AST81" s="54"/>
      <c r="ASU81" s="54"/>
      <c r="ASV81" s="54"/>
      <c r="ASW81" s="54"/>
      <c r="ASX81" s="54"/>
      <c r="ASY81" s="54"/>
      <c r="ASZ81" s="54"/>
      <c r="ATA81" s="54"/>
      <c r="ATB81" s="54"/>
      <c r="ATC81" s="54"/>
      <c r="ATD81" s="54"/>
      <c r="ATE81" s="54"/>
      <c r="ATF81" s="54"/>
      <c r="ATG81" s="54"/>
      <c r="ATH81" s="54"/>
      <c r="ATI81" s="54"/>
      <c r="ATJ81" s="54"/>
      <c r="ATK81" s="54"/>
      <c r="ATL81" s="54"/>
      <c r="ATM81" s="54"/>
      <c r="ATN81" s="54"/>
      <c r="ATO81" s="54"/>
      <c r="ATP81" s="54"/>
      <c r="ATQ81" s="54"/>
      <c r="ATR81" s="54"/>
      <c r="ATS81" s="54"/>
      <c r="ATT81" s="54"/>
      <c r="ATU81" s="54"/>
      <c r="ATV81" s="54"/>
      <c r="ATW81" s="54"/>
      <c r="ATX81" s="54"/>
      <c r="ATY81" s="54"/>
      <c r="ATZ81" s="54"/>
      <c r="AUA81" s="54"/>
      <c r="AUB81" s="54"/>
      <c r="AUC81" s="54"/>
      <c r="AUD81" s="54"/>
      <c r="AUE81" s="54"/>
      <c r="AUF81" s="54"/>
      <c r="AUG81" s="54"/>
      <c r="AUH81" s="54"/>
      <c r="AUI81" s="54"/>
      <c r="AUJ81" s="54"/>
      <c r="AUK81" s="54"/>
      <c r="AUL81" s="54"/>
      <c r="AUM81" s="54"/>
      <c r="AUN81" s="54"/>
      <c r="AUO81" s="54"/>
      <c r="AUP81" s="54"/>
      <c r="AUQ81" s="54"/>
      <c r="AUR81" s="54"/>
      <c r="AUS81" s="54"/>
      <c r="AUT81" s="54"/>
      <c r="AUU81" s="54"/>
      <c r="AUV81" s="54"/>
      <c r="AUW81" s="54"/>
      <c r="AUX81" s="54"/>
      <c r="AUY81" s="54"/>
      <c r="AUZ81" s="54"/>
      <c r="AVA81" s="54"/>
      <c r="AVB81" s="54"/>
      <c r="AVC81" s="54"/>
      <c r="AVD81" s="54"/>
      <c r="AVE81" s="54"/>
      <c r="AVF81" s="54"/>
      <c r="AVG81" s="54"/>
      <c r="AVH81" s="54"/>
      <c r="AVI81" s="54"/>
      <c r="AVJ81" s="54"/>
      <c r="AVK81" s="54"/>
      <c r="AVL81" s="54"/>
      <c r="AVM81" s="54"/>
      <c r="AVN81" s="54"/>
      <c r="AVO81" s="54"/>
      <c r="AVP81" s="54"/>
      <c r="AVQ81" s="54"/>
      <c r="AVR81" s="54"/>
      <c r="AVS81" s="54"/>
      <c r="AVT81" s="54"/>
      <c r="AVU81" s="54"/>
      <c r="AVV81" s="54"/>
      <c r="AVW81" s="54"/>
      <c r="AVX81" s="54"/>
      <c r="AVY81" s="54"/>
      <c r="AVZ81" s="54"/>
      <c r="AWA81" s="54"/>
      <c r="AWB81" s="54"/>
      <c r="AWC81" s="54"/>
      <c r="AWD81" s="54"/>
      <c r="AWE81" s="54"/>
      <c r="AWF81" s="54"/>
      <c r="AWG81" s="54"/>
      <c r="AWH81" s="54"/>
      <c r="AWI81" s="54"/>
      <c r="AWJ81" s="54"/>
      <c r="AWK81" s="54"/>
      <c r="AWL81" s="54"/>
      <c r="AWM81" s="54"/>
      <c r="AWN81" s="54"/>
      <c r="AWO81" s="54"/>
      <c r="AWP81" s="54"/>
      <c r="AWQ81" s="54"/>
      <c r="AWR81" s="54"/>
      <c r="AWS81" s="54"/>
      <c r="AWT81" s="54"/>
      <c r="AWU81" s="54"/>
      <c r="AWV81" s="54"/>
      <c r="AWW81" s="54"/>
      <c r="AWX81" s="54"/>
      <c r="AWY81" s="54"/>
      <c r="AWZ81" s="54"/>
      <c r="AXA81" s="54"/>
      <c r="AXB81" s="54"/>
      <c r="AXC81" s="54"/>
      <c r="AXD81" s="54"/>
      <c r="AXE81" s="54"/>
      <c r="AXF81" s="54"/>
      <c r="AXG81" s="54"/>
      <c r="AXH81" s="54"/>
      <c r="AXI81" s="54"/>
      <c r="AXJ81" s="54"/>
      <c r="AXK81" s="54"/>
      <c r="AXL81" s="54"/>
      <c r="AXM81" s="54"/>
      <c r="AXN81" s="54"/>
      <c r="AXO81" s="54"/>
      <c r="AXP81" s="54"/>
      <c r="AXQ81" s="54"/>
      <c r="AXR81" s="54"/>
      <c r="AXS81" s="54"/>
      <c r="AXT81" s="54"/>
      <c r="AXU81" s="54"/>
      <c r="AXV81" s="54"/>
      <c r="AXW81" s="54"/>
      <c r="AXX81" s="54"/>
      <c r="AXY81" s="54"/>
      <c r="AXZ81" s="54"/>
      <c r="AYA81" s="54"/>
      <c r="AYB81" s="54"/>
      <c r="AYC81" s="54"/>
      <c r="AYD81" s="54"/>
      <c r="AYE81" s="54"/>
      <c r="AYF81" s="54"/>
      <c r="AYG81" s="54"/>
      <c r="AYH81" s="54"/>
      <c r="AYI81" s="54"/>
      <c r="AYJ81" s="54"/>
      <c r="AYK81" s="54"/>
      <c r="AYL81" s="54"/>
      <c r="AYM81" s="54"/>
      <c r="AYN81" s="54"/>
      <c r="AYO81" s="54"/>
      <c r="AYP81" s="54"/>
      <c r="AYQ81" s="54"/>
      <c r="AYR81" s="54"/>
      <c r="AYS81" s="54"/>
      <c r="AYT81" s="54"/>
      <c r="AYU81" s="54"/>
      <c r="AYV81" s="54"/>
      <c r="AYW81" s="54"/>
      <c r="AYX81" s="54"/>
      <c r="AYY81" s="54"/>
      <c r="AYZ81" s="54"/>
      <c r="AZA81" s="54"/>
      <c r="AZB81" s="54"/>
      <c r="AZC81" s="54"/>
      <c r="AZD81" s="54"/>
      <c r="AZE81" s="54"/>
      <c r="AZF81" s="54"/>
      <c r="AZG81" s="54"/>
      <c r="AZH81" s="54"/>
      <c r="AZI81" s="54"/>
      <c r="AZJ81" s="54"/>
      <c r="AZK81" s="54"/>
      <c r="AZL81" s="54"/>
      <c r="AZM81" s="54"/>
      <c r="AZN81" s="54"/>
      <c r="AZO81" s="54"/>
      <c r="AZP81" s="54"/>
      <c r="AZQ81" s="54"/>
      <c r="AZR81" s="54"/>
      <c r="AZS81" s="54"/>
      <c r="AZT81" s="54"/>
      <c r="AZU81" s="54"/>
      <c r="AZV81" s="54"/>
      <c r="AZW81" s="54"/>
      <c r="AZX81" s="54"/>
      <c r="AZY81" s="54"/>
      <c r="AZZ81" s="54"/>
      <c r="BAA81" s="54"/>
      <c r="BAB81" s="54"/>
      <c r="BAC81" s="54"/>
      <c r="BAD81" s="54"/>
      <c r="BAE81" s="54"/>
      <c r="BAF81" s="54"/>
      <c r="BAG81" s="54"/>
      <c r="BAH81" s="54"/>
      <c r="BAI81" s="54"/>
      <c r="BAJ81" s="54"/>
      <c r="BAK81" s="54"/>
      <c r="BAL81" s="54"/>
      <c r="BAM81" s="54"/>
      <c r="BAN81" s="54"/>
      <c r="BAO81" s="54"/>
      <c r="BAP81" s="54"/>
      <c r="BAQ81" s="54"/>
      <c r="BAR81" s="54"/>
      <c r="BAS81" s="54"/>
      <c r="BAT81" s="54"/>
      <c r="BAU81" s="54"/>
      <c r="BAV81" s="54"/>
      <c r="BAW81" s="54"/>
      <c r="BAX81" s="54"/>
      <c r="BAY81" s="54"/>
      <c r="BAZ81" s="54"/>
      <c r="BBA81" s="54"/>
      <c r="BBB81" s="54"/>
      <c r="BBC81" s="54"/>
      <c r="BBD81" s="54"/>
      <c r="BBE81" s="54"/>
      <c r="BBF81" s="54"/>
      <c r="BBG81" s="54"/>
      <c r="BBH81" s="54"/>
      <c r="BBI81" s="54"/>
      <c r="BBJ81" s="54"/>
      <c r="BBK81" s="54"/>
      <c r="BBL81" s="54"/>
      <c r="BBM81" s="54"/>
      <c r="BBN81" s="54"/>
      <c r="BBO81" s="54"/>
      <c r="BBP81" s="54"/>
      <c r="BBQ81" s="54"/>
      <c r="BBR81" s="54"/>
      <c r="BBS81" s="54"/>
      <c r="BBT81" s="54"/>
      <c r="BBU81" s="54"/>
      <c r="BBV81" s="54"/>
      <c r="BBW81" s="54"/>
      <c r="BBX81" s="54"/>
      <c r="BBY81" s="54"/>
      <c r="BBZ81" s="54"/>
      <c r="BCA81" s="54"/>
      <c r="BCB81" s="54"/>
      <c r="BCC81" s="54"/>
      <c r="BCD81" s="54"/>
      <c r="BCE81" s="54"/>
      <c r="BCF81" s="54"/>
      <c r="BCG81" s="54"/>
      <c r="BCH81" s="54"/>
      <c r="BCI81" s="54"/>
      <c r="BCJ81" s="54"/>
      <c r="BCK81" s="54"/>
      <c r="BCL81" s="54"/>
      <c r="BCM81" s="54"/>
      <c r="BCN81" s="54"/>
      <c r="BCO81" s="54"/>
      <c r="BCP81" s="54"/>
      <c r="BCQ81" s="54"/>
      <c r="BCR81" s="54"/>
      <c r="BCS81" s="54"/>
      <c r="BCT81" s="54"/>
      <c r="BCU81" s="54"/>
      <c r="BCV81" s="54"/>
      <c r="BCW81" s="54"/>
      <c r="BCX81" s="54"/>
      <c r="BCY81" s="54"/>
      <c r="BCZ81" s="54"/>
      <c r="BDA81" s="54"/>
      <c r="BDB81" s="54"/>
      <c r="BDC81" s="54"/>
      <c r="BDD81" s="54"/>
      <c r="BDE81" s="54"/>
      <c r="BDF81" s="54"/>
      <c r="BDG81" s="54"/>
      <c r="BDH81" s="54"/>
      <c r="BDI81" s="54"/>
      <c r="BDJ81" s="54"/>
      <c r="BDK81" s="54"/>
      <c r="BDL81" s="54"/>
      <c r="BDM81" s="54"/>
      <c r="BDN81" s="54"/>
      <c r="BDO81" s="54"/>
      <c r="BDP81" s="54"/>
      <c r="BDQ81" s="54"/>
      <c r="BDR81" s="54"/>
      <c r="BDS81" s="54"/>
      <c r="BDT81" s="54"/>
      <c r="BDU81" s="54"/>
      <c r="BDV81" s="54"/>
      <c r="BDW81" s="54"/>
      <c r="BDX81" s="54"/>
      <c r="BDY81" s="54"/>
      <c r="BDZ81" s="54"/>
      <c r="BEA81" s="54"/>
      <c r="BEB81" s="54"/>
      <c r="BEC81" s="54"/>
      <c r="BED81" s="54"/>
      <c r="BEE81" s="54"/>
      <c r="BEF81" s="54"/>
      <c r="BEG81" s="54"/>
      <c r="BEH81" s="54"/>
      <c r="BEI81" s="54"/>
      <c r="BEJ81" s="54"/>
      <c r="BEK81" s="54"/>
      <c r="BEL81" s="54"/>
      <c r="BEM81" s="54"/>
      <c r="BEN81" s="54"/>
      <c r="BEO81" s="54"/>
      <c r="BEP81" s="54"/>
      <c r="BEQ81" s="54"/>
      <c r="BER81" s="54"/>
      <c r="BES81" s="54"/>
      <c r="BET81" s="54"/>
      <c r="BEU81" s="54"/>
      <c r="BEV81" s="54"/>
      <c r="BEW81" s="54"/>
      <c r="BEX81" s="54"/>
      <c r="BEY81" s="54"/>
      <c r="BEZ81" s="54"/>
      <c r="BFA81" s="54"/>
      <c r="BFB81" s="54"/>
      <c r="BFC81" s="54"/>
      <c r="BFD81" s="54"/>
      <c r="BFE81" s="54"/>
      <c r="BFF81" s="54"/>
      <c r="BFG81" s="54"/>
      <c r="BFH81" s="54"/>
      <c r="BFI81" s="54"/>
      <c r="BFJ81" s="54"/>
      <c r="BFK81" s="54"/>
      <c r="BFL81" s="54"/>
      <c r="BFM81" s="54"/>
      <c r="BFN81" s="54"/>
      <c r="BFO81" s="54"/>
      <c r="BFP81" s="54"/>
      <c r="BFQ81" s="54"/>
      <c r="BFR81" s="54"/>
      <c r="BFS81" s="54"/>
      <c r="BFT81" s="54"/>
      <c r="BFU81" s="54"/>
      <c r="BFV81" s="54"/>
      <c r="BFW81" s="54"/>
      <c r="BFX81" s="54"/>
      <c r="BFY81" s="54"/>
      <c r="BFZ81" s="54"/>
      <c r="BGA81" s="54"/>
      <c r="BGB81" s="54"/>
      <c r="BGC81" s="54"/>
      <c r="BGD81" s="54"/>
      <c r="BGE81" s="54"/>
      <c r="BGF81" s="54"/>
      <c r="BGG81" s="54"/>
      <c r="BGH81" s="54"/>
      <c r="BGI81" s="54"/>
      <c r="BGJ81" s="54"/>
      <c r="BGK81" s="54"/>
      <c r="BGL81" s="54"/>
      <c r="BGM81" s="54"/>
      <c r="BGN81" s="54"/>
      <c r="BGO81" s="54"/>
      <c r="BGP81" s="54"/>
      <c r="BGQ81" s="54"/>
      <c r="BGR81" s="54"/>
      <c r="BGS81" s="54"/>
      <c r="BGT81" s="54"/>
      <c r="BGU81" s="54"/>
      <c r="BGV81" s="54"/>
      <c r="BGW81" s="54"/>
      <c r="BGX81" s="54"/>
      <c r="BGY81" s="54"/>
      <c r="BGZ81" s="54"/>
      <c r="BHA81" s="54"/>
      <c r="BHB81" s="54"/>
      <c r="BHC81" s="54"/>
      <c r="BHD81" s="54"/>
      <c r="BHE81" s="54"/>
      <c r="BHF81" s="54"/>
      <c r="BHG81" s="54"/>
      <c r="BHH81" s="54"/>
      <c r="BHI81" s="54"/>
      <c r="BHJ81" s="54"/>
      <c r="BHK81" s="54"/>
      <c r="BHL81" s="54"/>
      <c r="BHM81" s="54"/>
      <c r="BHN81" s="54"/>
      <c r="BHO81" s="54"/>
      <c r="BHP81" s="54"/>
      <c r="BHQ81" s="54"/>
      <c r="BHR81" s="54"/>
      <c r="BHS81" s="54"/>
      <c r="BHT81" s="54"/>
      <c r="BHU81" s="54"/>
      <c r="BHV81" s="54"/>
      <c r="BHW81" s="54"/>
      <c r="BHX81" s="54"/>
      <c r="BHY81" s="54"/>
      <c r="BHZ81" s="54"/>
      <c r="BIA81" s="54"/>
      <c r="BIB81" s="54"/>
      <c r="BIC81" s="54"/>
      <c r="BID81" s="54"/>
      <c r="BIE81" s="54"/>
      <c r="BIF81" s="54"/>
      <c r="BIG81" s="54"/>
      <c r="BIH81" s="54"/>
      <c r="BII81" s="54"/>
      <c r="BIJ81" s="54"/>
      <c r="BIK81" s="54"/>
      <c r="BIL81" s="54"/>
      <c r="BIM81" s="54"/>
      <c r="BIN81" s="54"/>
      <c r="BIO81" s="54"/>
      <c r="BIP81" s="54"/>
      <c r="BIQ81" s="54"/>
      <c r="BIR81" s="54"/>
      <c r="BIS81" s="54"/>
      <c r="BIT81" s="54"/>
      <c r="BIU81" s="54"/>
      <c r="BIV81" s="54"/>
      <c r="BIW81" s="54"/>
      <c r="BIX81" s="54"/>
      <c r="BIY81" s="54"/>
      <c r="BIZ81" s="54"/>
      <c r="BJA81" s="54"/>
      <c r="BJB81" s="54"/>
      <c r="BJC81" s="54"/>
      <c r="BJD81" s="54"/>
      <c r="BJE81" s="54"/>
      <c r="BJF81" s="54"/>
      <c r="BJG81" s="54"/>
      <c r="BJH81" s="54"/>
      <c r="BJI81" s="54"/>
      <c r="BJJ81" s="54"/>
      <c r="BJK81" s="54"/>
      <c r="BJL81" s="54"/>
      <c r="BJM81" s="54"/>
      <c r="BJN81" s="54"/>
      <c r="BJO81" s="54"/>
      <c r="BJP81" s="54"/>
      <c r="BJQ81" s="54"/>
      <c r="BJR81" s="54"/>
      <c r="BJS81" s="54"/>
      <c r="BJT81" s="54"/>
      <c r="BJU81" s="54"/>
      <c r="BJV81" s="54"/>
      <c r="BJW81" s="54"/>
      <c r="BJX81" s="54"/>
      <c r="BJY81" s="54"/>
      <c r="BJZ81" s="54"/>
      <c r="BKA81" s="54"/>
      <c r="BKB81" s="54"/>
      <c r="BKC81" s="54"/>
      <c r="BKD81" s="54"/>
      <c r="BKE81" s="54"/>
      <c r="BKF81" s="54"/>
      <c r="BKG81" s="54"/>
      <c r="BKH81" s="54"/>
      <c r="BKI81" s="54"/>
      <c r="BKJ81" s="54"/>
      <c r="BKK81" s="54"/>
      <c r="BKL81" s="54"/>
      <c r="BKM81" s="54"/>
      <c r="BKN81" s="54"/>
      <c r="BKO81" s="54"/>
      <c r="BKP81" s="54"/>
      <c r="BKQ81" s="54"/>
      <c r="BKR81" s="54"/>
      <c r="BKS81" s="54"/>
      <c r="BKT81" s="54"/>
      <c r="BKU81" s="54"/>
      <c r="BKV81" s="54"/>
      <c r="BKW81" s="54"/>
      <c r="BKX81" s="54"/>
      <c r="BKY81" s="54"/>
      <c r="BKZ81" s="54"/>
      <c r="BLA81" s="54"/>
      <c r="BLB81" s="54"/>
      <c r="BLC81" s="54"/>
      <c r="BLD81" s="54"/>
      <c r="BLE81" s="54"/>
      <c r="BLF81" s="54"/>
      <c r="BLG81" s="54"/>
      <c r="BLH81" s="54"/>
      <c r="BLI81" s="54"/>
      <c r="BLJ81" s="54"/>
      <c r="BLK81" s="54"/>
      <c r="BLL81" s="54"/>
      <c r="BLM81" s="54"/>
      <c r="BLN81" s="54"/>
      <c r="BLO81" s="54"/>
      <c r="BLP81" s="54"/>
      <c r="BLQ81" s="54"/>
      <c r="BLR81" s="54"/>
      <c r="BLS81" s="54"/>
      <c r="BLT81" s="54"/>
      <c r="BLU81" s="54"/>
      <c r="BLV81" s="54"/>
      <c r="BLW81" s="54"/>
      <c r="BLX81" s="54"/>
      <c r="BLY81" s="54"/>
      <c r="BLZ81" s="54"/>
      <c r="BMA81" s="54"/>
      <c r="BMB81" s="54"/>
      <c r="BMC81" s="54"/>
      <c r="BMD81" s="54"/>
      <c r="BME81" s="54"/>
      <c r="BMF81" s="54"/>
      <c r="BMG81" s="54"/>
      <c r="BMH81" s="54"/>
      <c r="BMI81" s="54"/>
      <c r="BMJ81" s="54"/>
      <c r="BMK81" s="54"/>
      <c r="BML81" s="54"/>
      <c r="BMM81" s="54"/>
      <c r="BMN81" s="54"/>
      <c r="BMO81" s="54"/>
      <c r="BMP81" s="54"/>
      <c r="BMQ81" s="54"/>
      <c r="BMR81" s="54"/>
      <c r="BMS81" s="54"/>
      <c r="BMT81" s="54"/>
      <c r="BMU81" s="54"/>
      <c r="BMV81" s="54"/>
      <c r="BMW81" s="54"/>
      <c r="BMX81" s="54"/>
      <c r="BMY81" s="54"/>
      <c r="BMZ81" s="54"/>
      <c r="BNA81" s="54"/>
      <c r="BNB81" s="54"/>
      <c r="BNC81" s="54"/>
      <c r="BND81" s="54"/>
      <c r="BNE81" s="54"/>
      <c r="BNF81" s="54"/>
      <c r="BNG81" s="54"/>
      <c r="BNH81" s="54"/>
      <c r="BNI81" s="54"/>
      <c r="BNJ81" s="54"/>
      <c r="BNK81" s="54"/>
      <c r="BNL81" s="54"/>
      <c r="BNM81" s="54"/>
      <c r="BNN81" s="54"/>
      <c r="BNO81" s="54"/>
      <c r="BNP81" s="54"/>
      <c r="BNQ81" s="54"/>
      <c r="BNR81" s="54"/>
      <c r="BNS81" s="54"/>
      <c r="BNT81" s="54"/>
      <c r="BNU81" s="54"/>
      <c r="BNV81" s="54"/>
      <c r="BNW81" s="54"/>
      <c r="BNX81" s="54"/>
      <c r="BNY81" s="54"/>
      <c r="BNZ81" s="54"/>
      <c r="BOA81" s="54"/>
      <c r="BOB81" s="54"/>
      <c r="BOC81" s="54"/>
      <c r="BOD81" s="54"/>
      <c r="BOE81" s="54"/>
      <c r="BOF81" s="54"/>
      <c r="BOG81" s="54"/>
      <c r="BOH81" s="54"/>
      <c r="BOI81" s="54"/>
      <c r="BOJ81" s="54"/>
      <c r="BOK81" s="54"/>
      <c r="BOL81" s="54"/>
      <c r="BOM81" s="54"/>
      <c r="BON81" s="54"/>
      <c r="BOO81" s="54"/>
      <c r="BOP81" s="54"/>
      <c r="BOQ81" s="54"/>
      <c r="BOR81" s="54"/>
      <c r="BOS81" s="54"/>
      <c r="BOT81" s="54"/>
      <c r="BOU81" s="54"/>
      <c r="BOV81" s="54"/>
      <c r="BOW81" s="54"/>
      <c r="BOX81" s="54"/>
      <c r="BOY81" s="54"/>
      <c r="BOZ81" s="54"/>
      <c r="BPA81" s="54"/>
      <c r="BPB81" s="54"/>
      <c r="BPC81" s="54"/>
      <c r="BPD81" s="54"/>
      <c r="BPE81" s="54"/>
      <c r="BPF81" s="54"/>
      <c r="BPG81" s="54"/>
      <c r="BPH81" s="54"/>
      <c r="BPI81" s="54"/>
      <c r="BPJ81" s="54"/>
      <c r="BPK81" s="54"/>
      <c r="BPL81" s="54"/>
      <c r="BPM81" s="54"/>
      <c r="BPN81" s="54"/>
      <c r="BPO81" s="54"/>
      <c r="BPP81" s="54"/>
      <c r="BPQ81" s="54"/>
      <c r="BPR81" s="54"/>
      <c r="BPS81" s="54"/>
      <c r="BPT81" s="54"/>
      <c r="BPU81" s="54"/>
      <c r="BPV81" s="54"/>
      <c r="BPW81" s="54"/>
      <c r="BPX81" s="54"/>
      <c r="BPY81" s="54"/>
      <c r="BPZ81" s="54"/>
      <c r="BQA81" s="54"/>
      <c r="BQB81" s="54"/>
      <c r="BQC81" s="54"/>
      <c r="BQD81" s="54"/>
      <c r="BQE81" s="54"/>
      <c r="BQF81" s="54"/>
      <c r="BQG81" s="54"/>
      <c r="BQH81" s="54"/>
      <c r="BQI81" s="54"/>
      <c r="BQJ81" s="54"/>
      <c r="BQK81" s="54"/>
      <c r="BQL81" s="54"/>
      <c r="BQM81" s="54"/>
      <c r="BQN81" s="54"/>
      <c r="BQO81" s="54"/>
      <c r="BQP81" s="54"/>
      <c r="BQQ81" s="54"/>
      <c r="BQR81" s="54"/>
      <c r="BQS81" s="54"/>
      <c r="BQT81" s="54"/>
      <c r="BQU81" s="54"/>
      <c r="BQV81" s="54"/>
      <c r="BQW81" s="54"/>
      <c r="BQX81" s="54"/>
      <c r="BQY81" s="54"/>
      <c r="BQZ81" s="54"/>
      <c r="BRA81" s="54"/>
      <c r="BRB81" s="54"/>
      <c r="BRC81" s="54"/>
      <c r="BRD81" s="54"/>
      <c r="BRE81" s="54"/>
      <c r="BRF81" s="54"/>
      <c r="BRG81" s="54"/>
      <c r="BRH81" s="54"/>
      <c r="BRI81" s="54"/>
      <c r="BRJ81" s="54"/>
      <c r="BRK81" s="54"/>
      <c r="BRL81" s="54"/>
      <c r="BRM81" s="54"/>
      <c r="BRN81" s="54"/>
      <c r="BRO81" s="54"/>
      <c r="BRP81" s="54"/>
      <c r="BRQ81" s="54"/>
      <c r="BRR81" s="54"/>
      <c r="BRS81" s="54"/>
      <c r="BRT81" s="54"/>
      <c r="BRU81" s="54"/>
      <c r="BRV81" s="54"/>
      <c r="BRW81" s="54"/>
      <c r="BRX81" s="54"/>
      <c r="BRY81" s="54"/>
      <c r="BRZ81" s="54"/>
      <c r="BSA81" s="54"/>
      <c r="BSB81" s="54"/>
      <c r="BSC81" s="54"/>
      <c r="BSD81" s="54"/>
      <c r="BSE81" s="54"/>
      <c r="BSF81" s="54"/>
      <c r="BSG81" s="54"/>
      <c r="BSH81" s="54"/>
      <c r="BSI81" s="54"/>
      <c r="BSJ81" s="54"/>
      <c r="BSK81" s="54"/>
      <c r="BSL81" s="54"/>
      <c r="BSM81" s="54"/>
      <c r="BSN81" s="54"/>
      <c r="BSO81" s="54"/>
      <c r="BSP81" s="54"/>
      <c r="BSQ81" s="54"/>
      <c r="BSR81" s="54"/>
      <c r="BSS81" s="54"/>
      <c r="BST81" s="54"/>
      <c r="BSU81" s="54"/>
      <c r="BSV81" s="54"/>
      <c r="BSW81" s="54"/>
      <c r="BSX81" s="54"/>
      <c r="BSY81" s="54"/>
      <c r="BSZ81" s="54"/>
      <c r="BTA81" s="54"/>
      <c r="BTB81" s="54"/>
      <c r="BTC81" s="54"/>
      <c r="BTD81" s="54"/>
      <c r="BTE81" s="54"/>
      <c r="BTF81" s="54"/>
      <c r="BTG81" s="54"/>
      <c r="BTH81" s="54"/>
      <c r="BTI81" s="54"/>
      <c r="BTJ81" s="54"/>
      <c r="BTK81" s="54"/>
      <c r="BTL81" s="54"/>
      <c r="BTM81" s="54"/>
      <c r="BTN81" s="54"/>
      <c r="BTO81" s="54"/>
      <c r="BTP81" s="54"/>
      <c r="BTQ81" s="54"/>
      <c r="BTR81" s="54"/>
      <c r="BTS81" s="54"/>
      <c r="BTT81" s="54"/>
      <c r="BTU81" s="54"/>
      <c r="BTV81" s="54"/>
      <c r="BTW81" s="54"/>
      <c r="BTX81" s="54"/>
      <c r="BTY81" s="54"/>
      <c r="BTZ81" s="54"/>
      <c r="BUA81" s="54"/>
      <c r="BUB81" s="54"/>
      <c r="BUC81" s="54"/>
      <c r="BUD81" s="54"/>
      <c r="BUE81" s="54"/>
      <c r="BUF81" s="54"/>
      <c r="BUG81" s="54"/>
      <c r="BUH81" s="54"/>
      <c r="BUI81" s="54"/>
      <c r="BUJ81" s="54"/>
      <c r="BUK81" s="54"/>
      <c r="BUL81" s="54"/>
      <c r="BUM81" s="54"/>
      <c r="BUN81" s="54"/>
      <c r="BUO81" s="54"/>
      <c r="BUP81" s="54"/>
      <c r="BUQ81" s="54"/>
      <c r="BUR81" s="54"/>
      <c r="BUS81" s="54"/>
      <c r="BUT81" s="54"/>
      <c r="BUU81" s="54"/>
      <c r="BUV81" s="54"/>
      <c r="BUW81" s="54"/>
      <c r="BUX81" s="54"/>
      <c r="BUY81" s="54"/>
      <c r="BUZ81" s="54"/>
      <c r="BVA81" s="54"/>
      <c r="BVB81" s="54"/>
      <c r="BVC81" s="54"/>
      <c r="BVD81" s="54"/>
      <c r="BVE81" s="54"/>
      <c r="BVF81" s="54"/>
      <c r="BVG81" s="54"/>
      <c r="BVH81" s="54"/>
      <c r="BVI81" s="54"/>
      <c r="BVJ81" s="54"/>
      <c r="BVK81" s="54"/>
      <c r="BVL81" s="54"/>
      <c r="BVM81" s="54"/>
      <c r="BVN81" s="54"/>
      <c r="BVO81" s="54"/>
      <c r="BVP81" s="54"/>
      <c r="BVQ81" s="54"/>
      <c r="BVR81" s="54"/>
      <c r="BVS81" s="54"/>
      <c r="BVT81" s="54"/>
      <c r="BVU81" s="54"/>
      <c r="BVV81" s="54"/>
      <c r="BVW81" s="54"/>
      <c r="BVX81" s="54"/>
      <c r="BVY81" s="54"/>
      <c r="BVZ81" s="54"/>
      <c r="BWA81" s="54"/>
      <c r="BWB81" s="54"/>
      <c r="BWC81" s="54"/>
      <c r="BWD81" s="54"/>
      <c r="BWE81" s="54"/>
      <c r="BWF81" s="54"/>
      <c r="BWG81" s="54"/>
      <c r="BWH81" s="54"/>
      <c r="BWI81" s="54"/>
      <c r="BWJ81" s="54"/>
      <c r="BWK81" s="54"/>
      <c r="BWL81" s="54"/>
      <c r="BWM81" s="54"/>
      <c r="BWN81" s="54"/>
      <c r="BWO81" s="54"/>
      <c r="BWP81" s="54"/>
      <c r="BWQ81" s="54"/>
      <c r="BWR81" s="54"/>
      <c r="BWS81" s="54"/>
      <c r="BWT81" s="54"/>
      <c r="BWU81" s="54"/>
      <c r="BWV81" s="54"/>
      <c r="BWW81" s="54"/>
      <c r="BWX81" s="54"/>
      <c r="BWY81" s="54"/>
      <c r="BWZ81" s="54"/>
      <c r="BXA81" s="54"/>
      <c r="BXB81" s="54"/>
      <c r="BXC81" s="54"/>
      <c r="BXD81" s="54"/>
      <c r="BXE81" s="54"/>
      <c r="BXF81" s="54"/>
      <c r="BXG81" s="54"/>
      <c r="BXH81" s="54"/>
      <c r="BXI81" s="54"/>
      <c r="BXJ81" s="54"/>
      <c r="BXK81" s="54"/>
      <c r="BXL81" s="54"/>
      <c r="BXM81" s="54"/>
      <c r="BXN81" s="54"/>
      <c r="BXO81" s="54"/>
      <c r="BXP81" s="54"/>
      <c r="BXQ81" s="54"/>
      <c r="BXR81" s="54"/>
      <c r="BXS81" s="54"/>
      <c r="BXT81" s="54"/>
      <c r="BXU81" s="54"/>
      <c r="BXV81" s="54"/>
      <c r="BXW81" s="54"/>
      <c r="BXX81" s="54"/>
      <c r="BXY81" s="54"/>
      <c r="BXZ81" s="54"/>
      <c r="BYA81" s="54"/>
      <c r="BYB81" s="54"/>
      <c r="BYC81" s="54"/>
      <c r="BYD81" s="54"/>
      <c r="BYE81" s="54"/>
      <c r="BYF81" s="54"/>
      <c r="BYG81" s="54"/>
      <c r="BYH81" s="54"/>
      <c r="BYI81" s="54"/>
      <c r="BYJ81" s="54"/>
      <c r="BYK81" s="54"/>
      <c r="BYL81" s="54"/>
      <c r="BYM81" s="54"/>
      <c r="BYN81" s="54"/>
      <c r="BYO81" s="54"/>
      <c r="BYP81" s="54"/>
      <c r="BYQ81" s="54"/>
      <c r="BYR81" s="54"/>
      <c r="BYS81" s="54"/>
      <c r="BYT81" s="54"/>
      <c r="BYU81" s="54"/>
      <c r="BYV81" s="54"/>
      <c r="BYW81" s="54"/>
      <c r="BYX81" s="54"/>
      <c r="BYY81" s="54"/>
      <c r="BYZ81" s="54"/>
      <c r="BZA81" s="54"/>
      <c r="BZB81" s="54"/>
      <c r="BZC81" s="54"/>
      <c r="BZD81" s="54"/>
      <c r="BZE81" s="54"/>
      <c r="BZF81" s="54"/>
      <c r="BZG81" s="54"/>
      <c r="BZH81" s="54"/>
      <c r="BZI81" s="54"/>
      <c r="BZJ81" s="54"/>
      <c r="BZK81" s="54"/>
      <c r="BZL81" s="54"/>
      <c r="BZM81" s="54"/>
      <c r="BZN81" s="54"/>
      <c r="BZO81" s="54"/>
      <c r="BZP81" s="54"/>
      <c r="BZQ81" s="54"/>
      <c r="BZR81" s="54"/>
      <c r="BZS81" s="54"/>
      <c r="BZT81" s="54"/>
      <c r="BZU81" s="54"/>
      <c r="BZV81" s="54"/>
      <c r="BZW81" s="54"/>
      <c r="BZX81" s="54"/>
      <c r="BZY81" s="54"/>
      <c r="BZZ81" s="54"/>
      <c r="CAA81" s="54"/>
      <c r="CAB81" s="54"/>
      <c r="CAC81" s="54"/>
      <c r="CAD81" s="54"/>
      <c r="CAE81" s="54"/>
      <c r="CAF81" s="54"/>
      <c r="CAG81" s="54"/>
      <c r="CAH81" s="54"/>
      <c r="CAI81" s="54"/>
      <c r="CAJ81" s="54"/>
      <c r="CAK81" s="54"/>
      <c r="CAL81" s="54"/>
      <c r="CAM81" s="54"/>
      <c r="CAN81" s="54"/>
      <c r="CAO81" s="54"/>
      <c r="CAP81" s="54"/>
      <c r="CAQ81" s="54"/>
      <c r="CAR81" s="54"/>
      <c r="CAS81" s="54"/>
      <c r="CAT81" s="54"/>
      <c r="CAU81" s="54"/>
      <c r="CAV81" s="54"/>
      <c r="CAW81" s="54"/>
      <c r="CAX81" s="54"/>
      <c r="CAY81" s="54"/>
      <c r="CAZ81" s="54"/>
      <c r="CBA81" s="54"/>
      <c r="CBB81" s="54"/>
      <c r="CBC81" s="54"/>
      <c r="CBD81" s="54"/>
      <c r="CBE81" s="54"/>
      <c r="CBF81" s="54"/>
      <c r="CBG81" s="54"/>
      <c r="CBH81" s="54"/>
      <c r="CBI81" s="54"/>
      <c r="CBJ81" s="54"/>
      <c r="CBK81" s="54"/>
      <c r="CBL81" s="54"/>
      <c r="CBM81" s="54"/>
      <c r="CBN81" s="54"/>
      <c r="CBO81" s="54"/>
      <c r="CBP81" s="54"/>
      <c r="CBQ81" s="54"/>
      <c r="CBR81" s="54"/>
      <c r="CBS81" s="54"/>
      <c r="CBT81" s="54"/>
      <c r="CBU81" s="54"/>
      <c r="CBV81" s="54"/>
      <c r="CBW81" s="54"/>
      <c r="CBX81" s="54"/>
      <c r="CBY81" s="54"/>
      <c r="CBZ81" s="54"/>
      <c r="CCA81" s="54"/>
      <c r="CCB81" s="54"/>
      <c r="CCC81" s="54"/>
      <c r="CCD81" s="54"/>
      <c r="CCE81" s="54"/>
      <c r="CCF81" s="54"/>
      <c r="CCG81" s="54"/>
      <c r="CCH81" s="54"/>
      <c r="CCI81" s="54"/>
      <c r="CCJ81" s="54"/>
      <c r="CCK81" s="54"/>
      <c r="CCL81" s="54"/>
      <c r="CCM81" s="54"/>
      <c r="CCN81" s="54"/>
      <c r="CCO81" s="54"/>
      <c r="CCP81" s="54"/>
      <c r="CCQ81" s="54"/>
      <c r="CCR81" s="54"/>
      <c r="CCS81" s="54"/>
      <c r="CCT81" s="54"/>
      <c r="CCU81" s="54"/>
      <c r="CCV81" s="54"/>
      <c r="CCW81" s="54"/>
      <c r="CCX81" s="54"/>
      <c r="CCY81" s="54"/>
      <c r="CCZ81" s="54"/>
      <c r="CDA81" s="54"/>
      <c r="CDB81" s="54"/>
      <c r="CDC81" s="54"/>
      <c r="CDD81" s="54"/>
      <c r="CDE81" s="54"/>
      <c r="CDF81" s="54"/>
      <c r="CDG81" s="54"/>
      <c r="CDH81" s="54"/>
      <c r="CDI81" s="54"/>
      <c r="CDJ81" s="54"/>
      <c r="CDK81" s="54"/>
      <c r="CDL81" s="54"/>
      <c r="CDM81" s="54"/>
      <c r="CDN81" s="54"/>
      <c r="CDO81" s="54"/>
      <c r="CDP81" s="54"/>
      <c r="CDQ81" s="54"/>
      <c r="CDR81" s="54"/>
      <c r="CDS81" s="54"/>
      <c r="CDT81" s="54"/>
      <c r="CDU81" s="54"/>
      <c r="CDV81" s="54"/>
      <c r="CDW81" s="54"/>
      <c r="CDX81" s="54"/>
      <c r="CDY81" s="54"/>
      <c r="CDZ81" s="54"/>
      <c r="CEA81" s="54"/>
      <c r="CEB81" s="54"/>
      <c r="CEC81" s="54"/>
      <c r="CED81" s="54"/>
      <c r="CEE81" s="54"/>
      <c r="CEF81" s="54"/>
      <c r="CEG81" s="54"/>
      <c r="CEH81" s="54"/>
      <c r="CEI81" s="54"/>
      <c r="CEJ81" s="54"/>
      <c r="CEK81" s="54"/>
      <c r="CEL81" s="54"/>
      <c r="CEM81" s="54"/>
      <c r="CEN81" s="54"/>
      <c r="CEO81" s="54"/>
      <c r="CEP81" s="54"/>
      <c r="CEQ81" s="54"/>
      <c r="CER81" s="54"/>
      <c r="CES81" s="54"/>
      <c r="CET81" s="54"/>
      <c r="CEU81" s="54"/>
      <c r="CEV81" s="54"/>
      <c r="CEW81" s="54"/>
      <c r="CEX81" s="54"/>
      <c r="CEY81" s="54"/>
      <c r="CEZ81" s="54"/>
      <c r="CFA81" s="54"/>
      <c r="CFB81" s="54"/>
      <c r="CFC81" s="54"/>
      <c r="CFD81" s="54"/>
      <c r="CFE81" s="54"/>
      <c r="CFF81" s="54"/>
      <c r="CFG81" s="54"/>
      <c r="CFH81" s="54"/>
      <c r="CFI81" s="54"/>
      <c r="CFJ81" s="54"/>
      <c r="CFK81" s="54"/>
      <c r="CFL81" s="54"/>
      <c r="CFM81" s="54"/>
      <c r="CFN81" s="54"/>
      <c r="CFO81" s="54"/>
      <c r="CFP81" s="54"/>
      <c r="CFQ81" s="54"/>
      <c r="CFR81" s="54"/>
      <c r="CFS81" s="54"/>
      <c r="CFT81" s="54"/>
      <c r="CFU81" s="54"/>
      <c r="CFV81" s="54"/>
      <c r="CFW81" s="54"/>
      <c r="CFX81" s="54"/>
      <c r="CFY81" s="54"/>
      <c r="CFZ81" s="54"/>
      <c r="CGA81" s="54"/>
      <c r="CGB81" s="54"/>
      <c r="CGC81" s="54"/>
      <c r="CGD81" s="54"/>
      <c r="CGE81" s="54"/>
      <c r="CGF81" s="54"/>
      <c r="CGG81" s="54"/>
      <c r="CGH81" s="54"/>
      <c r="CGI81" s="54"/>
      <c r="CGJ81" s="54"/>
      <c r="CGK81" s="54"/>
      <c r="CGL81" s="54"/>
      <c r="CGM81" s="54"/>
      <c r="CGN81" s="54"/>
      <c r="CGO81" s="54"/>
      <c r="CGP81" s="54"/>
      <c r="CGQ81" s="54"/>
      <c r="CGR81" s="54"/>
      <c r="CGS81" s="54"/>
      <c r="CGT81" s="54"/>
      <c r="CGU81" s="54"/>
      <c r="CGV81" s="54"/>
      <c r="CGW81" s="54"/>
      <c r="CGX81" s="54"/>
      <c r="CGY81" s="54"/>
      <c r="CGZ81" s="54"/>
      <c r="CHA81" s="54"/>
      <c r="CHB81" s="54"/>
      <c r="CHC81" s="54"/>
      <c r="CHD81" s="54"/>
      <c r="CHE81" s="54"/>
      <c r="CHF81" s="54"/>
      <c r="CHG81" s="54"/>
      <c r="CHH81" s="54"/>
      <c r="CHI81" s="54"/>
      <c r="CHJ81" s="54"/>
      <c r="CHK81" s="54"/>
      <c r="CHL81" s="54"/>
      <c r="CHM81" s="54"/>
      <c r="CHN81" s="54"/>
      <c r="CHO81" s="54"/>
      <c r="CHP81" s="54"/>
      <c r="CHQ81" s="54"/>
      <c r="CHR81" s="54"/>
      <c r="CHS81" s="54"/>
      <c r="CHT81" s="54"/>
      <c r="CHU81" s="54"/>
      <c r="CHV81" s="54"/>
      <c r="CHW81" s="54"/>
      <c r="CHX81" s="54"/>
      <c r="CHY81" s="54"/>
      <c r="CHZ81" s="54"/>
      <c r="CIA81" s="54"/>
      <c r="CIB81" s="54"/>
      <c r="CIC81" s="54"/>
      <c r="CID81" s="54"/>
      <c r="CIE81" s="54"/>
      <c r="CIF81" s="54"/>
      <c r="CIG81" s="54"/>
      <c r="CIH81" s="54"/>
      <c r="CII81" s="54"/>
      <c r="CIJ81" s="54"/>
      <c r="CIK81" s="54"/>
      <c r="CIL81" s="54"/>
      <c r="CIM81" s="54"/>
      <c r="CIN81" s="54"/>
      <c r="CIO81" s="54"/>
      <c r="CIP81" s="54"/>
      <c r="CIQ81" s="54"/>
      <c r="CIR81" s="54"/>
      <c r="CIS81" s="54"/>
      <c r="CIT81" s="54"/>
      <c r="CIU81" s="54"/>
      <c r="CIV81" s="54"/>
      <c r="CIW81" s="54"/>
      <c r="CIX81" s="54"/>
      <c r="CIY81" s="54"/>
      <c r="CIZ81" s="54"/>
      <c r="CJA81" s="54"/>
      <c r="CJB81" s="54"/>
      <c r="CJC81" s="54"/>
      <c r="CJD81" s="54"/>
      <c r="CJE81" s="54"/>
      <c r="CJF81" s="54"/>
      <c r="CJG81" s="54"/>
      <c r="CJH81" s="54"/>
      <c r="CJI81" s="54"/>
      <c r="CJJ81" s="54"/>
      <c r="CJK81" s="54"/>
      <c r="CJL81" s="54"/>
      <c r="CJM81" s="54"/>
      <c r="CJN81" s="54"/>
      <c r="CJO81" s="54"/>
      <c r="CJP81" s="54"/>
      <c r="CJQ81" s="54"/>
      <c r="CJR81" s="54"/>
      <c r="CJS81" s="54"/>
      <c r="CJT81" s="54"/>
      <c r="CJU81" s="54"/>
      <c r="CJV81" s="54"/>
      <c r="CJW81" s="54"/>
      <c r="CJX81" s="54"/>
      <c r="CJY81" s="54"/>
      <c r="CJZ81" s="54"/>
      <c r="CKA81" s="54"/>
      <c r="CKB81" s="54"/>
      <c r="CKC81" s="54"/>
      <c r="CKD81" s="54"/>
      <c r="CKE81" s="54"/>
      <c r="CKF81" s="54"/>
      <c r="CKG81" s="54"/>
      <c r="CKH81" s="54"/>
      <c r="CKI81" s="54"/>
      <c r="CKJ81" s="54"/>
      <c r="CKK81" s="54"/>
      <c r="CKL81" s="54"/>
      <c r="CKM81" s="54"/>
      <c r="CKN81" s="54"/>
      <c r="CKO81" s="54"/>
      <c r="CKP81" s="54"/>
      <c r="CKQ81" s="54"/>
      <c r="CKR81" s="54"/>
      <c r="CKS81" s="54"/>
      <c r="CKT81" s="54"/>
      <c r="CKU81" s="54"/>
      <c r="CKV81" s="54"/>
      <c r="CKW81" s="54"/>
      <c r="CKX81" s="54"/>
      <c r="CKY81" s="54"/>
      <c r="CKZ81" s="54"/>
      <c r="CLA81" s="54"/>
      <c r="CLB81" s="54"/>
      <c r="CLC81" s="54"/>
      <c r="CLD81" s="54"/>
      <c r="CLE81" s="54"/>
      <c r="CLF81" s="54"/>
      <c r="CLG81" s="54"/>
      <c r="CLH81" s="54"/>
      <c r="CLI81" s="54"/>
      <c r="CLJ81" s="54"/>
      <c r="CLK81" s="54"/>
      <c r="CLL81" s="54"/>
      <c r="CLM81" s="54"/>
      <c r="CLN81" s="54"/>
      <c r="CLO81" s="54"/>
      <c r="CLP81" s="54"/>
      <c r="CLQ81" s="54"/>
      <c r="CLR81" s="54"/>
      <c r="CLS81" s="54"/>
      <c r="CLT81" s="54"/>
      <c r="CLU81" s="54"/>
      <c r="CLV81" s="54"/>
      <c r="CLW81" s="54"/>
      <c r="CLX81" s="54"/>
      <c r="CLY81" s="54"/>
      <c r="CLZ81" s="54"/>
      <c r="CMA81" s="54"/>
      <c r="CMB81" s="54"/>
      <c r="CMC81" s="54"/>
      <c r="CMD81" s="54"/>
      <c r="CME81" s="54"/>
      <c r="CMF81" s="54"/>
      <c r="CMG81" s="54"/>
      <c r="CMH81" s="54"/>
      <c r="CMI81" s="54"/>
      <c r="CMJ81" s="54"/>
      <c r="CMK81" s="54"/>
      <c r="CML81" s="54"/>
      <c r="CMM81" s="54"/>
      <c r="CMN81" s="54"/>
      <c r="CMO81" s="54"/>
      <c r="CMP81" s="54"/>
      <c r="CMQ81" s="54"/>
      <c r="CMR81" s="54"/>
      <c r="CMS81" s="54"/>
      <c r="CMT81" s="54"/>
      <c r="CMU81" s="54"/>
      <c r="CMV81" s="54"/>
      <c r="CMW81" s="54"/>
      <c r="CMX81" s="54"/>
      <c r="CMY81" s="54"/>
      <c r="CMZ81" s="54"/>
      <c r="CNA81" s="54"/>
      <c r="CNB81" s="54"/>
      <c r="CNC81" s="54"/>
      <c r="CND81" s="54"/>
      <c r="CNE81" s="54"/>
      <c r="CNF81" s="54"/>
      <c r="CNG81" s="54"/>
      <c r="CNH81" s="54"/>
      <c r="CNI81" s="54"/>
      <c r="CNJ81" s="54"/>
      <c r="CNK81" s="54"/>
      <c r="CNL81" s="54"/>
      <c r="CNM81" s="54"/>
      <c r="CNN81" s="54"/>
      <c r="CNO81" s="54"/>
      <c r="CNP81" s="54"/>
      <c r="CNQ81" s="54"/>
      <c r="CNR81" s="54"/>
      <c r="CNS81" s="54"/>
      <c r="CNT81" s="54"/>
      <c r="CNU81" s="54"/>
      <c r="CNV81" s="54"/>
      <c r="CNW81" s="54"/>
      <c r="CNX81" s="54"/>
      <c r="CNY81" s="54"/>
      <c r="CNZ81" s="54"/>
      <c r="COA81" s="54"/>
      <c r="COB81" s="54"/>
      <c r="COC81" s="54"/>
      <c r="COD81" s="54"/>
      <c r="COE81" s="54"/>
      <c r="COF81" s="54"/>
      <c r="COG81" s="54"/>
      <c r="COH81" s="54"/>
      <c r="COI81" s="54"/>
      <c r="COJ81" s="54"/>
      <c r="COK81" s="54"/>
      <c r="COL81" s="54"/>
      <c r="COM81" s="54"/>
      <c r="CON81" s="54"/>
      <c r="COO81" s="54"/>
      <c r="COP81" s="54"/>
      <c r="COQ81" s="54"/>
      <c r="COR81" s="54"/>
      <c r="COS81" s="54"/>
      <c r="COT81" s="54"/>
      <c r="COU81" s="54"/>
      <c r="COV81" s="54"/>
      <c r="COW81" s="54"/>
      <c r="COX81" s="54"/>
      <c r="COY81" s="54"/>
      <c r="COZ81" s="54"/>
      <c r="CPA81" s="54"/>
      <c r="CPB81" s="54"/>
      <c r="CPC81" s="54"/>
      <c r="CPD81" s="54"/>
      <c r="CPE81" s="54"/>
      <c r="CPF81" s="54"/>
      <c r="CPG81" s="54"/>
      <c r="CPH81" s="54"/>
      <c r="CPI81" s="54"/>
      <c r="CPJ81" s="54"/>
      <c r="CPK81" s="54"/>
      <c r="CPL81" s="54"/>
      <c r="CPM81" s="54"/>
      <c r="CPN81" s="54"/>
      <c r="CPO81" s="54"/>
      <c r="CPP81" s="54"/>
      <c r="CPQ81" s="54"/>
      <c r="CPR81" s="54"/>
      <c r="CPS81" s="54"/>
      <c r="CPT81" s="54"/>
      <c r="CPU81" s="54"/>
      <c r="CPV81" s="54"/>
      <c r="CPW81" s="54"/>
      <c r="CPX81" s="54"/>
      <c r="CPY81" s="54"/>
      <c r="CPZ81" s="54"/>
      <c r="CQA81" s="54"/>
      <c r="CQB81" s="54"/>
      <c r="CQC81" s="54"/>
      <c r="CQD81" s="54"/>
      <c r="CQE81" s="54"/>
      <c r="CQF81" s="54"/>
      <c r="CQG81" s="54"/>
      <c r="CQH81" s="54"/>
      <c r="CQI81" s="54"/>
      <c r="CQJ81" s="54"/>
      <c r="CQK81" s="54"/>
      <c r="CQL81" s="54"/>
      <c r="CQM81" s="54"/>
      <c r="CQN81" s="54"/>
      <c r="CQO81" s="54"/>
      <c r="CQP81" s="54"/>
      <c r="CQQ81" s="54"/>
      <c r="CQR81" s="54"/>
      <c r="CQS81" s="54"/>
      <c r="CQT81" s="54"/>
      <c r="CQU81" s="54"/>
      <c r="CQV81" s="54"/>
      <c r="CQW81" s="54"/>
      <c r="CQX81" s="54"/>
      <c r="CQY81" s="54"/>
      <c r="CQZ81" s="54"/>
      <c r="CRA81" s="54"/>
      <c r="CRB81" s="54"/>
      <c r="CRC81" s="54"/>
      <c r="CRD81" s="54"/>
      <c r="CRE81" s="54"/>
      <c r="CRF81" s="54"/>
      <c r="CRG81" s="54"/>
      <c r="CRH81" s="54"/>
      <c r="CRI81" s="54"/>
      <c r="CRJ81" s="54"/>
      <c r="CRK81" s="54"/>
      <c r="CRL81" s="54"/>
      <c r="CRM81" s="54"/>
      <c r="CRN81" s="54"/>
      <c r="CRO81" s="54"/>
      <c r="CRP81" s="54"/>
      <c r="CRQ81" s="54"/>
      <c r="CRR81" s="54"/>
      <c r="CRS81" s="54"/>
      <c r="CRT81" s="54"/>
      <c r="CRU81" s="54"/>
      <c r="CRV81" s="54"/>
      <c r="CRW81" s="54"/>
      <c r="CRX81" s="54"/>
      <c r="CRY81" s="54"/>
      <c r="CRZ81" s="54"/>
      <c r="CSA81" s="54"/>
      <c r="CSB81" s="54"/>
      <c r="CSC81" s="54"/>
      <c r="CSD81" s="54"/>
      <c r="CSE81" s="54"/>
      <c r="CSF81" s="54"/>
      <c r="CSG81" s="54"/>
      <c r="CSH81" s="54"/>
      <c r="CSI81" s="54"/>
      <c r="CSJ81" s="54"/>
      <c r="CSK81" s="54"/>
      <c r="CSL81" s="54"/>
      <c r="CSM81" s="54"/>
      <c r="CSN81" s="54"/>
      <c r="CSO81" s="54"/>
      <c r="CSP81" s="54"/>
      <c r="CSQ81" s="54"/>
      <c r="CSR81" s="54"/>
      <c r="CSS81" s="54"/>
      <c r="CST81" s="54"/>
      <c r="CSU81" s="54"/>
      <c r="CSV81" s="54"/>
      <c r="CSW81" s="54"/>
      <c r="CSX81" s="54"/>
      <c r="CSY81" s="54"/>
      <c r="CSZ81" s="54"/>
      <c r="CTA81" s="54"/>
      <c r="CTB81" s="54"/>
      <c r="CTC81" s="54"/>
      <c r="CTD81" s="54"/>
      <c r="CTE81" s="54"/>
      <c r="CTF81" s="54"/>
      <c r="CTG81" s="54"/>
      <c r="CTH81" s="54"/>
      <c r="CTI81" s="54"/>
      <c r="CTJ81" s="54"/>
      <c r="CTK81" s="54"/>
      <c r="CTL81" s="54"/>
      <c r="CTM81" s="54"/>
      <c r="CTN81" s="54"/>
      <c r="CTO81" s="54"/>
      <c r="CTP81" s="54"/>
      <c r="CTQ81" s="54"/>
      <c r="CTR81" s="54"/>
      <c r="CTS81" s="54"/>
      <c r="CTT81" s="54"/>
      <c r="CTU81" s="54"/>
      <c r="CTV81" s="54"/>
      <c r="CTW81" s="54"/>
      <c r="CTX81" s="54"/>
      <c r="CTY81" s="54"/>
      <c r="CTZ81" s="54"/>
      <c r="CUA81" s="54"/>
      <c r="CUB81" s="54"/>
      <c r="CUC81" s="54"/>
      <c r="CUD81" s="54"/>
      <c r="CUE81" s="54"/>
      <c r="CUF81" s="54"/>
      <c r="CUG81" s="54"/>
      <c r="CUH81" s="54"/>
      <c r="CUI81" s="54"/>
      <c r="CUJ81" s="54"/>
      <c r="CUK81" s="54"/>
      <c r="CUL81" s="54"/>
      <c r="CUM81" s="54"/>
      <c r="CUN81" s="54"/>
      <c r="CUO81" s="54"/>
      <c r="CUP81" s="54"/>
      <c r="CUQ81" s="54"/>
      <c r="CUR81" s="54"/>
      <c r="CUS81" s="54"/>
      <c r="CUT81" s="54"/>
      <c r="CUU81" s="54"/>
      <c r="CUV81" s="54"/>
      <c r="CUW81" s="54"/>
      <c r="CUX81" s="54"/>
      <c r="CUY81" s="54"/>
      <c r="CUZ81" s="54"/>
      <c r="CVA81" s="54"/>
      <c r="CVB81" s="54"/>
      <c r="CVC81" s="54"/>
      <c r="CVD81" s="54"/>
      <c r="CVE81" s="54"/>
      <c r="CVF81" s="54"/>
      <c r="CVG81" s="54"/>
      <c r="CVH81" s="54"/>
      <c r="CVI81" s="54"/>
      <c r="CVJ81" s="54"/>
      <c r="CVK81" s="54"/>
      <c r="CVL81" s="54"/>
      <c r="CVM81" s="54"/>
      <c r="CVN81" s="54"/>
      <c r="CVO81" s="54"/>
      <c r="CVP81" s="54"/>
      <c r="CVQ81" s="54"/>
      <c r="CVR81" s="54"/>
      <c r="CVS81" s="54"/>
      <c r="CVT81" s="54"/>
      <c r="CVU81" s="54"/>
      <c r="CVV81" s="54"/>
      <c r="CVW81" s="54"/>
      <c r="CVX81" s="54"/>
      <c r="CVY81" s="54"/>
      <c r="CVZ81" s="54"/>
      <c r="CWA81" s="54"/>
      <c r="CWB81" s="54"/>
      <c r="CWC81" s="54"/>
      <c r="CWD81" s="54"/>
      <c r="CWE81" s="54"/>
      <c r="CWF81" s="54"/>
      <c r="CWG81" s="54"/>
      <c r="CWH81" s="54"/>
      <c r="CWI81" s="54"/>
      <c r="CWJ81" s="54"/>
      <c r="CWK81" s="54"/>
      <c r="CWL81" s="54"/>
      <c r="CWM81" s="54"/>
      <c r="CWN81" s="54"/>
      <c r="CWO81" s="54"/>
      <c r="CWP81" s="54"/>
      <c r="CWQ81" s="54"/>
      <c r="CWR81" s="54"/>
      <c r="CWS81" s="54"/>
      <c r="CWT81" s="54"/>
      <c r="CWU81" s="54"/>
      <c r="CWV81" s="54"/>
      <c r="CWW81" s="54"/>
      <c r="CWX81" s="54"/>
      <c r="CWY81" s="54"/>
      <c r="CWZ81" s="54"/>
      <c r="CXA81" s="54"/>
      <c r="CXB81" s="54"/>
      <c r="CXC81" s="54"/>
      <c r="CXD81" s="54"/>
      <c r="CXE81" s="54"/>
      <c r="CXF81" s="54"/>
      <c r="CXG81" s="54"/>
      <c r="CXH81" s="54"/>
      <c r="CXI81" s="54"/>
      <c r="CXJ81" s="54"/>
      <c r="CXK81" s="54"/>
      <c r="CXL81" s="54"/>
      <c r="CXM81" s="54"/>
      <c r="CXN81" s="54"/>
      <c r="CXO81" s="54"/>
      <c r="CXP81" s="54"/>
      <c r="CXQ81" s="54"/>
      <c r="CXR81" s="54"/>
      <c r="CXS81" s="54"/>
      <c r="CXT81" s="54"/>
      <c r="CXU81" s="54"/>
      <c r="CXV81" s="54"/>
      <c r="CXW81" s="54"/>
      <c r="CXX81" s="54"/>
      <c r="CXY81" s="54"/>
      <c r="CXZ81" s="54"/>
      <c r="CYA81" s="54"/>
      <c r="CYB81" s="54"/>
      <c r="CYC81" s="54"/>
      <c r="CYD81" s="54"/>
      <c r="CYE81" s="54"/>
      <c r="CYF81" s="54"/>
      <c r="CYG81" s="54"/>
      <c r="CYH81" s="54"/>
      <c r="CYI81" s="54"/>
      <c r="CYJ81" s="54"/>
      <c r="CYK81" s="54"/>
      <c r="CYL81" s="54"/>
      <c r="CYM81" s="54"/>
      <c r="CYN81" s="54"/>
      <c r="CYO81" s="54"/>
      <c r="CYP81" s="54"/>
      <c r="CYQ81" s="54"/>
      <c r="CYR81" s="54"/>
      <c r="CYS81" s="54"/>
      <c r="CYT81" s="54"/>
      <c r="CYU81" s="54"/>
      <c r="CYV81" s="54"/>
      <c r="CYW81" s="54"/>
      <c r="CYX81" s="54"/>
      <c r="CYY81" s="54"/>
      <c r="CYZ81" s="54"/>
      <c r="CZA81" s="54"/>
      <c r="CZB81" s="54"/>
      <c r="CZC81" s="54"/>
      <c r="CZD81" s="54"/>
      <c r="CZE81" s="54"/>
      <c r="CZF81" s="54"/>
      <c r="CZG81" s="54"/>
      <c r="CZH81" s="54"/>
      <c r="CZI81" s="54"/>
      <c r="CZJ81" s="54"/>
      <c r="CZK81" s="54"/>
      <c r="CZL81" s="54"/>
      <c r="CZM81" s="54"/>
      <c r="CZN81" s="54"/>
      <c r="CZO81" s="54"/>
      <c r="CZP81" s="54"/>
      <c r="CZQ81" s="54"/>
      <c r="CZR81" s="54"/>
      <c r="CZS81" s="54"/>
      <c r="CZT81" s="54"/>
      <c r="CZU81" s="54"/>
      <c r="CZV81" s="54"/>
      <c r="CZW81" s="54"/>
      <c r="CZX81" s="54"/>
      <c r="CZY81" s="54"/>
      <c r="CZZ81" s="54"/>
      <c r="DAA81" s="54"/>
      <c r="DAB81" s="54"/>
      <c r="DAC81" s="54"/>
      <c r="DAD81" s="54"/>
      <c r="DAE81" s="54"/>
      <c r="DAF81" s="54"/>
      <c r="DAG81" s="54"/>
      <c r="DAH81" s="54"/>
      <c r="DAI81" s="54"/>
      <c r="DAJ81" s="54"/>
      <c r="DAK81" s="54"/>
      <c r="DAL81" s="54"/>
      <c r="DAM81" s="54"/>
      <c r="DAN81" s="54"/>
      <c r="DAO81" s="54"/>
      <c r="DAP81" s="54"/>
      <c r="DAQ81" s="54"/>
      <c r="DAR81" s="54"/>
      <c r="DAS81" s="54"/>
      <c r="DAT81" s="54"/>
      <c r="DAU81" s="54"/>
      <c r="DAV81" s="54"/>
      <c r="DAW81" s="54"/>
      <c r="DAX81" s="54"/>
      <c r="DAY81" s="54"/>
      <c r="DAZ81" s="54"/>
      <c r="DBA81" s="54"/>
      <c r="DBB81" s="54"/>
      <c r="DBC81" s="54"/>
      <c r="DBD81" s="54"/>
      <c r="DBE81" s="54"/>
      <c r="DBF81" s="54"/>
      <c r="DBG81" s="54"/>
      <c r="DBH81" s="54"/>
      <c r="DBI81" s="54"/>
      <c r="DBJ81" s="54"/>
      <c r="DBK81" s="54"/>
      <c r="DBL81" s="54"/>
      <c r="DBM81" s="54"/>
      <c r="DBN81" s="54"/>
      <c r="DBO81" s="54"/>
      <c r="DBP81" s="54"/>
      <c r="DBQ81" s="54"/>
      <c r="DBR81" s="54"/>
      <c r="DBS81" s="54"/>
      <c r="DBT81" s="54"/>
      <c r="DBU81" s="54"/>
      <c r="DBV81" s="54"/>
      <c r="DBW81" s="54"/>
      <c r="DBX81" s="54"/>
      <c r="DBY81" s="54"/>
      <c r="DBZ81" s="54"/>
      <c r="DCA81" s="54"/>
      <c r="DCB81" s="54"/>
      <c r="DCC81" s="54"/>
      <c r="DCD81" s="54"/>
      <c r="DCE81" s="54"/>
      <c r="DCF81" s="54"/>
      <c r="DCG81" s="54"/>
      <c r="DCH81" s="54"/>
      <c r="DCI81" s="54"/>
      <c r="DCJ81" s="54"/>
      <c r="DCK81" s="54"/>
      <c r="DCL81" s="54"/>
      <c r="DCM81" s="54"/>
      <c r="DCN81" s="54"/>
      <c r="DCO81" s="54"/>
      <c r="DCP81" s="54"/>
      <c r="DCQ81" s="54"/>
      <c r="DCR81" s="54"/>
      <c r="DCS81" s="54"/>
      <c r="DCT81" s="54"/>
      <c r="DCU81" s="54"/>
      <c r="DCV81" s="54"/>
      <c r="DCW81" s="54"/>
      <c r="DCX81" s="54"/>
      <c r="DCY81" s="54"/>
      <c r="DCZ81" s="54"/>
      <c r="DDA81" s="54"/>
      <c r="DDB81" s="54"/>
      <c r="DDC81" s="54"/>
      <c r="DDD81" s="54"/>
      <c r="DDE81" s="54"/>
      <c r="DDF81" s="54"/>
      <c r="DDG81" s="54"/>
      <c r="DDH81" s="54"/>
      <c r="DDI81" s="54"/>
      <c r="DDJ81" s="54"/>
      <c r="DDK81" s="54"/>
      <c r="DDL81" s="54"/>
      <c r="DDM81" s="54"/>
      <c r="DDN81" s="54"/>
      <c r="DDO81" s="54"/>
      <c r="DDP81" s="54"/>
      <c r="DDQ81" s="54"/>
      <c r="DDR81" s="54"/>
      <c r="DDS81" s="54"/>
      <c r="DDT81" s="54"/>
      <c r="DDU81" s="54"/>
      <c r="DDV81" s="54"/>
      <c r="DDW81" s="54"/>
      <c r="DDX81" s="54"/>
      <c r="DDY81" s="54"/>
      <c r="DDZ81" s="54"/>
      <c r="DEA81" s="54"/>
      <c r="DEB81" s="54"/>
      <c r="DEC81" s="54"/>
      <c r="DED81" s="54"/>
      <c r="DEE81" s="54"/>
      <c r="DEF81" s="54"/>
      <c r="DEG81" s="54"/>
      <c r="DEH81" s="54"/>
      <c r="DEI81" s="54"/>
      <c r="DEJ81" s="54"/>
      <c r="DEK81" s="54"/>
      <c r="DEL81" s="54"/>
      <c r="DEM81" s="54"/>
      <c r="DEN81" s="54"/>
      <c r="DEO81" s="54"/>
      <c r="DEP81" s="54"/>
      <c r="DEQ81" s="54"/>
      <c r="DER81" s="54"/>
      <c r="DES81" s="54"/>
      <c r="DET81" s="54"/>
      <c r="DEU81" s="54"/>
      <c r="DEV81" s="54"/>
      <c r="DEW81" s="54"/>
      <c r="DEX81" s="54"/>
      <c r="DEY81" s="54"/>
      <c r="DEZ81" s="54"/>
      <c r="DFA81" s="54"/>
      <c r="DFB81" s="54"/>
      <c r="DFC81" s="54"/>
      <c r="DFD81" s="54"/>
      <c r="DFE81" s="54"/>
      <c r="DFF81" s="54"/>
      <c r="DFG81" s="54"/>
      <c r="DFH81" s="54"/>
      <c r="DFI81" s="54"/>
      <c r="DFJ81" s="54"/>
      <c r="DFK81" s="54"/>
      <c r="DFL81" s="54"/>
      <c r="DFM81" s="54"/>
      <c r="DFN81" s="54"/>
      <c r="DFO81" s="54"/>
      <c r="DFP81" s="54"/>
      <c r="DFQ81" s="54"/>
      <c r="DFR81" s="54"/>
      <c r="DFS81" s="54"/>
      <c r="DFT81" s="54"/>
      <c r="DFU81" s="54"/>
      <c r="DFV81" s="54"/>
      <c r="DFW81" s="54"/>
      <c r="DFX81" s="54"/>
      <c r="DFY81" s="54"/>
      <c r="DFZ81" s="54"/>
      <c r="DGA81" s="54"/>
      <c r="DGB81" s="54"/>
      <c r="DGC81" s="54"/>
      <c r="DGD81" s="54"/>
      <c r="DGE81" s="54"/>
      <c r="DGF81" s="54"/>
      <c r="DGG81" s="54"/>
      <c r="DGH81" s="54"/>
      <c r="DGI81" s="54"/>
      <c r="DGJ81" s="54"/>
      <c r="DGK81" s="54"/>
      <c r="DGL81" s="54"/>
      <c r="DGM81" s="54"/>
      <c r="DGN81" s="54"/>
      <c r="DGO81" s="54"/>
      <c r="DGP81" s="54"/>
      <c r="DGQ81" s="54"/>
      <c r="DGR81" s="54"/>
      <c r="DGS81" s="54"/>
      <c r="DGT81" s="54"/>
      <c r="DGU81" s="54"/>
      <c r="DGV81" s="54"/>
      <c r="DGW81" s="54"/>
      <c r="DGX81" s="54"/>
      <c r="DGY81" s="54"/>
      <c r="DGZ81" s="54"/>
      <c r="DHA81" s="54"/>
      <c r="DHB81" s="54"/>
      <c r="DHC81" s="54"/>
      <c r="DHD81" s="54"/>
      <c r="DHE81" s="54"/>
      <c r="DHF81" s="54"/>
      <c r="DHG81" s="54"/>
      <c r="DHH81" s="54"/>
      <c r="DHI81" s="54"/>
      <c r="DHJ81" s="54"/>
      <c r="DHK81" s="54"/>
      <c r="DHL81" s="54"/>
      <c r="DHM81" s="54"/>
      <c r="DHN81" s="54"/>
      <c r="DHO81" s="54"/>
      <c r="DHP81" s="54"/>
      <c r="DHQ81" s="54"/>
      <c r="DHR81" s="54"/>
      <c r="DHS81" s="54"/>
      <c r="DHT81" s="54"/>
      <c r="DHU81" s="54"/>
      <c r="DHV81" s="54"/>
      <c r="DHW81" s="54"/>
      <c r="DHX81" s="54"/>
      <c r="DHY81" s="54"/>
      <c r="DHZ81" s="54"/>
      <c r="DIA81" s="54"/>
      <c r="DIB81" s="54"/>
      <c r="DIC81" s="54"/>
      <c r="DID81" s="54"/>
      <c r="DIE81" s="54"/>
      <c r="DIF81" s="54"/>
      <c r="DIG81" s="54"/>
      <c r="DIH81" s="54"/>
      <c r="DII81" s="54"/>
      <c r="DIJ81" s="54"/>
      <c r="DIK81" s="54"/>
      <c r="DIL81" s="54"/>
      <c r="DIM81" s="54"/>
      <c r="DIN81" s="54"/>
      <c r="DIO81" s="54"/>
      <c r="DIP81" s="54"/>
      <c r="DIQ81" s="54"/>
      <c r="DIR81" s="54"/>
      <c r="DIS81" s="54"/>
      <c r="DIT81" s="54"/>
      <c r="DIU81" s="54"/>
      <c r="DIV81" s="54"/>
      <c r="DIW81" s="54"/>
      <c r="DIX81" s="54"/>
      <c r="DIY81" s="54"/>
      <c r="DIZ81" s="54"/>
      <c r="DJA81" s="54"/>
      <c r="DJB81" s="54"/>
      <c r="DJC81" s="54"/>
      <c r="DJD81" s="54"/>
      <c r="DJE81" s="54"/>
      <c r="DJF81" s="54"/>
      <c r="DJG81" s="54"/>
      <c r="DJH81" s="54"/>
      <c r="DJI81" s="54"/>
      <c r="DJJ81" s="54"/>
      <c r="DJK81" s="54"/>
      <c r="DJL81" s="54"/>
      <c r="DJM81" s="54"/>
      <c r="DJN81" s="54"/>
      <c r="DJO81" s="54"/>
      <c r="DJP81" s="54"/>
      <c r="DJQ81" s="54"/>
      <c r="DJR81" s="54"/>
      <c r="DJS81" s="54"/>
      <c r="DJT81" s="54"/>
      <c r="DJU81" s="54"/>
      <c r="DJV81" s="54"/>
      <c r="DJW81" s="54"/>
      <c r="DJX81" s="54"/>
      <c r="DJY81" s="54"/>
      <c r="DJZ81" s="54"/>
      <c r="DKA81" s="54"/>
      <c r="DKB81" s="54"/>
      <c r="DKC81" s="54"/>
      <c r="DKD81" s="54"/>
      <c r="DKE81" s="54"/>
      <c r="DKF81" s="54"/>
      <c r="DKG81" s="54"/>
      <c r="DKH81" s="54"/>
      <c r="DKI81" s="54"/>
      <c r="DKJ81" s="54"/>
      <c r="DKK81" s="54"/>
      <c r="DKL81" s="54"/>
      <c r="DKM81" s="54"/>
      <c r="DKN81" s="54"/>
      <c r="DKO81" s="54"/>
      <c r="DKP81" s="54"/>
      <c r="DKQ81" s="54"/>
      <c r="DKR81" s="54"/>
      <c r="DKS81" s="54"/>
      <c r="DKT81" s="54"/>
      <c r="DKU81" s="54"/>
      <c r="DKV81" s="54"/>
      <c r="DKW81" s="54"/>
      <c r="DKX81" s="54"/>
      <c r="DKY81" s="54"/>
      <c r="DKZ81" s="54"/>
      <c r="DLA81" s="54"/>
      <c r="DLB81" s="54"/>
      <c r="DLC81" s="54"/>
      <c r="DLD81" s="54"/>
      <c r="DLE81" s="54"/>
      <c r="DLF81" s="54"/>
      <c r="DLG81" s="54"/>
      <c r="DLH81" s="54"/>
      <c r="DLI81" s="54"/>
      <c r="DLJ81" s="54"/>
      <c r="DLK81" s="54"/>
      <c r="DLL81" s="54"/>
      <c r="DLM81" s="54"/>
      <c r="DLN81" s="54"/>
      <c r="DLO81" s="54"/>
      <c r="DLP81" s="54"/>
      <c r="DLQ81" s="54"/>
      <c r="DLR81" s="54"/>
      <c r="DLS81" s="54"/>
      <c r="DLT81" s="54"/>
      <c r="DLU81" s="54"/>
      <c r="DLV81" s="54"/>
      <c r="DLW81" s="54"/>
      <c r="DLX81" s="54"/>
      <c r="DLY81" s="54"/>
      <c r="DLZ81" s="54"/>
      <c r="DMA81" s="54"/>
      <c r="DMB81" s="54"/>
      <c r="DMC81" s="54"/>
      <c r="DMD81" s="54"/>
      <c r="DME81" s="54"/>
      <c r="DMF81" s="54"/>
      <c r="DMG81" s="54"/>
      <c r="DMH81" s="54"/>
      <c r="DMI81" s="54"/>
      <c r="DMJ81" s="54"/>
      <c r="DMK81" s="54"/>
      <c r="DML81" s="54"/>
      <c r="DMM81" s="54"/>
      <c r="DMN81" s="54"/>
      <c r="DMO81" s="54"/>
      <c r="DMP81" s="54"/>
      <c r="DMQ81" s="54"/>
      <c r="DMR81" s="54"/>
      <c r="DMS81" s="54"/>
      <c r="DMT81" s="54"/>
      <c r="DMU81" s="54"/>
      <c r="DMV81" s="54"/>
      <c r="DMW81" s="54"/>
      <c r="DMX81" s="54"/>
      <c r="DMY81" s="54"/>
      <c r="DMZ81" s="54"/>
      <c r="DNA81" s="54"/>
      <c r="DNB81" s="54"/>
      <c r="DNC81" s="54"/>
      <c r="DND81" s="54"/>
      <c r="DNE81" s="54"/>
      <c r="DNF81" s="54"/>
      <c r="DNG81" s="54"/>
      <c r="DNH81" s="54"/>
      <c r="DNI81" s="54"/>
      <c r="DNJ81" s="54"/>
      <c r="DNK81" s="54"/>
      <c r="DNL81" s="54"/>
      <c r="DNM81" s="54"/>
      <c r="DNN81" s="54"/>
      <c r="DNO81" s="54"/>
      <c r="DNP81" s="54"/>
      <c r="DNQ81" s="54"/>
      <c r="DNR81" s="54"/>
      <c r="DNS81" s="54"/>
      <c r="DNT81" s="54"/>
      <c r="DNU81" s="54"/>
      <c r="DNV81" s="54"/>
      <c r="DNW81" s="54"/>
      <c r="DNX81" s="54"/>
      <c r="DNY81" s="54"/>
      <c r="DNZ81" s="54"/>
      <c r="DOA81" s="54"/>
      <c r="DOB81" s="54"/>
      <c r="DOC81" s="54"/>
      <c r="DOD81" s="54"/>
      <c r="DOE81" s="54"/>
      <c r="DOF81" s="54"/>
      <c r="DOG81" s="54"/>
      <c r="DOH81" s="54"/>
      <c r="DOI81" s="54"/>
      <c r="DOJ81" s="54"/>
      <c r="DOK81" s="54"/>
      <c r="DOL81" s="54"/>
      <c r="DOM81" s="54"/>
      <c r="DON81" s="54"/>
      <c r="DOO81" s="54"/>
      <c r="DOP81" s="54"/>
      <c r="DOQ81" s="54"/>
      <c r="DOR81" s="54"/>
      <c r="DOS81" s="54"/>
      <c r="DOT81" s="54"/>
      <c r="DOU81" s="54"/>
      <c r="DOV81" s="54"/>
      <c r="DOW81" s="54"/>
      <c r="DOX81" s="54"/>
      <c r="DOY81" s="54"/>
      <c r="DOZ81" s="54"/>
      <c r="DPA81" s="54"/>
      <c r="DPB81" s="54"/>
      <c r="DPC81" s="54"/>
      <c r="DPD81" s="54"/>
      <c r="DPE81" s="54"/>
      <c r="DPF81" s="54"/>
      <c r="DPG81" s="54"/>
      <c r="DPH81" s="54"/>
      <c r="DPI81" s="54"/>
      <c r="DPJ81" s="54"/>
      <c r="DPK81" s="54"/>
      <c r="DPL81" s="54"/>
      <c r="DPM81" s="54"/>
      <c r="DPN81" s="54"/>
      <c r="DPO81" s="54"/>
      <c r="DPP81" s="54"/>
      <c r="DPQ81" s="54"/>
      <c r="DPR81" s="54"/>
      <c r="DPS81" s="54"/>
      <c r="DPT81" s="54"/>
      <c r="DPU81" s="54"/>
      <c r="DPV81" s="54"/>
      <c r="DPW81" s="54"/>
      <c r="DPX81" s="54"/>
      <c r="DPY81" s="54"/>
      <c r="DPZ81" s="54"/>
      <c r="DQA81" s="54"/>
      <c r="DQB81" s="54"/>
      <c r="DQC81" s="54"/>
      <c r="DQD81" s="54"/>
      <c r="DQE81" s="54"/>
      <c r="DQF81" s="54"/>
      <c r="DQG81" s="54"/>
      <c r="DQH81" s="54"/>
      <c r="DQI81" s="54"/>
      <c r="DQJ81" s="54"/>
      <c r="DQK81" s="54"/>
      <c r="DQL81" s="54"/>
      <c r="DQM81" s="54"/>
      <c r="DQN81" s="54"/>
      <c r="DQO81" s="54"/>
      <c r="DQP81" s="54"/>
      <c r="DQQ81" s="54"/>
      <c r="DQR81" s="54"/>
      <c r="DQS81" s="54"/>
      <c r="DQT81" s="54"/>
      <c r="DQU81" s="54"/>
      <c r="DQV81" s="54"/>
      <c r="DQW81" s="54"/>
      <c r="DQX81" s="54"/>
      <c r="DQY81" s="54"/>
      <c r="DQZ81" s="54"/>
      <c r="DRA81" s="54"/>
      <c r="DRB81" s="54"/>
      <c r="DRC81" s="54"/>
      <c r="DRD81" s="54"/>
      <c r="DRE81" s="54"/>
      <c r="DRF81" s="54"/>
      <c r="DRG81" s="54"/>
      <c r="DRH81" s="54"/>
      <c r="DRI81" s="54"/>
      <c r="DRJ81" s="54"/>
      <c r="DRK81" s="54"/>
      <c r="DRL81" s="54"/>
      <c r="DRM81" s="54"/>
      <c r="DRN81" s="54"/>
      <c r="DRO81" s="54"/>
      <c r="DRP81" s="54"/>
      <c r="DRQ81" s="54"/>
      <c r="DRR81" s="54"/>
      <c r="DRS81" s="54"/>
      <c r="DRT81" s="54"/>
      <c r="DRU81" s="54"/>
      <c r="DRV81" s="54"/>
      <c r="DRW81" s="54"/>
      <c r="DRX81" s="54"/>
      <c r="DRY81" s="54"/>
      <c r="DRZ81" s="54"/>
      <c r="DSA81" s="54"/>
      <c r="DSB81" s="54"/>
      <c r="DSC81" s="54"/>
      <c r="DSD81" s="54"/>
      <c r="DSE81" s="54"/>
      <c r="DSF81" s="54"/>
      <c r="DSG81" s="54"/>
      <c r="DSH81" s="54"/>
      <c r="DSI81" s="54"/>
      <c r="DSJ81" s="54"/>
      <c r="DSK81" s="54"/>
      <c r="DSL81" s="54"/>
      <c r="DSM81" s="54"/>
      <c r="DSN81" s="54"/>
      <c r="DSO81" s="54"/>
      <c r="DSP81" s="54"/>
      <c r="DSQ81" s="54"/>
      <c r="DSR81" s="54"/>
      <c r="DSS81" s="54"/>
      <c r="DST81" s="54"/>
      <c r="DSU81" s="54"/>
      <c r="DSV81" s="54"/>
      <c r="DSW81" s="54"/>
      <c r="DSX81" s="54"/>
      <c r="DSY81" s="54"/>
      <c r="DSZ81" s="54"/>
      <c r="DTA81" s="54"/>
      <c r="DTB81" s="54"/>
      <c r="DTC81" s="54"/>
      <c r="DTD81" s="54"/>
      <c r="DTE81" s="54"/>
      <c r="DTF81" s="54"/>
      <c r="DTG81" s="54"/>
      <c r="DTH81" s="54"/>
      <c r="DTI81" s="54"/>
      <c r="DTJ81" s="54"/>
      <c r="DTK81" s="54"/>
      <c r="DTL81" s="54"/>
      <c r="DTM81" s="54"/>
      <c r="DTN81" s="54"/>
      <c r="DTO81" s="54"/>
      <c r="DTP81" s="54"/>
      <c r="DTQ81" s="54"/>
      <c r="DTR81" s="54"/>
      <c r="DTS81" s="54"/>
      <c r="DTT81" s="54"/>
      <c r="DTU81" s="54"/>
      <c r="DTV81" s="54"/>
      <c r="DTW81" s="54"/>
      <c r="DTX81" s="54"/>
      <c r="DTY81" s="54"/>
      <c r="DTZ81" s="54"/>
      <c r="DUA81" s="54"/>
      <c r="DUB81" s="54"/>
      <c r="DUC81" s="54"/>
      <c r="DUD81" s="54"/>
      <c r="DUE81" s="54"/>
      <c r="DUF81" s="54"/>
      <c r="DUG81" s="54"/>
      <c r="DUH81" s="54"/>
      <c r="DUI81" s="54"/>
      <c r="DUJ81" s="54"/>
      <c r="DUK81" s="54"/>
      <c r="DUL81" s="54"/>
      <c r="DUM81" s="54"/>
      <c r="DUN81" s="54"/>
      <c r="DUO81" s="54"/>
      <c r="DUP81" s="54"/>
      <c r="DUQ81" s="54"/>
      <c r="DUR81" s="54"/>
      <c r="DUS81" s="54"/>
      <c r="DUT81" s="54"/>
      <c r="DUU81" s="54"/>
      <c r="DUV81" s="54"/>
      <c r="DUW81" s="54"/>
      <c r="DUX81" s="54"/>
      <c r="DUY81" s="54"/>
      <c r="DUZ81" s="54"/>
      <c r="DVA81" s="54"/>
      <c r="DVB81" s="54"/>
      <c r="DVC81" s="54"/>
      <c r="DVD81" s="54"/>
      <c r="DVE81" s="54"/>
      <c r="DVF81" s="54"/>
      <c r="DVG81" s="54"/>
      <c r="DVH81" s="54"/>
      <c r="DVI81" s="54"/>
      <c r="DVJ81" s="54"/>
      <c r="DVK81" s="54"/>
      <c r="DVL81" s="54"/>
      <c r="DVM81" s="54"/>
      <c r="DVN81" s="54"/>
      <c r="DVO81" s="54"/>
      <c r="DVP81" s="54"/>
      <c r="DVQ81" s="54"/>
      <c r="DVR81" s="54"/>
      <c r="DVS81" s="54"/>
      <c r="DVT81" s="54"/>
      <c r="DVU81" s="54"/>
      <c r="DVV81" s="54"/>
      <c r="DVW81" s="54"/>
      <c r="DVX81" s="54"/>
      <c r="DVY81" s="54"/>
      <c r="DVZ81" s="54"/>
      <c r="DWA81" s="54"/>
      <c r="DWB81" s="54"/>
      <c r="DWC81" s="54"/>
      <c r="DWD81" s="54"/>
      <c r="DWE81" s="54"/>
      <c r="DWF81" s="54"/>
      <c r="DWG81" s="54"/>
      <c r="DWH81" s="54"/>
      <c r="DWI81" s="54"/>
      <c r="DWJ81" s="54"/>
      <c r="DWK81" s="54"/>
      <c r="DWL81" s="54"/>
      <c r="DWM81" s="54"/>
      <c r="DWN81" s="54"/>
      <c r="DWO81" s="54"/>
      <c r="DWP81" s="54"/>
      <c r="DWQ81" s="54"/>
      <c r="DWR81" s="54"/>
      <c r="DWS81" s="54"/>
      <c r="DWT81" s="54"/>
      <c r="DWU81" s="54"/>
      <c r="DWV81" s="54"/>
      <c r="DWW81" s="54"/>
      <c r="DWX81" s="54"/>
      <c r="DWY81" s="54"/>
      <c r="DWZ81" s="54"/>
      <c r="DXA81" s="54"/>
      <c r="DXB81" s="54"/>
      <c r="DXC81" s="54"/>
      <c r="DXD81" s="54"/>
      <c r="DXE81" s="54"/>
      <c r="DXF81" s="54"/>
      <c r="DXG81" s="54"/>
      <c r="DXH81" s="54"/>
      <c r="DXI81" s="54"/>
      <c r="DXJ81" s="54"/>
      <c r="DXK81" s="54"/>
      <c r="DXL81" s="54"/>
      <c r="DXM81" s="54"/>
      <c r="DXN81" s="54"/>
      <c r="DXO81" s="54"/>
      <c r="DXP81" s="54"/>
      <c r="DXQ81" s="54"/>
      <c r="DXR81" s="54"/>
      <c r="DXS81" s="54"/>
      <c r="DXT81" s="54"/>
      <c r="DXU81" s="54"/>
      <c r="DXV81" s="54"/>
      <c r="DXW81" s="54"/>
      <c r="DXX81" s="54"/>
      <c r="DXY81" s="54"/>
      <c r="DXZ81" s="54"/>
      <c r="DYA81" s="54"/>
      <c r="DYB81" s="54"/>
      <c r="DYC81" s="54"/>
      <c r="DYD81" s="54"/>
      <c r="DYE81" s="54"/>
      <c r="DYF81" s="54"/>
      <c r="DYG81" s="54"/>
      <c r="DYH81" s="54"/>
      <c r="DYI81" s="54"/>
      <c r="DYJ81" s="54"/>
      <c r="DYK81" s="54"/>
      <c r="DYL81" s="54"/>
      <c r="DYM81" s="54"/>
      <c r="DYN81" s="54"/>
      <c r="DYO81" s="54"/>
      <c r="DYP81" s="54"/>
      <c r="DYQ81" s="54"/>
      <c r="DYR81" s="54"/>
      <c r="DYS81" s="54"/>
      <c r="DYT81" s="54"/>
      <c r="DYU81" s="54"/>
      <c r="DYV81" s="54"/>
      <c r="DYW81" s="54"/>
      <c r="DYX81" s="54"/>
      <c r="DYY81" s="54"/>
      <c r="DYZ81" s="54"/>
      <c r="DZA81" s="54"/>
      <c r="DZB81" s="54"/>
      <c r="DZC81" s="54"/>
      <c r="DZD81" s="54"/>
      <c r="DZE81" s="54"/>
      <c r="DZF81" s="54"/>
      <c r="DZG81" s="54"/>
      <c r="DZH81" s="54"/>
      <c r="DZI81" s="54"/>
      <c r="DZJ81" s="54"/>
      <c r="DZK81" s="54"/>
      <c r="DZL81" s="54"/>
      <c r="DZM81" s="54"/>
      <c r="DZN81" s="54"/>
      <c r="DZO81" s="54"/>
      <c r="DZP81" s="54"/>
      <c r="DZQ81" s="54"/>
      <c r="DZR81" s="54"/>
      <c r="DZS81" s="54"/>
      <c r="DZT81" s="54"/>
      <c r="DZU81" s="54"/>
      <c r="DZV81" s="54"/>
      <c r="DZW81" s="54"/>
      <c r="DZX81" s="54"/>
      <c r="DZY81" s="54"/>
      <c r="DZZ81" s="54"/>
      <c r="EAA81" s="54"/>
      <c r="EAB81" s="54"/>
      <c r="EAC81" s="54"/>
      <c r="EAD81" s="54"/>
      <c r="EAE81" s="54"/>
      <c r="EAF81" s="54"/>
      <c r="EAG81" s="54"/>
      <c r="EAH81" s="54"/>
      <c r="EAI81" s="54"/>
      <c r="EAJ81" s="54"/>
      <c r="EAK81" s="54"/>
      <c r="EAL81" s="54"/>
      <c r="EAM81" s="54"/>
      <c r="EAN81" s="54"/>
      <c r="EAO81" s="54"/>
      <c r="EAP81" s="54"/>
      <c r="EAQ81" s="54"/>
      <c r="EAR81" s="54"/>
      <c r="EAS81" s="54"/>
      <c r="EAT81" s="54"/>
      <c r="EAU81" s="54"/>
      <c r="EAV81" s="54"/>
      <c r="EAW81" s="54"/>
      <c r="EAX81" s="54"/>
      <c r="EAY81" s="54"/>
      <c r="EAZ81" s="54"/>
      <c r="EBA81" s="54"/>
      <c r="EBB81" s="54"/>
      <c r="EBC81" s="54"/>
      <c r="EBD81" s="54"/>
      <c r="EBE81" s="54"/>
      <c r="EBF81" s="54"/>
      <c r="EBG81" s="54"/>
      <c r="EBH81" s="54"/>
      <c r="EBI81" s="54"/>
      <c r="EBJ81" s="54"/>
      <c r="EBK81" s="54"/>
      <c r="EBL81" s="54"/>
      <c r="EBM81" s="54"/>
      <c r="EBN81" s="54"/>
      <c r="EBO81" s="54"/>
      <c r="EBP81" s="54"/>
      <c r="EBQ81" s="54"/>
      <c r="EBR81" s="54"/>
      <c r="EBS81" s="54"/>
      <c r="EBT81" s="54"/>
      <c r="EBU81" s="54"/>
      <c r="EBV81" s="54"/>
      <c r="EBW81" s="54"/>
      <c r="EBX81" s="54"/>
      <c r="EBY81" s="54"/>
      <c r="EBZ81" s="54"/>
      <c r="ECA81" s="54"/>
      <c r="ECB81" s="54"/>
      <c r="ECC81" s="54"/>
      <c r="ECD81" s="54"/>
      <c r="ECE81" s="54"/>
      <c r="ECF81" s="54"/>
      <c r="ECG81" s="54"/>
      <c r="ECH81" s="54"/>
      <c r="ECI81" s="54"/>
      <c r="ECJ81" s="54"/>
      <c r="ECK81" s="54"/>
      <c r="ECL81" s="54"/>
      <c r="ECM81" s="54"/>
      <c r="ECN81" s="54"/>
      <c r="ECO81" s="54"/>
      <c r="ECP81" s="54"/>
      <c r="ECQ81" s="54"/>
      <c r="ECR81" s="54"/>
      <c r="ECS81" s="54"/>
      <c r="ECT81" s="54"/>
      <c r="ECU81" s="54"/>
      <c r="ECV81" s="54"/>
      <c r="ECW81" s="54"/>
      <c r="ECX81" s="54"/>
      <c r="ECY81" s="54"/>
      <c r="ECZ81" s="54"/>
      <c r="EDA81" s="54"/>
      <c r="EDB81" s="54"/>
      <c r="EDC81" s="54"/>
      <c r="EDD81" s="54"/>
      <c r="EDE81" s="54"/>
      <c r="EDF81" s="54"/>
      <c r="EDG81" s="54"/>
      <c r="EDH81" s="54"/>
      <c r="EDI81" s="54"/>
      <c r="EDJ81" s="54"/>
      <c r="EDK81" s="54"/>
      <c r="EDL81" s="54"/>
      <c r="EDM81" s="54"/>
      <c r="EDN81" s="54"/>
      <c r="EDO81" s="54"/>
      <c r="EDP81" s="54"/>
      <c r="EDQ81" s="54"/>
      <c r="EDR81" s="54"/>
      <c r="EDS81" s="54"/>
      <c r="EDT81" s="54"/>
      <c r="EDU81" s="54"/>
      <c r="EDV81" s="54"/>
      <c r="EDW81" s="54"/>
      <c r="EDX81" s="54"/>
      <c r="EDY81" s="54"/>
      <c r="EDZ81" s="54"/>
      <c r="EEA81" s="54"/>
      <c r="EEB81" s="54"/>
      <c r="EEC81" s="54"/>
      <c r="EED81" s="54"/>
      <c r="EEE81" s="54"/>
      <c r="EEF81" s="54"/>
      <c r="EEG81" s="54"/>
      <c r="EEH81" s="54"/>
      <c r="EEI81" s="54"/>
      <c r="EEJ81" s="54"/>
      <c r="EEK81" s="54"/>
      <c r="EEL81" s="54"/>
      <c r="EEM81" s="54"/>
      <c r="EEN81" s="54"/>
      <c r="EEO81" s="54"/>
      <c r="EEP81" s="54"/>
      <c r="EEQ81" s="54"/>
      <c r="EER81" s="54"/>
      <c r="EES81" s="54"/>
      <c r="EET81" s="54"/>
      <c r="EEU81" s="54"/>
      <c r="EEV81" s="54"/>
      <c r="EEW81" s="54"/>
      <c r="EEX81" s="54"/>
      <c r="EEY81" s="54"/>
      <c r="EEZ81" s="54"/>
      <c r="EFA81" s="54"/>
      <c r="EFB81" s="54"/>
      <c r="EFC81" s="54"/>
      <c r="EFD81" s="54"/>
      <c r="EFE81" s="54"/>
      <c r="EFF81" s="54"/>
      <c r="EFG81" s="54"/>
      <c r="EFH81" s="54"/>
      <c r="EFI81" s="54"/>
      <c r="EFJ81" s="54"/>
      <c r="EFK81" s="54"/>
      <c r="EFL81" s="54"/>
      <c r="EFM81" s="54"/>
      <c r="EFN81" s="54"/>
      <c r="EFO81" s="54"/>
      <c r="EFP81" s="54"/>
      <c r="EFQ81" s="54"/>
      <c r="EFR81" s="54"/>
      <c r="EFS81" s="54"/>
      <c r="EFT81" s="54"/>
      <c r="EFU81" s="54"/>
      <c r="EFV81" s="54"/>
      <c r="EFW81" s="54"/>
      <c r="EFX81" s="54"/>
      <c r="EFY81" s="54"/>
      <c r="EFZ81" s="54"/>
      <c r="EGA81" s="54"/>
      <c r="EGB81" s="54"/>
      <c r="EGC81" s="54"/>
      <c r="EGD81" s="54"/>
      <c r="EGE81" s="54"/>
      <c r="EGF81" s="54"/>
      <c r="EGG81" s="54"/>
      <c r="EGH81" s="54"/>
      <c r="EGI81" s="54"/>
      <c r="EGJ81" s="54"/>
      <c r="EGK81" s="54"/>
      <c r="EGL81" s="54"/>
      <c r="EGM81" s="54"/>
      <c r="EGN81" s="54"/>
      <c r="EGO81" s="54"/>
      <c r="EGP81" s="54"/>
      <c r="EGQ81" s="54"/>
      <c r="EGR81" s="54"/>
      <c r="EGS81" s="54"/>
      <c r="EGT81" s="54"/>
      <c r="EGU81" s="54"/>
      <c r="EGV81" s="54"/>
      <c r="EGW81" s="54"/>
      <c r="EGX81" s="54"/>
      <c r="EGY81" s="54"/>
      <c r="EGZ81" s="54"/>
      <c r="EHA81" s="54"/>
      <c r="EHB81" s="54"/>
      <c r="EHC81" s="54"/>
      <c r="EHD81" s="54"/>
      <c r="EHE81" s="54"/>
      <c r="EHF81" s="54"/>
      <c r="EHG81" s="54"/>
      <c r="EHH81" s="54"/>
      <c r="EHI81" s="54"/>
      <c r="EHJ81" s="54"/>
      <c r="EHK81" s="54"/>
      <c r="EHL81" s="54"/>
      <c r="EHM81" s="54"/>
      <c r="EHN81" s="54"/>
      <c r="EHO81" s="54"/>
      <c r="EHP81" s="54"/>
      <c r="EHQ81" s="54"/>
      <c r="EHR81" s="54"/>
      <c r="EHS81" s="54"/>
      <c r="EHT81" s="54"/>
      <c r="EHU81" s="54"/>
      <c r="EHV81" s="54"/>
      <c r="EHW81" s="54"/>
      <c r="EHX81" s="54"/>
      <c r="EHY81" s="54"/>
      <c r="EHZ81" s="54"/>
      <c r="EIA81" s="54"/>
      <c r="EIB81" s="54"/>
      <c r="EIC81" s="54"/>
      <c r="EID81" s="54"/>
      <c r="EIE81" s="54"/>
      <c r="EIF81" s="54"/>
      <c r="EIG81" s="54"/>
      <c r="EIH81" s="54"/>
      <c r="EII81" s="54"/>
      <c r="EIJ81" s="54"/>
      <c r="EIK81" s="54"/>
      <c r="EIL81" s="54"/>
      <c r="EIM81" s="54"/>
      <c r="EIN81" s="54"/>
      <c r="EIO81" s="54"/>
      <c r="EIP81" s="54"/>
      <c r="EIQ81" s="54"/>
      <c r="EIR81" s="54"/>
      <c r="EIS81" s="54"/>
      <c r="EIT81" s="54"/>
      <c r="EIU81" s="54"/>
      <c r="EIV81" s="54"/>
      <c r="EIW81" s="54"/>
      <c r="EIX81" s="54"/>
      <c r="EIY81" s="54"/>
      <c r="EIZ81" s="54"/>
      <c r="EJA81" s="54"/>
      <c r="EJB81" s="54"/>
      <c r="EJC81" s="54"/>
      <c r="EJD81" s="54"/>
      <c r="EJE81" s="54"/>
      <c r="EJF81" s="54"/>
      <c r="EJG81" s="54"/>
      <c r="EJH81" s="54"/>
      <c r="EJI81" s="54"/>
      <c r="EJJ81" s="54"/>
      <c r="EJK81" s="54"/>
      <c r="EJL81" s="54"/>
      <c r="EJM81" s="54"/>
      <c r="EJN81" s="54"/>
      <c r="EJO81" s="54"/>
      <c r="EJP81" s="54"/>
      <c r="EJQ81" s="54"/>
      <c r="EJR81" s="54"/>
      <c r="EJS81" s="54"/>
      <c r="EJT81" s="54"/>
      <c r="EJU81" s="54"/>
      <c r="EJV81" s="54"/>
      <c r="EJW81" s="54"/>
      <c r="EJX81" s="54"/>
      <c r="EJY81" s="54"/>
      <c r="EJZ81" s="54"/>
      <c r="EKA81" s="54"/>
      <c r="EKB81" s="54"/>
      <c r="EKC81" s="54"/>
      <c r="EKD81" s="54"/>
      <c r="EKE81" s="54"/>
      <c r="EKF81" s="54"/>
      <c r="EKG81" s="54"/>
      <c r="EKH81" s="54"/>
      <c r="EKI81" s="54"/>
      <c r="EKJ81" s="54"/>
      <c r="EKK81" s="54"/>
      <c r="EKL81" s="54"/>
      <c r="EKM81" s="54"/>
      <c r="EKN81" s="54"/>
      <c r="EKO81" s="54"/>
      <c r="EKP81" s="54"/>
      <c r="EKQ81" s="54"/>
      <c r="EKR81" s="54"/>
      <c r="EKS81" s="54"/>
      <c r="EKT81" s="54"/>
      <c r="EKU81" s="54"/>
      <c r="EKV81" s="54"/>
      <c r="EKW81" s="54"/>
      <c r="EKX81" s="54"/>
      <c r="EKY81" s="54"/>
      <c r="EKZ81" s="54"/>
      <c r="ELA81" s="54"/>
      <c r="ELB81" s="54"/>
      <c r="ELC81" s="54"/>
      <c r="ELD81" s="54"/>
      <c r="ELE81" s="54"/>
      <c r="ELF81" s="54"/>
      <c r="ELG81" s="54"/>
      <c r="ELH81" s="54"/>
      <c r="ELI81" s="54"/>
      <c r="ELJ81" s="54"/>
      <c r="ELK81" s="54"/>
      <c r="ELL81" s="54"/>
      <c r="ELM81" s="54"/>
      <c r="ELN81" s="54"/>
      <c r="ELO81" s="54"/>
      <c r="ELP81" s="54"/>
      <c r="ELQ81" s="54"/>
      <c r="ELR81" s="54"/>
      <c r="ELS81" s="54"/>
      <c r="ELT81" s="54"/>
      <c r="ELU81" s="54"/>
      <c r="ELV81" s="54"/>
      <c r="ELW81" s="54"/>
      <c r="ELX81" s="54"/>
      <c r="ELY81" s="54"/>
      <c r="ELZ81" s="54"/>
      <c r="EMA81" s="54"/>
      <c r="EMB81" s="54"/>
      <c r="EMC81" s="54"/>
      <c r="EMD81" s="54"/>
      <c r="EME81" s="54"/>
      <c r="EMF81" s="54"/>
      <c r="EMG81" s="54"/>
      <c r="EMH81" s="54"/>
      <c r="EMI81" s="54"/>
      <c r="EMJ81" s="54"/>
      <c r="EMK81" s="54"/>
      <c r="EML81" s="54"/>
      <c r="EMM81" s="54"/>
      <c r="EMN81" s="54"/>
      <c r="EMO81" s="54"/>
      <c r="EMP81" s="54"/>
      <c r="EMQ81" s="54"/>
      <c r="EMR81" s="54"/>
      <c r="EMS81" s="54"/>
      <c r="EMT81" s="54"/>
      <c r="EMU81" s="54"/>
      <c r="EMV81" s="54"/>
      <c r="EMW81" s="54"/>
      <c r="EMX81" s="54"/>
      <c r="EMY81" s="54"/>
      <c r="EMZ81" s="54"/>
      <c r="ENA81" s="54"/>
      <c r="ENB81" s="54"/>
      <c r="ENC81" s="54"/>
      <c r="END81" s="54"/>
      <c r="ENE81" s="54"/>
      <c r="ENF81" s="54"/>
      <c r="ENG81" s="54"/>
      <c r="ENH81" s="54"/>
      <c r="ENI81" s="54"/>
      <c r="ENJ81" s="54"/>
      <c r="ENK81" s="54"/>
      <c r="ENL81" s="54"/>
      <c r="ENM81" s="54"/>
      <c r="ENN81" s="54"/>
      <c r="ENO81" s="54"/>
      <c r="ENP81" s="54"/>
      <c r="ENQ81" s="54"/>
      <c r="ENR81" s="54"/>
      <c r="ENS81" s="54"/>
      <c r="ENT81" s="54"/>
      <c r="ENU81" s="54"/>
      <c r="ENV81" s="54"/>
      <c r="ENW81" s="54"/>
      <c r="ENX81" s="54"/>
      <c r="ENY81" s="54"/>
      <c r="ENZ81" s="54"/>
      <c r="EOA81" s="54"/>
      <c r="EOB81" s="54"/>
      <c r="EOC81" s="54"/>
      <c r="EOD81" s="54"/>
      <c r="EOE81" s="54"/>
      <c r="EOF81" s="54"/>
      <c r="EOG81" s="54"/>
      <c r="EOH81" s="54"/>
      <c r="EOI81" s="54"/>
      <c r="EOJ81" s="54"/>
      <c r="EOK81" s="54"/>
      <c r="EOL81" s="54"/>
      <c r="EOM81" s="54"/>
      <c r="EON81" s="54"/>
      <c r="EOO81" s="54"/>
      <c r="EOP81" s="54"/>
      <c r="EOQ81" s="54"/>
      <c r="EOR81" s="54"/>
      <c r="EOS81" s="54"/>
      <c r="EOT81" s="54"/>
      <c r="EOU81" s="54"/>
      <c r="EOV81" s="54"/>
      <c r="EOW81" s="54"/>
      <c r="EOX81" s="54"/>
      <c r="EOY81" s="54"/>
      <c r="EOZ81" s="54"/>
      <c r="EPA81" s="54"/>
      <c r="EPB81" s="54"/>
      <c r="EPC81" s="54"/>
      <c r="EPD81" s="54"/>
      <c r="EPE81" s="54"/>
      <c r="EPF81" s="54"/>
      <c r="EPG81" s="54"/>
      <c r="EPH81" s="54"/>
      <c r="EPI81" s="54"/>
      <c r="EPJ81" s="54"/>
      <c r="EPK81" s="54"/>
      <c r="EPL81" s="54"/>
      <c r="EPM81" s="54"/>
      <c r="EPN81" s="54"/>
      <c r="EPO81" s="54"/>
      <c r="EPP81" s="54"/>
      <c r="EPQ81" s="54"/>
      <c r="EPR81" s="54"/>
      <c r="EPS81" s="54"/>
      <c r="EPT81" s="54"/>
      <c r="EPU81" s="54"/>
      <c r="EPV81" s="54"/>
      <c r="EPW81" s="54"/>
      <c r="EPX81" s="54"/>
      <c r="EPY81" s="54"/>
      <c r="EPZ81" s="54"/>
      <c r="EQA81" s="54"/>
      <c r="EQB81" s="54"/>
      <c r="EQC81" s="54"/>
      <c r="EQD81" s="54"/>
      <c r="EQE81" s="54"/>
      <c r="EQF81" s="54"/>
      <c r="EQG81" s="54"/>
      <c r="EQH81" s="54"/>
      <c r="EQI81" s="54"/>
      <c r="EQJ81" s="54"/>
      <c r="EQK81" s="54"/>
      <c r="EQL81" s="54"/>
      <c r="EQM81" s="54"/>
      <c r="EQN81" s="54"/>
      <c r="EQO81" s="54"/>
      <c r="EQP81" s="54"/>
      <c r="EQQ81" s="54"/>
      <c r="EQR81" s="54"/>
      <c r="EQS81" s="54"/>
      <c r="EQT81" s="54"/>
      <c r="EQU81" s="54"/>
      <c r="EQV81" s="54"/>
      <c r="EQW81" s="54"/>
      <c r="EQX81" s="54"/>
      <c r="EQY81" s="54"/>
      <c r="EQZ81" s="54"/>
      <c r="ERA81" s="54"/>
      <c r="ERB81" s="54"/>
      <c r="ERC81" s="54"/>
      <c r="ERD81" s="54"/>
      <c r="ERE81" s="54"/>
      <c r="ERF81" s="54"/>
      <c r="ERG81" s="54"/>
      <c r="ERH81" s="54"/>
      <c r="ERI81" s="54"/>
      <c r="ERJ81" s="54"/>
      <c r="ERK81" s="54"/>
      <c r="ERL81" s="54"/>
      <c r="ERM81" s="54"/>
      <c r="ERN81" s="54"/>
      <c r="ERO81" s="54"/>
      <c r="ERP81" s="54"/>
      <c r="ERQ81" s="54"/>
      <c r="ERR81" s="54"/>
      <c r="ERS81" s="54"/>
      <c r="ERT81" s="54"/>
      <c r="ERU81" s="54"/>
      <c r="ERV81" s="54"/>
      <c r="ERW81" s="54"/>
      <c r="ERX81" s="54"/>
      <c r="ERY81" s="54"/>
      <c r="ERZ81" s="54"/>
      <c r="ESA81" s="54"/>
      <c r="ESB81" s="54"/>
      <c r="ESC81" s="54"/>
      <c r="ESD81" s="54"/>
      <c r="ESE81" s="54"/>
      <c r="ESF81" s="54"/>
      <c r="ESG81" s="54"/>
      <c r="ESH81" s="54"/>
      <c r="ESI81" s="54"/>
      <c r="ESJ81" s="54"/>
      <c r="ESK81" s="54"/>
      <c r="ESL81" s="54"/>
      <c r="ESM81" s="54"/>
      <c r="ESN81" s="54"/>
      <c r="ESO81" s="54"/>
      <c r="ESP81" s="54"/>
      <c r="ESQ81" s="54"/>
      <c r="ESR81" s="54"/>
      <c r="ESS81" s="54"/>
      <c r="EST81" s="54"/>
      <c r="ESU81" s="54"/>
      <c r="ESV81" s="54"/>
      <c r="ESW81" s="54"/>
      <c r="ESX81" s="54"/>
      <c r="ESY81" s="54"/>
      <c r="ESZ81" s="54"/>
      <c r="ETA81" s="54"/>
      <c r="ETB81" s="54"/>
      <c r="ETC81" s="54"/>
      <c r="ETD81" s="54"/>
      <c r="ETE81" s="54"/>
      <c r="ETF81" s="54"/>
      <c r="ETG81" s="54"/>
      <c r="ETH81" s="54"/>
      <c r="ETI81" s="54"/>
      <c r="ETJ81" s="54"/>
      <c r="ETK81" s="54"/>
      <c r="ETL81" s="54"/>
      <c r="ETM81" s="54"/>
      <c r="ETN81" s="54"/>
      <c r="ETO81" s="54"/>
      <c r="ETP81" s="54"/>
      <c r="ETQ81" s="54"/>
      <c r="ETR81" s="54"/>
      <c r="ETS81" s="54"/>
      <c r="ETT81" s="54"/>
      <c r="ETU81" s="54"/>
      <c r="ETV81" s="54"/>
      <c r="ETW81" s="54"/>
      <c r="ETX81" s="54"/>
      <c r="ETY81" s="54"/>
      <c r="ETZ81" s="54"/>
      <c r="EUA81" s="54"/>
      <c r="EUB81" s="54"/>
      <c r="EUC81" s="54"/>
      <c r="EUD81" s="54"/>
      <c r="EUE81" s="54"/>
      <c r="EUF81" s="54"/>
      <c r="EUG81" s="54"/>
      <c r="EUH81" s="54"/>
      <c r="EUI81" s="54"/>
      <c r="EUJ81" s="54"/>
      <c r="EUK81" s="54"/>
      <c r="EUL81" s="54"/>
      <c r="EUM81" s="54"/>
      <c r="EUN81" s="54"/>
      <c r="EUO81" s="54"/>
      <c r="EUP81" s="54"/>
      <c r="EUQ81" s="54"/>
      <c r="EUR81" s="54"/>
      <c r="EUS81" s="54"/>
      <c r="EUT81" s="54"/>
      <c r="EUU81" s="54"/>
      <c r="EUV81" s="54"/>
      <c r="EUW81" s="54"/>
      <c r="EUX81" s="54"/>
      <c r="EUY81" s="54"/>
      <c r="EUZ81" s="54"/>
      <c r="EVA81" s="54"/>
      <c r="EVB81" s="54"/>
      <c r="EVC81" s="54"/>
      <c r="EVD81" s="54"/>
      <c r="EVE81" s="54"/>
      <c r="EVF81" s="54"/>
      <c r="EVG81" s="54"/>
      <c r="EVH81" s="54"/>
      <c r="EVI81" s="54"/>
      <c r="EVJ81" s="54"/>
      <c r="EVK81" s="54"/>
      <c r="EVL81" s="54"/>
      <c r="EVM81" s="54"/>
      <c r="EVN81" s="54"/>
      <c r="EVO81" s="54"/>
      <c r="EVP81" s="54"/>
      <c r="EVQ81" s="54"/>
      <c r="EVR81" s="54"/>
      <c r="EVS81" s="54"/>
      <c r="EVT81" s="54"/>
      <c r="EVU81" s="54"/>
      <c r="EVV81" s="54"/>
      <c r="EVW81" s="54"/>
      <c r="EVX81" s="54"/>
      <c r="EVY81" s="54"/>
      <c r="EVZ81" s="54"/>
      <c r="EWA81" s="54"/>
      <c r="EWB81" s="54"/>
      <c r="EWC81" s="54"/>
      <c r="EWD81" s="54"/>
      <c r="EWE81" s="54"/>
      <c r="EWF81" s="54"/>
      <c r="EWG81" s="54"/>
      <c r="EWH81" s="54"/>
      <c r="EWI81" s="54"/>
      <c r="EWJ81" s="54"/>
      <c r="EWK81" s="54"/>
      <c r="EWL81" s="54"/>
      <c r="EWM81" s="54"/>
      <c r="EWN81" s="54"/>
      <c r="EWO81" s="54"/>
      <c r="EWP81" s="54"/>
      <c r="EWQ81" s="54"/>
      <c r="EWR81" s="54"/>
      <c r="EWS81" s="54"/>
      <c r="EWT81" s="54"/>
      <c r="EWU81" s="54"/>
      <c r="EWV81" s="54"/>
      <c r="EWW81" s="54"/>
      <c r="EWX81" s="54"/>
      <c r="EWY81" s="54"/>
      <c r="EWZ81" s="54"/>
      <c r="EXA81" s="54"/>
      <c r="EXB81" s="54"/>
      <c r="EXC81" s="54"/>
      <c r="EXD81" s="54"/>
      <c r="EXE81" s="54"/>
      <c r="EXF81" s="54"/>
      <c r="EXG81" s="54"/>
      <c r="EXH81" s="54"/>
      <c r="EXI81" s="54"/>
      <c r="EXJ81" s="54"/>
      <c r="EXK81" s="54"/>
      <c r="EXL81" s="54"/>
      <c r="EXM81" s="54"/>
      <c r="EXN81" s="54"/>
      <c r="EXO81" s="54"/>
      <c r="EXP81" s="54"/>
      <c r="EXQ81" s="54"/>
      <c r="EXR81" s="54"/>
      <c r="EXS81" s="54"/>
      <c r="EXT81" s="54"/>
      <c r="EXU81" s="54"/>
      <c r="EXV81" s="54"/>
      <c r="EXW81" s="54"/>
      <c r="EXX81" s="54"/>
      <c r="EXY81" s="54"/>
      <c r="EXZ81" s="54"/>
      <c r="EYA81" s="54"/>
      <c r="EYB81" s="54"/>
      <c r="EYC81" s="54"/>
      <c r="EYD81" s="54"/>
      <c r="EYE81" s="54"/>
      <c r="EYF81" s="54"/>
      <c r="EYG81" s="54"/>
      <c r="EYH81" s="54"/>
      <c r="EYI81" s="54"/>
      <c r="EYJ81" s="54"/>
      <c r="EYK81" s="54"/>
      <c r="EYL81" s="54"/>
      <c r="EYM81" s="54"/>
      <c r="EYN81" s="54"/>
      <c r="EYO81" s="54"/>
      <c r="EYP81" s="54"/>
      <c r="EYQ81" s="54"/>
      <c r="EYR81" s="54"/>
      <c r="EYS81" s="54"/>
      <c r="EYT81" s="54"/>
      <c r="EYU81" s="54"/>
      <c r="EYV81" s="54"/>
      <c r="EYW81" s="54"/>
      <c r="EYX81" s="54"/>
      <c r="EYY81" s="54"/>
      <c r="EYZ81" s="54"/>
      <c r="EZA81" s="54"/>
      <c r="EZB81" s="54"/>
      <c r="EZC81" s="54"/>
      <c r="EZD81" s="54"/>
      <c r="EZE81" s="54"/>
      <c r="EZF81" s="54"/>
      <c r="EZG81" s="54"/>
      <c r="EZH81" s="54"/>
      <c r="EZI81" s="54"/>
      <c r="EZJ81" s="54"/>
      <c r="EZK81" s="54"/>
      <c r="EZL81" s="54"/>
      <c r="EZM81" s="54"/>
      <c r="EZN81" s="54"/>
      <c r="EZO81" s="54"/>
      <c r="EZP81" s="54"/>
      <c r="EZQ81" s="54"/>
      <c r="EZR81" s="54"/>
      <c r="EZS81" s="54"/>
      <c r="EZT81" s="54"/>
      <c r="EZU81" s="54"/>
      <c r="EZV81" s="54"/>
      <c r="EZW81" s="54"/>
      <c r="EZX81" s="54"/>
      <c r="EZY81" s="54"/>
      <c r="EZZ81" s="54"/>
      <c r="FAA81" s="54"/>
      <c r="FAB81" s="54"/>
      <c r="FAC81" s="54"/>
      <c r="FAD81" s="54"/>
      <c r="FAE81" s="54"/>
      <c r="FAF81" s="54"/>
      <c r="FAG81" s="54"/>
      <c r="FAH81" s="54"/>
      <c r="FAI81" s="54"/>
      <c r="FAJ81" s="54"/>
      <c r="FAK81" s="54"/>
      <c r="FAL81" s="54"/>
      <c r="FAM81" s="54"/>
      <c r="FAN81" s="54"/>
      <c r="FAO81" s="54"/>
      <c r="FAP81" s="54"/>
      <c r="FAQ81" s="54"/>
      <c r="FAR81" s="54"/>
      <c r="FAS81" s="54"/>
      <c r="FAT81" s="54"/>
      <c r="FAU81" s="54"/>
      <c r="FAV81" s="54"/>
      <c r="FAW81" s="54"/>
      <c r="FAX81" s="54"/>
      <c r="FAY81" s="54"/>
      <c r="FAZ81" s="54"/>
      <c r="FBA81" s="54"/>
      <c r="FBB81" s="54"/>
      <c r="FBC81" s="54"/>
      <c r="FBD81" s="54"/>
      <c r="FBE81" s="54"/>
      <c r="FBF81" s="54"/>
      <c r="FBG81" s="54"/>
      <c r="FBH81" s="54"/>
      <c r="FBI81" s="54"/>
      <c r="FBJ81" s="54"/>
      <c r="FBK81" s="54"/>
      <c r="FBL81" s="54"/>
      <c r="FBM81" s="54"/>
      <c r="FBN81" s="54"/>
      <c r="FBO81" s="54"/>
      <c r="FBP81" s="54"/>
      <c r="FBQ81" s="54"/>
      <c r="FBR81" s="54"/>
      <c r="FBS81" s="54"/>
      <c r="FBT81" s="54"/>
      <c r="FBU81" s="54"/>
      <c r="FBV81" s="54"/>
      <c r="FBW81" s="54"/>
      <c r="FBX81" s="54"/>
      <c r="FBY81" s="54"/>
      <c r="FBZ81" s="54"/>
      <c r="FCA81" s="54"/>
      <c r="FCB81" s="54"/>
      <c r="FCC81" s="54"/>
      <c r="FCD81" s="54"/>
      <c r="FCE81" s="54"/>
      <c r="FCF81" s="54"/>
      <c r="FCG81" s="54"/>
      <c r="FCH81" s="54"/>
      <c r="FCI81" s="54"/>
      <c r="FCJ81" s="54"/>
      <c r="FCK81" s="54"/>
      <c r="FCL81" s="54"/>
      <c r="FCM81" s="54"/>
      <c r="FCN81" s="54"/>
      <c r="FCO81" s="54"/>
      <c r="FCP81" s="54"/>
      <c r="FCQ81" s="54"/>
      <c r="FCR81" s="54"/>
      <c r="FCS81" s="54"/>
      <c r="FCT81" s="54"/>
      <c r="FCU81" s="54"/>
      <c r="FCV81" s="54"/>
      <c r="FCW81" s="54"/>
      <c r="FCX81" s="54"/>
      <c r="FCY81" s="54"/>
      <c r="FCZ81" s="54"/>
      <c r="FDA81" s="54"/>
      <c r="FDB81" s="54"/>
      <c r="FDC81" s="54"/>
      <c r="FDD81" s="54"/>
      <c r="FDE81" s="54"/>
      <c r="FDF81" s="54"/>
      <c r="FDG81" s="54"/>
      <c r="FDH81" s="54"/>
      <c r="FDI81" s="54"/>
      <c r="FDJ81" s="54"/>
      <c r="FDK81" s="54"/>
      <c r="FDL81" s="54"/>
      <c r="FDM81" s="54"/>
      <c r="FDN81" s="54"/>
      <c r="FDO81" s="54"/>
      <c r="FDP81" s="54"/>
      <c r="FDQ81" s="54"/>
      <c r="FDR81" s="54"/>
      <c r="FDS81" s="54"/>
      <c r="FDT81" s="54"/>
      <c r="FDU81" s="54"/>
      <c r="FDV81" s="54"/>
      <c r="FDW81" s="54"/>
      <c r="FDX81" s="54"/>
      <c r="FDY81" s="54"/>
      <c r="FDZ81" s="54"/>
      <c r="FEA81" s="54"/>
      <c r="FEB81" s="54"/>
      <c r="FEC81" s="54"/>
      <c r="FED81" s="54"/>
      <c r="FEE81" s="54"/>
      <c r="FEF81" s="54"/>
      <c r="FEG81" s="54"/>
      <c r="FEH81" s="54"/>
      <c r="FEI81" s="54"/>
      <c r="FEJ81" s="54"/>
      <c r="FEK81" s="54"/>
      <c r="FEL81" s="54"/>
      <c r="FEM81" s="54"/>
      <c r="FEN81" s="54"/>
      <c r="FEO81" s="54"/>
      <c r="FEP81" s="54"/>
      <c r="FEQ81" s="54"/>
      <c r="FER81" s="54"/>
      <c r="FES81" s="54"/>
      <c r="FET81" s="54"/>
      <c r="FEU81" s="54"/>
      <c r="FEV81" s="54"/>
      <c r="FEW81" s="54"/>
      <c r="FEX81" s="54"/>
      <c r="FEY81" s="54"/>
      <c r="FEZ81" s="54"/>
      <c r="FFA81" s="54"/>
      <c r="FFB81" s="54"/>
      <c r="FFC81" s="54"/>
      <c r="FFD81" s="54"/>
      <c r="FFE81" s="54"/>
      <c r="FFF81" s="54"/>
      <c r="FFG81" s="54"/>
      <c r="FFH81" s="54"/>
      <c r="FFI81" s="54"/>
      <c r="FFJ81" s="54"/>
      <c r="FFK81" s="54"/>
      <c r="FFL81" s="54"/>
      <c r="FFM81" s="54"/>
      <c r="FFN81" s="54"/>
      <c r="FFO81" s="54"/>
      <c r="FFP81" s="54"/>
      <c r="FFQ81" s="54"/>
      <c r="FFR81" s="54"/>
      <c r="FFS81" s="54"/>
      <c r="FFT81" s="54"/>
      <c r="FFU81" s="54"/>
      <c r="FFV81" s="54"/>
      <c r="FFW81" s="54"/>
      <c r="FFX81" s="54"/>
      <c r="FFY81" s="54"/>
      <c r="FFZ81" s="54"/>
      <c r="FGA81" s="54"/>
      <c r="FGB81" s="54"/>
      <c r="FGC81" s="54"/>
      <c r="FGD81" s="54"/>
      <c r="FGE81" s="54"/>
      <c r="FGF81" s="54"/>
      <c r="FGG81" s="54"/>
      <c r="FGH81" s="54"/>
      <c r="FGI81" s="54"/>
      <c r="FGJ81" s="54"/>
      <c r="FGK81" s="54"/>
      <c r="FGL81" s="54"/>
      <c r="FGM81" s="54"/>
      <c r="FGN81" s="54"/>
      <c r="FGO81" s="54"/>
      <c r="FGP81" s="54"/>
      <c r="FGQ81" s="54"/>
      <c r="FGR81" s="54"/>
      <c r="FGS81" s="54"/>
      <c r="FGT81" s="54"/>
      <c r="FGU81" s="54"/>
      <c r="FGV81" s="54"/>
      <c r="FGW81" s="54"/>
      <c r="FGX81" s="54"/>
      <c r="FGY81" s="54"/>
      <c r="FGZ81" s="54"/>
      <c r="FHA81" s="54"/>
      <c r="FHB81" s="54"/>
      <c r="FHC81" s="54"/>
      <c r="FHD81" s="54"/>
      <c r="FHE81" s="54"/>
      <c r="FHF81" s="54"/>
      <c r="FHG81" s="54"/>
      <c r="FHH81" s="54"/>
      <c r="FHI81" s="54"/>
      <c r="FHJ81" s="54"/>
      <c r="FHK81" s="54"/>
      <c r="FHL81" s="54"/>
      <c r="FHM81" s="54"/>
      <c r="FHN81" s="54"/>
      <c r="FHO81" s="54"/>
      <c r="FHP81" s="54"/>
      <c r="FHQ81" s="54"/>
      <c r="FHR81" s="54"/>
      <c r="FHS81" s="54"/>
      <c r="FHT81" s="54"/>
      <c r="FHU81" s="54"/>
      <c r="FHV81" s="54"/>
      <c r="FHW81" s="54"/>
      <c r="FHX81" s="54"/>
      <c r="FHY81" s="54"/>
      <c r="FHZ81" s="54"/>
      <c r="FIA81" s="54"/>
      <c r="FIB81" s="54"/>
      <c r="FIC81" s="54"/>
      <c r="FID81" s="54"/>
      <c r="FIE81" s="54"/>
      <c r="FIF81" s="54"/>
      <c r="FIG81" s="54"/>
      <c r="FIH81" s="54"/>
      <c r="FII81" s="54"/>
      <c r="FIJ81" s="54"/>
      <c r="FIK81" s="54"/>
      <c r="FIL81" s="54"/>
      <c r="FIM81" s="54"/>
      <c r="FIN81" s="54"/>
      <c r="FIO81" s="54"/>
      <c r="FIP81" s="54"/>
      <c r="FIQ81" s="54"/>
      <c r="FIR81" s="54"/>
      <c r="FIS81" s="54"/>
      <c r="FIT81" s="54"/>
      <c r="FIU81" s="54"/>
      <c r="FIV81" s="54"/>
      <c r="FIW81" s="54"/>
      <c r="FIX81" s="54"/>
      <c r="FIY81" s="54"/>
      <c r="FIZ81" s="54"/>
      <c r="FJA81" s="54"/>
      <c r="FJB81" s="54"/>
      <c r="FJC81" s="54"/>
      <c r="FJD81" s="54"/>
      <c r="FJE81" s="54"/>
      <c r="FJF81" s="54"/>
      <c r="FJG81" s="54"/>
      <c r="FJH81" s="54"/>
      <c r="FJI81" s="54"/>
      <c r="FJJ81" s="54"/>
      <c r="FJK81" s="54"/>
      <c r="FJL81" s="54"/>
      <c r="FJM81" s="54"/>
      <c r="FJN81" s="54"/>
      <c r="FJO81" s="54"/>
      <c r="FJP81" s="54"/>
      <c r="FJQ81" s="54"/>
      <c r="FJR81" s="54"/>
      <c r="FJS81" s="54"/>
      <c r="FJT81" s="54"/>
      <c r="FJU81" s="54"/>
      <c r="FJV81" s="54"/>
      <c r="FJW81" s="54"/>
      <c r="FJX81" s="54"/>
      <c r="FJY81" s="54"/>
      <c r="FJZ81" s="54"/>
      <c r="FKA81" s="54"/>
      <c r="FKB81" s="54"/>
      <c r="FKC81" s="54"/>
      <c r="FKD81" s="54"/>
      <c r="FKE81" s="54"/>
      <c r="FKF81" s="54"/>
      <c r="FKG81" s="54"/>
      <c r="FKH81" s="54"/>
      <c r="FKI81" s="54"/>
      <c r="FKJ81" s="54"/>
      <c r="FKK81" s="54"/>
      <c r="FKL81" s="54"/>
      <c r="FKM81" s="54"/>
      <c r="FKN81" s="54"/>
      <c r="FKO81" s="54"/>
      <c r="FKP81" s="54"/>
      <c r="FKQ81" s="54"/>
      <c r="FKR81" s="54"/>
      <c r="FKS81" s="54"/>
      <c r="FKT81" s="54"/>
      <c r="FKU81" s="54"/>
      <c r="FKV81" s="54"/>
      <c r="FKW81" s="54"/>
      <c r="FKX81" s="54"/>
      <c r="FKY81" s="54"/>
      <c r="FKZ81" s="54"/>
      <c r="FLA81" s="54"/>
      <c r="FLB81" s="54"/>
      <c r="FLC81" s="54"/>
      <c r="FLD81" s="54"/>
      <c r="FLE81" s="54"/>
      <c r="FLF81" s="54"/>
      <c r="FLG81" s="54"/>
      <c r="FLH81" s="54"/>
      <c r="FLI81" s="54"/>
      <c r="FLJ81" s="54"/>
      <c r="FLK81" s="54"/>
      <c r="FLL81" s="54"/>
      <c r="FLM81" s="54"/>
      <c r="FLN81" s="54"/>
      <c r="FLO81" s="54"/>
      <c r="FLP81" s="54"/>
      <c r="FLQ81" s="54"/>
      <c r="FLR81" s="54"/>
      <c r="FLS81" s="54"/>
      <c r="FLT81" s="54"/>
      <c r="FLU81" s="54"/>
      <c r="FLV81" s="54"/>
      <c r="FLW81" s="54"/>
      <c r="FLX81" s="54"/>
      <c r="FLY81" s="54"/>
      <c r="FLZ81" s="54"/>
      <c r="FMA81" s="54"/>
      <c r="FMB81" s="54"/>
      <c r="FMC81" s="54"/>
      <c r="FMD81" s="54"/>
      <c r="FME81" s="54"/>
      <c r="FMF81" s="54"/>
      <c r="FMG81" s="54"/>
      <c r="FMH81" s="54"/>
      <c r="FMI81" s="54"/>
      <c r="FMJ81" s="54"/>
      <c r="FMK81" s="54"/>
      <c r="FML81" s="54"/>
      <c r="FMM81" s="54"/>
      <c r="FMN81" s="54"/>
      <c r="FMO81" s="54"/>
      <c r="FMP81" s="54"/>
      <c r="FMQ81" s="54"/>
      <c r="FMR81" s="54"/>
      <c r="FMS81" s="54"/>
      <c r="FMT81" s="54"/>
      <c r="FMU81" s="54"/>
      <c r="FMV81" s="54"/>
      <c r="FMW81" s="54"/>
      <c r="FMX81" s="54"/>
      <c r="FMY81" s="54"/>
      <c r="FMZ81" s="54"/>
      <c r="FNA81" s="54"/>
      <c r="FNB81" s="54"/>
      <c r="FNC81" s="54"/>
      <c r="FND81" s="54"/>
      <c r="FNE81" s="54"/>
      <c r="FNF81" s="54"/>
      <c r="FNG81" s="54"/>
      <c r="FNH81" s="54"/>
      <c r="FNI81" s="54"/>
      <c r="FNJ81" s="54"/>
      <c r="FNK81" s="54"/>
      <c r="FNL81" s="54"/>
      <c r="FNM81" s="54"/>
      <c r="FNN81" s="54"/>
      <c r="FNO81" s="54"/>
      <c r="FNP81" s="54"/>
      <c r="FNQ81" s="54"/>
      <c r="FNR81" s="54"/>
      <c r="FNS81" s="54"/>
      <c r="FNT81" s="54"/>
      <c r="FNU81" s="54"/>
      <c r="FNV81" s="54"/>
      <c r="FNW81" s="54"/>
      <c r="FNX81" s="54"/>
      <c r="FNY81" s="54"/>
      <c r="FNZ81" s="54"/>
      <c r="FOA81" s="54"/>
      <c r="FOB81" s="54"/>
      <c r="FOC81" s="54"/>
      <c r="FOD81" s="54"/>
      <c r="FOE81" s="54"/>
      <c r="FOF81" s="54"/>
      <c r="FOG81" s="54"/>
      <c r="FOH81" s="54"/>
      <c r="FOI81" s="54"/>
      <c r="FOJ81" s="54"/>
      <c r="FOK81" s="54"/>
      <c r="FOL81" s="54"/>
      <c r="FOM81" s="54"/>
      <c r="FON81" s="54"/>
      <c r="FOO81" s="54"/>
      <c r="FOP81" s="54"/>
      <c r="FOQ81" s="54"/>
      <c r="FOR81" s="54"/>
      <c r="FOS81" s="54"/>
      <c r="FOT81" s="54"/>
      <c r="FOU81" s="54"/>
      <c r="FOV81" s="54"/>
      <c r="FOW81" s="54"/>
      <c r="FOX81" s="54"/>
      <c r="FOY81" s="54"/>
      <c r="FOZ81" s="54"/>
      <c r="FPA81" s="54"/>
      <c r="FPB81" s="54"/>
      <c r="FPC81" s="54"/>
      <c r="FPD81" s="54"/>
      <c r="FPE81" s="54"/>
      <c r="FPF81" s="54"/>
      <c r="FPG81" s="54"/>
      <c r="FPH81" s="54"/>
      <c r="FPI81" s="54"/>
      <c r="FPJ81" s="54"/>
      <c r="FPK81" s="54"/>
      <c r="FPL81" s="54"/>
      <c r="FPM81" s="54"/>
      <c r="FPN81" s="54"/>
      <c r="FPO81" s="54"/>
      <c r="FPP81" s="54"/>
      <c r="FPQ81" s="54"/>
      <c r="FPR81" s="54"/>
      <c r="FPS81" s="54"/>
      <c r="FPT81" s="54"/>
      <c r="FPU81" s="54"/>
      <c r="FPV81" s="54"/>
      <c r="FPW81" s="54"/>
      <c r="FPX81" s="54"/>
      <c r="FPY81" s="54"/>
      <c r="FPZ81" s="54"/>
      <c r="FQA81" s="54"/>
      <c r="FQB81" s="54"/>
      <c r="FQC81" s="54"/>
      <c r="FQD81" s="54"/>
      <c r="FQE81" s="54"/>
      <c r="FQF81" s="54"/>
      <c r="FQG81" s="54"/>
      <c r="FQH81" s="54"/>
      <c r="FQI81" s="54"/>
      <c r="FQJ81" s="54"/>
      <c r="FQK81" s="54"/>
      <c r="FQL81" s="54"/>
      <c r="FQM81" s="54"/>
      <c r="FQN81" s="54"/>
      <c r="FQO81" s="54"/>
      <c r="FQP81" s="54"/>
      <c r="FQQ81" s="54"/>
      <c r="FQR81" s="54"/>
      <c r="FQS81" s="54"/>
      <c r="FQT81" s="54"/>
      <c r="FQU81" s="54"/>
      <c r="FQV81" s="54"/>
      <c r="FQW81" s="54"/>
      <c r="FQX81" s="54"/>
      <c r="FQY81" s="54"/>
      <c r="FQZ81" s="54"/>
      <c r="FRA81" s="54"/>
      <c r="FRB81" s="54"/>
      <c r="FRC81" s="54"/>
      <c r="FRD81" s="54"/>
      <c r="FRE81" s="54"/>
      <c r="FRF81" s="54"/>
      <c r="FRG81" s="54"/>
      <c r="FRH81" s="54"/>
      <c r="FRI81" s="54"/>
      <c r="FRJ81" s="54"/>
      <c r="FRK81" s="54"/>
      <c r="FRL81" s="54"/>
      <c r="FRM81" s="54"/>
      <c r="FRN81" s="54"/>
      <c r="FRO81" s="54"/>
      <c r="FRP81" s="54"/>
      <c r="FRQ81" s="54"/>
      <c r="FRR81" s="54"/>
      <c r="FRS81" s="54"/>
      <c r="FRT81" s="54"/>
      <c r="FRU81" s="54"/>
      <c r="FRV81" s="54"/>
      <c r="FRW81" s="54"/>
      <c r="FRX81" s="54"/>
      <c r="FRY81" s="54"/>
      <c r="FRZ81" s="54"/>
      <c r="FSA81" s="54"/>
      <c r="FSB81" s="54"/>
      <c r="FSC81" s="54"/>
      <c r="FSD81" s="54"/>
      <c r="FSE81" s="54"/>
      <c r="FSF81" s="54"/>
      <c r="FSG81" s="54"/>
      <c r="FSH81" s="54"/>
      <c r="FSI81" s="54"/>
      <c r="FSJ81" s="54"/>
      <c r="FSK81" s="54"/>
      <c r="FSL81" s="54"/>
      <c r="FSM81" s="54"/>
      <c r="FSN81" s="54"/>
      <c r="FSO81" s="54"/>
      <c r="FSP81" s="54"/>
      <c r="FSQ81" s="54"/>
      <c r="FSR81" s="54"/>
      <c r="FSS81" s="54"/>
      <c r="FST81" s="54"/>
      <c r="FSU81" s="54"/>
      <c r="FSV81" s="54"/>
      <c r="FSW81" s="54"/>
      <c r="FSX81" s="54"/>
      <c r="FSY81" s="54"/>
      <c r="FSZ81" s="54"/>
      <c r="FTA81" s="54"/>
      <c r="FTB81" s="54"/>
      <c r="FTC81" s="54"/>
      <c r="FTD81" s="54"/>
      <c r="FTE81" s="54"/>
      <c r="FTF81" s="54"/>
      <c r="FTG81" s="54"/>
      <c r="FTH81" s="54"/>
      <c r="FTI81" s="54"/>
      <c r="FTJ81" s="54"/>
      <c r="FTK81" s="54"/>
      <c r="FTL81" s="54"/>
      <c r="FTM81" s="54"/>
      <c r="FTN81" s="54"/>
      <c r="FTO81" s="54"/>
      <c r="FTP81" s="54"/>
      <c r="FTQ81" s="54"/>
      <c r="FTR81" s="54"/>
      <c r="FTS81" s="54"/>
      <c r="FTT81" s="54"/>
      <c r="FTU81" s="54"/>
      <c r="FTV81" s="54"/>
      <c r="FTW81" s="54"/>
      <c r="FTX81" s="54"/>
      <c r="FTY81" s="54"/>
      <c r="FTZ81" s="54"/>
      <c r="FUA81" s="54"/>
      <c r="FUB81" s="54"/>
      <c r="FUC81" s="54"/>
      <c r="FUD81" s="54"/>
      <c r="FUE81" s="54"/>
      <c r="FUF81" s="54"/>
      <c r="FUG81" s="54"/>
      <c r="FUH81" s="54"/>
      <c r="FUI81" s="54"/>
      <c r="FUJ81" s="54"/>
      <c r="FUK81" s="54"/>
      <c r="FUL81" s="54"/>
      <c r="FUM81" s="54"/>
      <c r="FUN81" s="54"/>
      <c r="FUO81" s="54"/>
      <c r="FUP81" s="54"/>
      <c r="FUQ81" s="54"/>
      <c r="FUR81" s="54"/>
      <c r="FUS81" s="54"/>
      <c r="FUT81" s="54"/>
      <c r="FUU81" s="54"/>
      <c r="FUV81" s="54"/>
      <c r="FUW81" s="54"/>
      <c r="FUX81" s="54"/>
      <c r="FUY81" s="54"/>
      <c r="FUZ81" s="54"/>
      <c r="FVA81" s="54"/>
      <c r="FVB81" s="54"/>
      <c r="FVC81" s="54"/>
      <c r="FVD81" s="54"/>
      <c r="FVE81" s="54"/>
      <c r="FVF81" s="54"/>
      <c r="FVG81" s="54"/>
      <c r="FVH81" s="54"/>
      <c r="FVI81" s="54"/>
      <c r="FVJ81" s="54"/>
      <c r="FVK81" s="54"/>
      <c r="FVL81" s="54"/>
      <c r="FVM81" s="54"/>
      <c r="FVN81" s="54"/>
      <c r="FVO81" s="54"/>
      <c r="FVP81" s="54"/>
      <c r="FVQ81" s="54"/>
      <c r="FVR81" s="54"/>
      <c r="FVS81" s="54"/>
      <c r="FVT81" s="54"/>
      <c r="FVU81" s="54"/>
      <c r="FVV81" s="54"/>
      <c r="FVW81" s="54"/>
      <c r="FVX81" s="54"/>
      <c r="FVY81" s="54"/>
      <c r="FVZ81" s="54"/>
      <c r="FWA81" s="54"/>
      <c r="FWB81" s="54"/>
      <c r="FWC81" s="54"/>
      <c r="FWD81" s="54"/>
      <c r="FWE81" s="54"/>
      <c r="FWF81" s="54"/>
      <c r="FWG81" s="54"/>
      <c r="FWH81" s="54"/>
      <c r="FWI81" s="54"/>
      <c r="FWJ81" s="54"/>
      <c r="FWK81" s="54"/>
      <c r="FWL81" s="54"/>
      <c r="FWM81" s="54"/>
      <c r="FWN81" s="54"/>
      <c r="FWO81" s="54"/>
      <c r="FWP81" s="54"/>
      <c r="FWQ81" s="54"/>
      <c r="FWR81" s="54"/>
      <c r="FWS81" s="54"/>
      <c r="FWT81" s="54"/>
      <c r="FWU81" s="54"/>
      <c r="FWV81" s="54"/>
      <c r="FWW81" s="54"/>
      <c r="FWX81" s="54"/>
      <c r="FWY81" s="54"/>
      <c r="FWZ81" s="54"/>
      <c r="FXA81" s="54"/>
      <c r="FXB81" s="54"/>
      <c r="FXC81" s="54"/>
      <c r="FXD81" s="54"/>
      <c r="FXE81" s="54"/>
      <c r="FXF81" s="54"/>
      <c r="FXG81" s="54"/>
      <c r="FXH81" s="54"/>
      <c r="FXI81" s="54"/>
      <c r="FXJ81" s="54"/>
      <c r="FXK81" s="54"/>
      <c r="FXL81" s="54"/>
      <c r="FXM81" s="54"/>
      <c r="FXN81" s="54"/>
      <c r="FXO81" s="54"/>
      <c r="FXP81" s="54"/>
      <c r="FXQ81" s="54"/>
      <c r="FXR81" s="54"/>
      <c r="FXS81" s="54"/>
      <c r="FXT81" s="54"/>
      <c r="FXU81" s="54"/>
      <c r="FXV81" s="54"/>
      <c r="FXW81" s="54"/>
      <c r="FXX81" s="54"/>
      <c r="FXY81" s="54"/>
      <c r="FXZ81" s="54"/>
      <c r="FYA81" s="54"/>
      <c r="FYB81" s="54"/>
      <c r="FYC81" s="54"/>
      <c r="FYD81" s="54"/>
      <c r="FYE81" s="54"/>
      <c r="FYF81" s="54"/>
      <c r="FYG81" s="54"/>
      <c r="FYH81" s="54"/>
      <c r="FYI81" s="54"/>
      <c r="FYJ81" s="54"/>
      <c r="FYK81" s="54"/>
      <c r="FYL81" s="54"/>
      <c r="FYM81" s="54"/>
      <c r="FYN81" s="54"/>
      <c r="FYO81" s="54"/>
      <c r="FYP81" s="54"/>
      <c r="FYQ81" s="54"/>
      <c r="FYR81" s="54"/>
      <c r="FYS81" s="54"/>
      <c r="FYT81" s="54"/>
      <c r="FYU81" s="54"/>
      <c r="FYV81" s="54"/>
      <c r="FYW81" s="54"/>
      <c r="FYX81" s="54"/>
      <c r="FYY81" s="54"/>
      <c r="FYZ81" s="54"/>
      <c r="FZA81" s="54"/>
      <c r="FZB81" s="54"/>
      <c r="FZC81" s="54"/>
      <c r="FZD81" s="54"/>
      <c r="FZE81" s="54"/>
      <c r="FZF81" s="54"/>
      <c r="FZG81" s="54"/>
      <c r="FZH81" s="54"/>
      <c r="FZI81" s="54"/>
      <c r="FZJ81" s="54"/>
      <c r="FZK81" s="54"/>
      <c r="FZL81" s="54"/>
      <c r="FZM81" s="54"/>
      <c r="FZN81" s="54"/>
      <c r="FZO81" s="54"/>
      <c r="FZP81" s="54"/>
      <c r="FZQ81" s="54"/>
      <c r="FZR81" s="54"/>
      <c r="FZS81" s="54"/>
      <c r="FZT81" s="54"/>
      <c r="FZU81" s="54"/>
      <c r="FZV81" s="54"/>
      <c r="FZW81" s="54"/>
      <c r="FZX81" s="54"/>
      <c r="FZY81" s="54"/>
      <c r="FZZ81" s="54"/>
      <c r="GAA81" s="54"/>
      <c r="GAB81" s="54"/>
      <c r="GAC81" s="54"/>
      <c r="GAD81" s="54"/>
      <c r="GAE81" s="54"/>
      <c r="GAF81" s="54"/>
      <c r="GAG81" s="54"/>
      <c r="GAH81" s="54"/>
      <c r="GAI81" s="54"/>
      <c r="GAJ81" s="54"/>
      <c r="GAK81" s="54"/>
      <c r="GAL81" s="54"/>
      <c r="GAM81" s="54"/>
      <c r="GAN81" s="54"/>
      <c r="GAO81" s="54"/>
      <c r="GAP81" s="54"/>
      <c r="GAQ81" s="54"/>
      <c r="GAR81" s="54"/>
      <c r="GAS81" s="54"/>
      <c r="GAT81" s="54"/>
      <c r="GAU81" s="54"/>
      <c r="GAV81" s="54"/>
      <c r="GAW81" s="54"/>
      <c r="GAX81" s="54"/>
      <c r="GAY81" s="54"/>
      <c r="GAZ81" s="54"/>
      <c r="GBA81" s="54"/>
      <c r="GBB81" s="54"/>
      <c r="GBC81" s="54"/>
      <c r="GBD81" s="54"/>
      <c r="GBE81" s="54"/>
      <c r="GBF81" s="54"/>
      <c r="GBG81" s="54"/>
      <c r="GBH81" s="54"/>
      <c r="GBI81" s="54"/>
      <c r="GBJ81" s="54"/>
      <c r="GBK81" s="54"/>
      <c r="GBL81" s="54"/>
      <c r="GBM81" s="54"/>
      <c r="GBN81" s="54"/>
      <c r="GBO81" s="54"/>
      <c r="GBP81" s="54"/>
      <c r="GBQ81" s="54"/>
      <c r="GBR81" s="54"/>
      <c r="GBS81" s="54"/>
      <c r="GBT81" s="54"/>
      <c r="GBU81" s="54"/>
      <c r="GBV81" s="54"/>
      <c r="GBW81" s="54"/>
      <c r="GBX81" s="54"/>
      <c r="GBY81" s="54"/>
      <c r="GBZ81" s="54"/>
      <c r="GCA81" s="54"/>
      <c r="GCB81" s="54"/>
      <c r="GCC81" s="54"/>
      <c r="GCD81" s="54"/>
      <c r="GCE81" s="54"/>
      <c r="GCF81" s="54"/>
      <c r="GCG81" s="54"/>
      <c r="GCH81" s="54"/>
      <c r="GCI81" s="54"/>
      <c r="GCJ81" s="54"/>
      <c r="GCK81" s="54"/>
      <c r="GCL81" s="54"/>
      <c r="GCM81" s="54"/>
      <c r="GCN81" s="54"/>
      <c r="GCO81" s="54"/>
      <c r="GCP81" s="54"/>
      <c r="GCQ81" s="54"/>
      <c r="GCR81" s="54"/>
      <c r="GCS81" s="54"/>
      <c r="GCT81" s="54"/>
      <c r="GCU81" s="54"/>
      <c r="GCV81" s="54"/>
      <c r="GCW81" s="54"/>
      <c r="GCX81" s="54"/>
      <c r="GCY81" s="54"/>
      <c r="GCZ81" s="54"/>
      <c r="GDA81" s="54"/>
      <c r="GDB81" s="54"/>
      <c r="GDC81" s="54"/>
      <c r="GDD81" s="54"/>
      <c r="GDE81" s="54"/>
      <c r="GDF81" s="54"/>
      <c r="GDG81" s="54"/>
      <c r="GDH81" s="54"/>
      <c r="GDI81" s="54"/>
      <c r="GDJ81" s="54"/>
      <c r="GDK81" s="54"/>
      <c r="GDL81" s="54"/>
      <c r="GDM81" s="54"/>
      <c r="GDN81" s="54"/>
      <c r="GDO81" s="54"/>
      <c r="GDP81" s="54"/>
      <c r="GDQ81" s="54"/>
      <c r="GDR81" s="54"/>
      <c r="GDS81" s="54"/>
      <c r="GDT81" s="54"/>
      <c r="GDU81" s="54"/>
      <c r="GDV81" s="54"/>
      <c r="GDW81" s="54"/>
      <c r="GDX81" s="54"/>
      <c r="GDY81" s="54"/>
      <c r="GDZ81" s="54"/>
      <c r="GEA81" s="54"/>
      <c r="GEB81" s="54"/>
      <c r="GEC81" s="54"/>
      <c r="GED81" s="54"/>
      <c r="GEE81" s="54"/>
      <c r="GEF81" s="54"/>
      <c r="GEG81" s="54"/>
      <c r="GEH81" s="54"/>
      <c r="GEI81" s="54"/>
      <c r="GEJ81" s="54"/>
      <c r="GEK81" s="54"/>
      <c r="GEL81" s="54"/>
      <c r="GEM81" s="54"/>
      <c r="GEN81" s="54"/>
      <c r="GEO81" s="54"/>
      <c r="GEP81" s="54"/>
      <c r="GEQ81" s="54"/>
      <c r="GER81" s="54"/>
      <c r="GES81" s="54"/>
      <c r="GET81" s="54"/>
      <c r="GEU81" s="54"/>
      <c r="GEV81" s="54"/>
      <c r="GEW81" s="54"/>
      <c r="GEX81" s="54"/>
      <c r="GEY81" s="54"/>
      <c r="GEZ81" s="54"/>
      <c r="GFA81" s="54"/>
      <c r="GFB81" s="54"/>
      <c r="GFC81" s="54"/>
      <c r="GFD81" s="54"/>
      <c r="GFE81" s="54"/>
      <c r="GFF81" s="54"/>
      <c r="GFG81" s="54"/>
      <c r="GFH81" s="54"/>
      <c r="GFI81" s="54"/>
      <c r="GFJ81" s="54"/>
      <c r="GFK81" s="54"/>
      <c r="GFL81" s="54"/>
      <c r="GFM81" s="54"/>
      <c r="GFN81" s="54"/>
      <c r="GFO81" s="54"/>
      <c r="GFP81" s="54"/>
      <c r="GFQ81" s="54"/>
      <c r="GFR81" s="54"/>
      <c r="GFS81" s="54"/>
      <c r="GFT81" s="54"/>
      <c r="GFU81" s="54"/>
      <c r="GFV81" s="54"/>
      <c r="GFW81" s="54"/>
      <c r="GFX81" s="54"/>
      <c r="GFY81" s="54"/>
      <c r="GFZ81" s="54"/>
      <c r="GGA81" s="54"/>
      <c r="GGB81" s="54"/>
      <c r="GGC81" s="54"/>
      <c r="GGD81" s="54"/>
      <c r="GGE81" s="54"/>
      <c r="GGF81" s="54"/>
      <c r="GGG81" s="54"/>
      <c r="GGH81" s="54"/>
      <c r="GGI81" s="54"/>
      <c r="GGJ81" s="54"/>
      <c r="GGK81" s="54"/>
      <c r="GGL81" s="54"/>
      <c r="GGM81" s="54"/>
      <c r="GGN81" s="54"/>
      <c r="GGO81" s="54"/>
      <c r="GGP81" s="54"/>
      <c r="GGQ81" s="54"/>
      <c r="GGR81" s="54"/>
      <c r="GGS81" s="54"/>
      <c r="GGT81" s="54"/>
      <c r="GGU81" s="54"/>
      <c r="GGV81" s="54"/>
      <c r="GGW81" s="54"/>
      <c r="GGX81" s="54"/>
      <c r="GGY81" s="54"/>
      <c r="GGZ81" s="54"/>
      <c r="GHA81" s="54"/>
      <c r="GHB81" s="54"/>
      <c r="GHC81" s="54"/>
      <c r="GHD81" s="54"/>
      <c r="GHE81" s="54"/>
      <c r="GHF81" s="54"/>
      <c r="GHG81" s="54"/>
      <c r="GHH81" s="54"/>
      <c r="GHI81" s="54"/>
      <c r="GHJ81" s="54"/>
      <c r="GHK81" s="54"/>
      <c r="GHL81" s="54"/>
      <c r="GHM81" s="54"/>
      <c r="GHN81" s="54"/>
      <c r="GHO81" s="54"/>
      <c r="GHP81" s="54"/>
      <c r="GHQ81" s="54"/>
      <c r="GHR81" s="54"/>
      <c r="GHS81" s="54"/>
      <c r="GHT81" s="54"/>
      <c r="GHU81" s="54"/>
      <c r="GHV81" s="54"/>
      <c r="GHW81" s="54"/>
      <c r="GHX81" s="54"/>
      <c r="GHY81" s="54"/>
      <c r="GHZ81" s="54"/>
      <c r="GIA81" s="54"/>
      <c r="GIB81" s="54"/>
      <c r="GIC81" s="54"/>
      <c r="GID81" s="54"/>
      <c r="GIE81" s="54"/>
      <c r="GIF81" s="54"/>
      <c r="GIG81" s="54"/>
      <c r="GIH81" s="54"/>
      <c r="GII81" s="54"/>
      <c r="GIJ81" s="54"/>
      <c r="GIK81" s="54"/>
      <c r="GIL81" s="54"/>
      <c r="GIM81" s="54"/>
      <c r="GIN81" s="54"/>
      <c r="GIO81" s="54"/>
      <c r="GIP81" s="54"/>
      <c r="GIQ81" s="54"/>
      <c r="GIR81" s="54"/>
      <c r="GIS81" s="54"/>
      <c r="GIT81" s="54"/>
      <c r="GIU81" s="54"/>
      <c r="GIV81" s="54"/>
      <c r="GIW81" s="54"/>
      <c r="GIX81" s="54"/>
      <c r="GIY81" s="54"/>
      <c r="GIZ81" s="54"/>
      <c r="GJA81" s="54"/>
      <c r="GJB81" s="54"/>
      <c r="GJC81" s="54"/>
      <c r="GJD81" s="54"/>
      <c r="GJE81" s="54"/>
      <c r="GJF81" s="54"/>
      <c r="GJG81" s="54"/>
      <c r="GJH81" s="54"/>
      <c r="GJI81" s="54"/>
      <c r="GJJ81" s="54"/>
      <c r="GJK81" s="54"/>
      <c r="GJL81" s="54"/>
      <c r="GJM81" s="54"/>
      <c r="GJN81" s="54"/>
      <c r="GJO81" s="54"/>
      <c r="GJP81" s="54"/>
      <c r="GJQ81" s="54"/>
      <c r="GJR81" s="54"/>
      <c r="GJS81" s="54"/>
      <c r="GJT81" s="54"/>
      <c r="GJU81" s="54"/>
      <c r="GJV81" s="54"/>
      <c r="GJW81" s="54"/>
      <c r="GJX81" s="54"/>
      <c r="GJY81" s="54"/>
      <c r="GJZ81" s="54"/>
      <c r="GKA81" s="54"/>
      <c r="GKB81" s="54"/>
      <c r="GKC81" s="54"/>
      <c r="GKD81" s="54"/>
      <c r="GKE81" s="54"/>
      <c r="GKF81" s="54"/>
      <c r="GKG81" s="54"/>
      <c r="GKH81" s="54"/>
      <c r="GKI81" s="54"/>
      <c r="GKJ81" s="54"/>
      <c r="GKK81" s="54"/>
      <c r="GKL81" s="54"/>
      <c r="GKM81" s="54"/>
      <c r="GKN81" s="54"/>
      <c r="GKO81" s="54"/>
      <c r="GKP81" s="54"/>
      <c r="GKQ81" s="54"/>
      <c r="GKR81" s="54"/>
      <c r="GKS81" s="54"/>
      <c r="GKT81" s="54"/>
      <c r="GKU81" s="54"/>
      <c r="GKV81" s="54"/>
      <c r="GKW81" s="54"/>
      <c r="GKX81" s="54"/>
      <c r="GKY81" s="54"/>
      <c r="GKZ81" s="54"/>
      <c r="GLA81" s="54"/>
      <c r="GLB81" s="54"/>
      <c r="GLC81" s="54"/>
      <c r="GLD81" s="54"/>
      <c r="GLE81" s="54"/>
      <c r="GLF81" s="54"/>
      <c r="GLG81" s="54"/>
      <c r="GLH81" s="54"/>
      <c r="GLI81" s="54"/>
      <c r="GLJ81" s="54"/>
      <c r="GLK81" s="54"/>
      <c r="GLL81" s="54"/>
      <c r="GLM81" s="54"/>
      <c r="GLN81" s="54"/>
      <c r="GLO81" s="54"/>
      <c r="GLP81" s="54"/>
      <c r="GLQ81" s="54"/>
      <c r="GLR81" s="54"/>
      <c r="GLS81" s="54"/>
      <c r="GLT81" s="54"/>
      <c r="GLU81" s="54"/>
      <c r="GLV81" s="54"/>
      <c r="GLW81" s="54"/>
      <c r="GLX81" s="54"/>
      <c r="GLY81" s="54"/>
      <c r="GLZ81" s="54"/>
      <c r="GMA81" s="54"/>
      <c r="GMB81" s="54"/>
      <c r="GMC81" s="54"/>
      <c r="GMD81" s="54"/>
      <c r="GME81" s="54"/>
      <c r="GMF81" s="54"/>
      <c r="GMG81" s="54"/>
      <c r="GMH81" s="54"/>
      <c r="GMI81" s="54"/>
      <c r="GMJ81" s="54"/>
      <c r="GMK81" s="54"/>
      <c r="GML81" s="54"/>
      <c r="GMM81" s="54"/>
      <c r="GMN81" s="54"/>
      <c r="GMO81" s="54"/>
      <c r="GMP81" s="54"/>
      <c r="GMQ81" s="54"/>
      <c r="GMR81" s="54"/>
      <c r="GMS81" s="54"/>
      <c r="GMT81" s="54"/>
      <c r="GMU81" s="54"/>
      <c r="GMV81" s="54"/>
      <c r="GMW81" s="54"/>
      <c r="GMX81" s="54"/>
      <c r="GMY81" s="54"/>
      <c r="GMZ81" s="54"/>
      <c r="GNA81" s="54"/>
      <c r="GNB81" s="54"/>
      <c r="GNC81" s="54"/>
      <c r="GND81" s="54"/>
      <c r="GNE81" s="54"/>
      <c r="GNF81" s="54"/>
      <c r="GNG81" s="54"/>
      <c r="GNH81" s="54"/>
      <c r="GNI81" s="54"/>
      <c r="GNJ81" s="54"/>
      <c r="GNK81" s="54"/>
      <c r="GNL81" s="54"/>
      <c r="GNM81" s="54"/>
      <c r="GNN81" s="54"/>
      <c r="GNO81" s="54"/>
      <c r="GNP81" s="54"/>
      <c r="GNQ81" s="54"/>
      <c r="GNR81" s="54"/>
      <c r="GNS81" s="54"/>
      <c r="GNT81" s="54"/>
      <c r="GNU81" s="54"/>
      <c r="GNV81" s="54"/>
      <c r="GNW81" s="54"/>
      <c r="GNX81" s="54"/>
      <c r="GNY81" s="54"/>
      <c r="GNZ81" s="54"/>
      <c r="GOA81" s="54"/>
      <c r="GOB81" s="54"/>
      <c r="GOC81" s="54"/>
      <c r="GOD81" s="54"/>
      <c r="GOE81" s="54"/>
      <c r="GOF81" s="54"/>
      <c r="GOG81" s="54"/>
      <c r="GOH81" s="54"/>
      <c r="GOI81" s="54"/>
      <c r="GOJ81" s="54"/>
      <c r="GOK81" s="54"/>
      <c r="GOL81" s="54"/>
      <c r="GOM81" s="54"/>
      <c r="GON81" s="54"/>
      <c r="GOO81" s="54"/>
      <c r="GOP81" s="54"/>
      <c r="GOQ81" s="54"/>
      <c r="GOR81" s="54"/>
      <c r="GOS81" s="54"/>
      <c r="GOT81" s="54"/>
      <c r="GOU81" s="54"/>
      <c r="GOV81" s="54"/>
      <c r="GOW81" s="54"/>
      <c r="GOX81" s="54"/>
      <c r="GOY81" s="54"/>
      <c r="GOZ81" s="54"/>
      <c r="GPA81" s="54"/>
      <c r="GPB81" s="54"/>
      <c r="GPC81" s="54"/>
      <c r="GPD81" s="54"/>
      <c r="GPE81" s="54"/>
      <c r="GPF81" s="54"/>
      <c r="GPG81" s="54"/>
      <c r="GPH81" s="54"/>
      <c r="GPI81" s="54"/>
      <c r="GPJ81" s="54"/>
      <c r="GPK81" s="54"/>
      <c r="GPL81" s="54"/>
      <c r="GPM81" s="54"/>
      <c r="GPN81" s="54"/>
      <c r="GPO81" s="54"/>
      <c r="GPP81" s="54"/>
      <c r="GPQ81" s="54"/>
      <c r="GPR81" s="54"/>
      <c r="GPS81" s="54"/>
      <c r="GPT81" s="54"/>
      <c r="GPU81" s="54"/>
      <c r="GPV81" s="54"/>
      <c r="GPW81" s="54"/>
      <c r="GPX81" s="54"/>
      <c r="GPY81" s="54"/>
      <c r="GPZ81" s="54"/>
      <c r="GQA81" s="54"/>
      <c r="GQB81" s="54"/>
      <c r="GQC81" s="54"/>
      <c r="GQD81" s="54"/>
      <c r="GQE81" s="54"/>
      <c r="GQF81" s="54"/>
      <c r="GQG81" s="54"/>
      <c r="GQH81" s="54"/>
      <c r="GQI81" s="54"/>
      <c r="GQJ81" s="54"/>
      <c r="GQK81" s="54"/>
      <c r="GQL81" s="54"/>
      <c r="GQM81" s="54"/>
      <c r="GQN81" s="54"/>
      <c r="GQO81" s="54"/>
      <c r="GQP81" s="54"/>
      <c r="GQQ81" s="54"/>
      <c r="GQR81" s="54"/>
      <c r="GQS81" s="54"/>
      <c r="GQT81" s="54"/>
      <c r="GQU81" s="54"/>
      <c r="GQV81" s="54"/>
      <c r="GQW81" s="54"/>
      <c r="GQX81" s="54"/>
      <c r="GQY81" s="54"/>
      <c r="GQZ81" s="54"/>
      <c r="GRA81" s="54"/>
      <c r="GRB81" s="54"/>
      <c r="GRC81" s="54"/>
      <c r="GRD81" s="54"/>
      <c r="GRE81" s="54"/>
      <c r="GRF81" s="54"/>
      <c r="GRG81" s="54"/>
      <c r="GRH81" s="54"/>
      <c r="GRI81" s="54"/>
      <c r="GRJ81" s="54"/>
      <c r="GRK81" s="54"/>
      <c r="GRL81" s="54"/>
      <c r="GRM81" s="54"/>
      <c r="GRN81" s="54"/>
      <c r="GRO81" s="54"/>
      <c r="GRP81" s="54"/>
      <c r="GRQ81" s="54"/>
      <c r="GRR81" s="54"/>
      <c r="GRS81" s="54"/>
      <c r="GRT81" s="54"/>
      <c r="GRU81" s="54"/>
      <c r="GRV81" s="54"/>
      <c r="GRW81" s="54"/>
      <c r="GRX81" s="54"/>
      <c r="GRY81" s="54"/>
      <c r="GRZ81" s="54"/>
      <c r="GSA81" s="54"/>
      <c r="GSB81" s="54"/>
      <c r="GSC81" s="54"/>
      <c r="GSD81" s="54"/>
      <c r="GSE81" s="54"/>
      <c r="GSF81" s="54"/>
      <c r="GSG81" s="54"/>
      <c r="GSH81" s="54"/>
      <c r="GSI81" s="54"/>
      <c r="GSJ81" s="54"/>
      <c r="GSK81" s="54"/>
      <c r="GSL81" s="54"/>
      <c r="GSM81" s="54"/>
      <c r="GSN81" s="54"/>
      <c r="GSO81" s="54"/>
      <c r="GSP81" s="54"/>
      <c r="GSQ81" s="54"/>
      <c r="GSR81" s="54"/>
      <c r="GSS81" s="54"/>
      <c r="GST81" s="54"/>
      <c r="GSU81" s="54"/>
      <c r="GSV81" s="54"/>
      <c r="GSW81" s="54"/>
      <c r="GSX81" s="54"/>
      <c r="GSY81" s="54"/>
      <c r="GSZ81" s="54"/>
      <c r="GTA81" s="54"/>
      <c r="GTB81" s="54"/>
      <c r="GTC81" s="54"/>
      <c r="GTD81" s="54"/>
      <c r="GTE81" s="54"/>
      <c r="GTF81" s="54"/>
      <c r="GTG81" s="54"/>
      <c r="GTH81" s="54"/>
      <c r="GTI81" s="54"/>
      <c r="GTJ81" s="54"/>
      <c r="GTK81" s="54"/>
      <c r="GTL81" s="54"/>
      <c r="GTM81" s="54"/>
      <c r="GTN81" s="54"/>
      <c r="GTO81" s="54"/>
      <c r="GTP81" s="54"/>
      <c r="GTQ81" s="54"/>
      <c r="GTR81" s="54"/>
      <c r="GTS81" s="54"/>
      <c r="GTT81" s="54"/>
      <c r="GTU81" s="54"/>
      <c r="GTV81" s="54"/>
      <c r="GTW81" s="54"/>
      <c r="GTX81" s="54"/>
      <c r="GTY81" s="54"/>
      <c r="GTZ81" s="54"/>
      <c r="GUA81" s="54"/>
      <c r="GUB81" s="54"/>
      <c r="GUC81" s="54"/>
      <c r="GUD81" s="54"/>
      <c r="GUE81" s="54"/>
      <c r="GUF81" s="54"/>
      <c r="GUG81" s="54"/>
      <c r="GUH81" s="54"/>
      <c r="GUI81" s="54"/>
      <c r="GUJ81" s="54"/>
      <c r="GUK81" s="54"/>
      <c r="GUL81" s="54"/>
      <c r="GUM81" s="54"/>
      <c r="GUN81" s="54"/>
      <c r="GUO81" s="54"/>
      <c r="GUP81" s="54"/>
      <c r="GUQ81" s="54"/>
      <c r="GUR81" s="54"/>
      <c r="GUS81" s="54"/>
      <c r="GUT81" s="54"/>
      <c r="GUU81" s="54"/>
      <c r="GUV81" s="54"/>
      <c r="GUW81" s="54"/>
      <c r="GUX81" s="54"/>
      <c r="GUY81" s="54"/>
      <c r="GUZ81" s="54"/>
      <c r="GVA81" s="54"/>
      <c r="GVB81" s="54"/>
      <c r="GVC81" s="54"/>
      <c r="GVD81" s="54"/>
      <c r="GVE81" s="54"/>
      <c r="GVF81" s="54"/>
      <c r="GVG81" s="54"/>
      <c r="GVH81" s="54"/>
      <c r="GVI81" s="54"/>
      <c r="GVJ81" s="54"/>
      <c r="GVK81" s="54"/>
      <c r="GVL81" s="54"/>
      <c r="GVM81" s="54"/>
      <c r="GVN81" s="54"/>
      <c r="GVO81" s="54"/>
      <c r="GVP81" s="54"/>
      <c r="GVQ81" s="54"/>
      <c r="GVR81" s="54"/>
      <c r="GVS81" s="54"/>
      <c r="GVT81" s="54"/>
      <c r="GVU81" s="54"/>
      <c r="GVV81" s="54"/>
      <c r="GVW81" s="54"/>
      <c r="GVX81" s="54"/>
      <c r="GVY81" s="54"/>
      <c r="GVZ81" s="54"/>
      <c r="GWA81" s="54"/>
      <c r="GWB81" s="54"/>
      <c r="GWC81" s="54"/>
      <c r="GWD81" s="54"/>
      <c r="GWE81" s="54"/>
      <c r="GWF81" s="54"/>
      <c r="GWG81" s="54"/>
      <c r="GWH81" s="54"/>
      <c r="GWI81" s="54"/>
      <c r="GWJ81" s="54"/>
      <c r="GWK81" s="54"/>
      <c r="GWL81" s="54"/>
      <c r="GWM81" s="54"/>
      <c r="GWN81" s="54"/>
      <c r="GWO81" s="54"/>
      <c r="GWP81" s="54"/>
      <c r="GWQ81" s="54"/>
      <c r="GWR81" s="54"/>
      <c r="GWS81" s="54"/>
      <c r="GWT81" s="54"/>
      <c r="GWU81" s="54"/>
      <c r="GWV81" s="54"/>
      <c r="GWW81" s="54"/>
      <c r="GWX81" s="54"/>
      <c r="GWY81" s="54"/>
      <c r="GWZ81" s="54"/>
      <c r="GXA81" s="54"/>
      <c r="GXB81" s="54"/>
      <c r="GXC81" s="54"/>
      <c r="GXD81" s="54"/>
      <c r="GXE81" s="54"/>
      <c r="GXF81" s="54"/>
      <c r="GXG81" s="54"/>
      <c r="GXH81" s="54"/>
      <c r="GXI81" s="54"/>
      <c r="GXJ81" s="54"/>
      <c r="GXK81" s="54"/>
      <c r="GXL81" s="54"/>
      <c r="GXM81" s="54"/>
      <c r="GXN81" s="54"/>
      <c r="GXO81" s="54"/>
      <c r="GXP81" s="54"/>
      <c r="GXQ81" s="54"/>
      <c r="GXR81" s="54"/>
      <c r="GXS81" s="54"/>
      <c r="GXT81" s="54"/>
      <c r="GXU81" s="54"/>
      <c r="GXV81" s="54"/>
      <c r="GXW81" s="54"/>
      <c r="GXX81" s="54"/>
      <c r="GXY81" s="54"/>
      <c r="GXZ81" s="54"/>
      <c r="GYA81" s="54"/>
      <c r="GYB81" s="54"/>
      <c r="GYC81" s="54"/>
      <c r="GYD81" s="54"/>
      <c r="GYE81" s="54"/>
      <c r="GYF81" s="54"/>
      <c r="GYG81" s="54"/>
      <c r="GYH81" s="54"/>
      <c r="GYI81" s="54"/>
      <c r="GYJ81" s="54"/>
      <c r="GYK81" s="54"/>
      <c r="GYL81" s="54"/>
      <c r="GYM81" s="54"/>
      <c r="GYN81" s="54"/>
      <c r="GYO81" s="54"/>
      <c r="GYP81" s="54"/>
      <c r="GYQ81" s="54"/>
      <c r="GYR81" s="54"/>
      <c r="GYS81" s="54"/>
      <c r="GYT81" s="54"/>
      <c r="GYU81" s="54"/>
      <c r="GYV81" s="54"/>
      <c r="GYW81" s="54"/>
      <c r="GYX81" s="54"/>
      <c r="GYY81" s="54"/>
      <c r="GYZ81" s="54"/>
      <c r="GZA81" s="54"/>
      <c r="GZB81" s="54"/>
      <c r="GZC81" s="54"/>
      <c r="GZD81" s="54"/>
      <c r="GZE81" s="54"/>
      <c r="GZF81" s="54"/>
      <c r="GZG81" s="54"/>
      <c r="GZH81" s="54"/>
      <c r="GZI81" s="54"/>
      <c r="GZJ81" s="54"/>
      <c r="GZK81" s="54"/>
      <c r="GZL81" s="54"/>
      <c r="GZM81" s="54"/>
      <c r="GZN81" s="54"/>
      <c r="GZO81" s="54"/>
      <c r="GZP81" s="54"/>
      <c r="GZQ81" s="54"/>
      <c r="GZR81" s="54"/>
      <c r="GZS81" s="54"/>
      <c r="GZT81" s="54"/>
      <c r="GZU81" s="54"/>
      <c r="GZV81" s="54"/>
      <c r="GZW81" s="54"/>
      <c r="GZX81" s="54"/>
      <c r="GZY81" s="54"/>
      <c r="GZZ81" s="54"/>
      <c r="HAA81" s="54"/>
      <c r="HAB81" s="54"/>
      <c r="HAC81" s="54"/>
      <c r="HAD81" s="54"/>
      <c r="HAE81" s="54"/>
      <c r="HAF81" s="54"/>
      <c r="HAG81" s="54"/>
      <c r="HAH81" s="54"/>
      <c r="HAI81" s="54"/>
      <c r="HAJ81" s="54"/>
      <c r="HAK81" s="54"/>
      <c r="HAL81" s="54"/>
      <c r="HAM81" s="54"/>
      <c r="HAN81" s="54"/>
      <c r="HAO81" s="54"/>
      <c r="HAP81" s="54"/>
      <c r="HAQ81" s="54"/>
      <c r="HAR81" s="54"/>
      <c r="HAS81" s="54"/>
      <c r="HAT81" s="54"/>
      <c r="HAU81" s="54"/>
      <c r="HAV81" s="54"/>
      <c r="HAW81" s="54"/>
      <c r="HAX81" s="54"/>
      <c r="HAY81" s="54"/>
      <c r="HAZ81" s="54"/>
      <c r="HBA81" s="54"/>
      <c r="HBB81" s="54"/>
      <c r="HBC81" s="54"/>
      <c r="HBD81" s="54"/>
      <c r="HBE81" s="54"/>
      <c r="HBF81" s="54"/>
      <c r="HBG81" s="54"/>
      <c r="HBH81" s="54"/>
      <c r="HBI81" s="54"/>
      <c r="HBJ81" s="54"/>
      <c r="HBK81" s="54"/>
      <c r="HBL81" s="54"/>
      <c r="HBM81" s="54"/>
      <c r="HBN81" s="54"/>
      <c r="HBO81" s="54"/>
      <c r="HBP81" s="54"/>
      <c r="HBQ81" s="54"/>
      <c r="HBR81" s="54"/>
      <c r="HBS81" s="54"/>
      <c r="HBT81" s="54"/>
      <c r="HBU81" s="54"/>
      <c r="HBV81" s="54"/>
      <c r="HBW81" s="54"/>
      <c r="HBX81" s="54"/>
      <c r="HBY81" s="54"/>
      <c r="HBZ81" s="54"/>
      <c r="HCA81" s="54"/>
      <c r="HCB81" s="54"/>
      <c r="HCC81" s="54"/>
      <c r="HCD81" s="54"/>
      <c r="HCE81" s="54"/>
      <c r="HCF81" s="54"/>
      <c r="HCG81" s="54"/>
      <c r="HCH81" s="54"/>
      <c r="HCI81" s="54"/>
      <c r="HCJ81" s="54"/>
      <c r="HCK81" s="54"/>
      <c r="HCL81" s="54"/>
      <c r="HCM81" s="54"/>
      <c r="HCN81" s="54"/>
      <c r="HCO81" s="54"/>
      <c r="HCP81" s="54"/>
      <c r="HCQ81" s="54"/>
      <c r="HCR81" s="54"/>
      <c r="HCS81" s="54"/>
      <c r="HCT81" s="54"/>
      <c r="HCU81" s="54"/>
      <c r="HCV81" s="54"/>
      <c r="HCW81" s="54"/>
      <c r="HCX81" s="54"/>
      <c r="HCY81" s="54"/>
      <c r="HCZ81" s="54"/>
      <c r="HDA81" s="54"/>
      <c r="HDB81" s="54"/>
      <c r="HDC81" s="54"/>
      <c r="HDD81" s="54"/>
      <c r="HDE81" s="54"/>
      <c r="HDF81" s="54"/>
      <c r="HDG81" s="54"/>
      <c r="HDH81" s="54"/>
      <c r="HDI81" s="54"/>
      <c r="HDJ81" s="54"/>
      <c r="HDK81" s="54"/>
      <c r="HDL81" s="54"/>
      <c r="HDM81" s="54"/>
      <c r="HDN81" s="54"/>
      <c r="HDO81" s="54"/>
      <c r="HDP81" s="54"/>
      <c r="HDQ81" s="54"/>
      <c r="HDR81" s="54"/>
      <c r="HDS81" s="54"/>
      <c r="HDT81" s="54"/>
      <c r="HDU81" s="54"/>
      <c r="HDV81" s="54"/>
      <c r="HDW81" s="54"/>
      <c r="HDX81" s="54"/>
      <c r="HDY81" s="54"/>
      <c r="HDZ81" s="54"/>
      <c r="HEA81" s="54"/>
      <c r="HEB81" s="54"/>
      <c r="HEC81" s="54"/>
      <c r="HED81" s="54"/>
      <c r="HEE81" s="54"/>
      <c r="HEF81" s="54"/>
      <c r="HEG81" s="54"/>
      <c r="HEH81" s="54"/>
      <c r="HEI81" s="54"/>
      <c r="HEJ81" s="54"/>
      <c r="HEK81" s="54"/>
      <c r="HEL81" s="54"/>
      <c r="HEM81" s="54"/>
      <c r="HEN81" s="54"/>
      <c r="HEO81" s="54"/>
      <c r="HEP81" s="54"/>
      <c r="HEQ81" s="54"/>
      <c r="HER81" s="54"/>
      <c r="HES81" s="54"/>
      <c r="HET81" s="54"/>
      <c r="HEU81" s="54"/>
      <c r="HEV81" s="54"/>
      <c r="HEW81" s="54"/>
      <c r="HEX81" s="54"/>
      <c r="HEY81" s="54"/>
      <c r="HEZ81" s="54"/>
      <c r="HFA81" s="54"/>
      <c r="HFB81" s="54"/>
      <c r="HFC81" s="54"/>
      <c r="HFD81" s="54"/>
      <c r="HFE81" s="54"/>
      <c r="HFF81" s="54"/>
      <c r="HFG81" s="54"/>
      <c r="HFH81" s="54"/>
      <c r="HFI81" s="54"/>
      <c r="HFJ81" s="54"/>
      <c r="HFK81" s="54"/>
      <c r="HFL81" s="54"/>
      <c r="HFM81" s="54"/>
      <c r="HFN81" s="54"/>
      <c r="HFO81" s="54"/>
      <c r="HFP81" s="54"/>
      <c r="HFQ81" s="54"/>
      <c r="HFR81" s="54"/>
      <c r="HFS81" s="54"/>
      <c r="HFT81" s="54"/>
      <c r="HFU81" s="54"/>
      <c r="HFV81" s="54"/>
      <c r="HFW81" s="54"/>
      <c r="HFX81" s="54"/>
      <c r="HFY81" s="54"/>
      <c r="HFZ81" s="54"/>
      <c r="HGA81" s="54"/>
      <c r="HGB81" s="54"/>
      <c r="HGC81" s="54"/>
      <c r="HGD81" s="54"/>
      <c r="HGE81" s="54"/>
      <c r="HGF81" s="54"/>
      <c r="HGG81" s="54"/>
      <c r="HGH81" s="54"/>
      <c r="HGI81" s="54"/>
      <c r="HGJ81" s="54"/>
      <c r="HGK81" s="54"/>
      <c r="HGL81" s="54"/>
      <c r="HGM81" s="54"/>
      <c r="HGN81" s="54"/>
      <c r="HGO81" s="54"/>
      <c r="HGP81" s="54"/>
      <c r="HGQ81" s="54"/>
      <c r="HGR81" s="54"/>
      <c r="HGS81" s="54"/>
      <c r="HGT81" s="54"/>
      <c r="HGU81" s="54"/>
      <c r="HGV81" s="54"/>
      <c r="HGW81" s="54"/>
      <c r="HGX81" s="54"/>
      <c r="HGY81" s="54"/>
      <c r="HGZ81" s="54"/>
      <c r="HHA81" s="54"/>
      <c r="HHB81" s="54"/>
      <c r="HHC81" s="54"/>
      <c r="HHD81" s="54"/>
      <c r="HHE81" s="54"/>
      <c r="HHF81" s="54"/>
      <c r="HHG81" s="54"/>
      <c r="HHH81" s="54"/>
      <c r="HHI81" s="54"/>
      <c r="HHJ81" s="54"/>
      <c r="HHK81" s="54"/>
      <c r="HHL81" s="54"/>
      <c r="HHM81" s="54"/>
      <c r="HHN81" s="54"/>
      <c r="HHO81" s="54"/>
      <c r="HHP81" s="54"/>
      <c r="HHQ81" s="54"/>
      <c r="HHR81" s="54"/>
      <c r="HHS81" s="54"/>
      <c r="HHT81" s="54"/>
      <c r="HHU81" s="54"/>
      <c r="HHV81" s="54"/>
      <c r="HHW81" s="54"/>
      <c r="HHX81" s="54"/>
      <c r="HHY81" s="54"/>
      <c r="HHZ81" s="54"/>
      <c r="HIA81" s="54"/>
      <c r="HIB81" s="54"/>
      <c r="HIC81" s="54"/>
      <c r="HID81" s="54"/>
      <c r="HIE81" s="54"/>
      <c r="HIF81" s="54"/>
      <c r="HIG81" s="54"/>
      <c r="HIH81" s="54"/>
      <c r="HII81" s="54"/>
      <c r="HIJ81" s="54"/>
      <c r="HIK81" s="54"/>
      <c r="HIL81" s="54"/>
      <c r="HIM81" s="54"/>
      <c r="HIN81" s="54"/>
      <c r="HIO81" s="54"/>
      <c r="HIP81" s="54"/>
      <c r="HIQ81" s="54"/>
      <c r="HIR81" s="54"/>
      <c r="HIS81" s="54"/>
      <c r="HIT81" s="54"/>
      <c r="HIU81" s="54"/>
      <c r="HIV81" s="54"/>
      <c r="HIW81" s="54"/>
      <c r="HIX81" s="54"/>
      <c r="HIY81" s="54"/>
      <c r="HIZ81" s="54"/>
      <c r="HJA81" s="54"/>
      <c r="HJB81" s="54"/>
      <c r="HJC81" s="54"/>
      <c r="HJD81" s="54"/>
      <c r="HJE81" s="54"/>
      <c r="HJF81" s="54"/>
      <c r="HJG81" s="54"/>
      <c r="HJH81" s="54"/>
      <c r="HJI81" s="54"/>
      <c r="HJJ81" s="54"/>
      <c r="HJK81" s="54"/>
      <c r="HJL81" s="54"/>
      <c r="HJM81" s="54"/>
      <c r="HJN81" s="54"/>
      <c r="HJO81" s="54"/>
      <c r="HJP81" s="54"/>
      <c r="HJQ81" s="54"/>
      <c r="HJR81" s="54"/>
      <c r="HJS81" s="54"/>
      <c r="HJT81" s="54"/>
      <c r="HJU81" s="54"/>
      <c r="HJV81" s="54"/>
      <c r="HJW81" s="54"/>
      <c r="HJX81" s="54"/>
      <c r="HJY81" s="54"/>
      <c r="HJZ81" s="54"/>
      <c r="HKA81" s="54"/>
      <c r="HKB81" s="54"/>
      <c r="HKC81" s="54"/>
      <c r="HKD81" s="54"/>
      <c r="HKE81" s="54"/>
      <c r="HKF81" s="54"/>
      <c r="HKG81" s="54"/>
      <c r="HKH81" s="54"/>
      <c r="HKI81" s="54"/>
      <c r="HKJ81" s="54"/>
      <c r="HKK81" s="54"/>
      <c r="HKL81" s="54"/>
      <c r="HKM81" s="54"/>
      <c r="HKN81" s="54"/>
      <c r="HKO81" s="54"/>
      <c r="HKP81" s="54"/>
      <c r="HKQ81" s="54"/>
      <c r="HKR81" s="54"/>
      <c r="HKS81" s="54"/>
      <c r="HKT81" s="54"/>
      <c r="HKU81" s="54"/>
      <c r="HKV81" s="54"/>
      <c r="HKW81" s="54"/>
      <c r="HKX81" s="54"/>
      <c r="HKY81" s="54"/>
      <c r="HKZ81" s="54"/>
      <c r="HLA81" s="54"/>
      <c r="HLB81" s="54"/>
      <c r="HLC81" s="54"/>
      <c r="HLD81" s="54"/>
      <c r="HLE81" s="54"/>
      <c r="HLF81" s="54"/>
      <c r="HLG81" s="54"/>
      <c r="HLH81" s="54"/>
      <c r="HLI81" s="54"/>
      <c r="HLJ81" s="54"/>
      <c r="HLK81" s="54"/>
      <c r="HLL81" s="54"/>
      <c r="HLM81" s="54"/>
      <c r="HLN81" s="54"/>
      <c r="HLO81" s="54"/>
      <c r="HLP81" s="54"/>
      <c r="HLQ81" s="54"/>
      <c r="HLR81" s="54"/>
      <c r="HLS81" s="54"/>
      <c r="HLT81" s="54"/>
      <c r="HLU81" s="54"/>
      <c r="HLV81" s="54"/>
      <c r="HLW81" s="54"/>
      <c r="HLX81" s="54"/>
      <c r="HLY81" s="54"/>
      <c r="HLZ81" s="54"/>
      <c r="HMA81" s="54"/>
      <c r="HMB81" s="54"/>
      <c r="HMC81" s="54"/>
      <c r="HMD81" s="54"/>
      <c r="HME81" s="54"/>
      <c r="HMF81" s="54"/>
      <c r="HMG81" s="54"/>
      <c r="HMH81" s="54"/>
      <c r="HMI81" s="54"/>
      <c r="HMJ81" s="54"/>
      <c r="HMK81" s="54"/>
      <c r="HML81" s="54"/>
      <c r="HMM81" s="54"/>
      <c r="HMN81" s="54"/>
      <c r="HMO81" s="54"/>
      <c r="HMP81" s="54"/>
      <c r="HMQ81" s="54"/>
      <c r="HMR81" s="54"/>
      <c r="HMS81" s="54"/>
      <c r="HMT81" s="54"/>
      <c r="HMU81" s="54"/>
      <c r="HMV81" s="54"/>
      <c r="HMW81" s="54"/>
      <c r="HMX81" s="54"/>
      <c r="HMY81" s="54"/>
      <c r="HMZ81" s="54"/>
      <c r="HNA81" s="54"/>
      <c r="HNB81" s="54"/>
      <c r="HNC81" s="54"/>
      <c r="HND81" s="54"/>
      <c r="HNE81" s="54"/>
      <c r="HNF81" s="54"/>
      <c r="HNG81" s="54"/>
      <c r="HNH81" s="54"/>
      <c r="HNI81" s="54"/>
      <c r="HNJ81" s="54"/>
      <c r="HNK81" s="54"/>
      <c r="HNL81" s="54"/>
      <c r="HNM81" s="54"/>
      <c r="HNN81" s="54"/>
      <c r="HNO81" s="54"/>
      <c r="HNP81" s="54"/>
      <c r="HNQ81" s="54"/>
      <c r="HNR81" s="54"/>
      <c r="HNS81" s="54"/>
      <c r="HNT81" s="54"/>
      <c r="HNU81" s="54"/>
      <c r="HNV81" s="54"/>
      <c r="HNW81" s="54"/>
      <c r="HNX81" s="54"/>
      <c r="HNY81" s="54"/>
      <c r="HNZ81" s="54"/>
      <c r="HOA81" s="54"/>
      <c r="HOB81" s="54"/>
      <c r="HOC81" s="54"/>
      <c r="HOD81" s="54"/>
      <c r="HOE81" s="54"/>
      <c r="HOF81" s="54"/>
      <c r="HOG81" s="54"/>
      <c r="HOH81" s="54"/>
      <c r="HOI81" s="54"/>
      <c r="HOJ81" s="54"/>
      <c r="HOK81" s="54"/>
      <c r="HOL81" s="54"/>
      <c r="HOM81" s="54"/>
      <c r="HON81" s="54"/>
      <c r="HOO81" s="54"/>
      <c r="HOP81" s="54"/>
      <c r="HOQ81" s="54"/>
      <c r="HOR81" s="54"/>
      <c r="HOS81" s="54"/>
      <c r="HOT81" s="54"/>
      <c r="HOU81" s="54"/>
      <c r="HOV81" s="54"/>
      <c r="HOW81" s="54"/>
      <c r="HOX81" s="54"/>
      <c r="HOY81" s="54"/>
      <c r="HOZ81" s="54"/>
      <c r="HPA81" s="54"/>
      <c r="HPB81" s="54"/>
      <c r="HPC81" s="54"/>
      <c r="HPD81" s="54"/>
      <c r="HPE81" s="54"/>
      <c r="HPF81" s="54"/>
      <c r="HPG81" s="54"/>
      <c r="HPH81" s="54"/>
      <c r="HPI81" s="54"/>
      <c r="HPJ81" s="54"/>
      <c r="HPK81" s="54"/>
      <c r="HPL81" s="54"/>
      <c r="HPM81" s="54"/>
      <c r="HPN81" s="54"/>
      <c r="HPO81" s="54"/>
      <c r="HPP81" s="54"/>
      <c r="HPQ81" s="54"/>
      <c r="HPR81" s="54"/>
      <c r="HPS81" s="54"/>
      <c r="HPT81" s="54"/>
      <c r="HPU81" s="54"/>
      <c r="HPV81" s="54"/>
      <c r="HPW81" s="54"/>
      <c r="HPX81" s="54"/>
      <c r="HPY81" s="54"/>
      <c r="HPZ81" s="54"/>
      <c r="HQA81" s="54"/>
      <c r="HQB81" s="54"/>
      <c r="HQC81" s="54"/>
      <c r="HQD81" s="54"/>
      <c r="HQE81" s="54"/>
      <c r="HQF81" s="54"/>
      <c r="HQG81" s="54"/>
      <c r="HQH81" s="54"/>
      <c r="HQI81" s="54"/>
      <c r="HQJ81" s="54"/>
      <c r="HQK81" s="54"/>
      <c r="HQL81" s="54"/>
      <c r="HQM81" s="54"/>
      <c r="HQN81" s="54"/>
      <c r="HQO81" s="54"/>
      <c r="HQP81" s="54"/>
      <c r="HQQ81" s="54"/>
      <c r="HQR81" s="54"/>
      <c r="HQS81" s="54"/>
      <c r="HQT81" s="54"/>
      <c r="HQU81" s="54"/>
      <c r="HQV81" s="54"/>
      <c r="HQW81" s="54"/>
      <c r="HQX81" s="54"/>
      <c r="HQY81" s="54"/>
      <c r="HQZ81" s="54"/>
      <c r="HRA81" s="54"/>
      <c r="HRB81" s="54"/>
      <c r="HRC81" s="54"/>
      <c r="HRD81" s="54"/>
      <c r="HRE81" s="54"/>
      <c r="HRF81" s="54"/>
      <c r="HRG81" s="54"/>
      <c r="HRH81" s="54"/>
      <c r="HRI81" s="54"/>
      <c r="HRJ81" s="54"/>
      <c r="HRK81" s="54"/>
      <c r="HRL81" s="54"/>
      <c r="HRM81" s="54"/>
      <c r="HRN81" s="54"/>
      <c r="HRO81" s="54"/>
      <c r="HRP81" s="54"/>
      <c r="HRQ81" s="54"/>
      <c r="HRR81" s="54"/>
      <c r="HRS81" s="54"/>
      <c r="HRT81" s="54"/>
      <c r="HRU81" s="54"/>
      <c r="HRV81" s="54"/>
      <c r="HRW81" s="54"/>
      <c r="HRX81" s="54"/>
      <c r="HRY81" s="54"/>
      <c r="HRZ81" s="54"/>
      <c r="HSA81" s="54"/>
      <c r="HSB81" s="54"/>
      <c r="HSC81" s="54"/>
      <c r="HSD81" s="54"/>
      <c r="HSE81" s="54"/>
      <c r="HSF81" s="54"/>
      <c r="HSG81" s="54"/>
      <c r="HSH81" s="54"/>
      <c r="HSI81" s="54"/>
      <c r="HSJ81" s="54"/>
      <c r="HSK81" s="54"/>
      <c r="HSL81" s="54"/>
      <c r="HSM81" s="54"/>
      <c r="HSN81" s="54"/>
      <c r="HSO81" s="54"/>
      <c r="HSP81" s="54"/>
      <c r="HSQ81" s="54"/>
      <c r="HSR81" s="54"/>
      <c r="HSS81" s="54"/>
      <c r="HST81" s="54"/>
      <c r="HSU81" s="54"/>
      <c r="HSV81" s="54"/>
      <c r="HSW81" s="54"/>
      <c r="HSX81" s="54"/>
      <c r="HSY81" s="54"/>
      <c r="HSZ81" s="54"/>
      <c r="HTA81" s="54"/>
      <c r="HTB81" s="54"/>
      <c r="HTC81" s="54"/>
      <c r="HTD81" s="54"/>
      <c r="HTE81" s="54"/>
      <c r="HTF81" s="54"/>
      <c r="HTG81" s="54"/>
      <c r="HTH81" s="54"/>
      <c r="HTI81" s="54"/>
      <c r="HTJ81" s="54"/>
      <c r="HTK81" s="54"/>
      <c r="HTL81" s="54"/>
      <c r="HTM81" s="54"/>
      <c r="HTN81" s="54"/>
      <c r="HTO81" s="54"/>
      <c r="HTP81" s="54"/>
      <c r="HTQ81" s="54"/>
      <c r="HTR81" s="54"/>
      <c r="HTS81" s="54"/>
      <c r="HTT81" s="54"/>
      <c r="HTU81" s="54"/>
      <c r="HTV81" s="54"/>
      <c r="HTW81" s="54"/>
      <c r="HTX81" s="54"/>
      <c r="HTY81" s="54"/>
      <c r="HTZ81" s="54"/>
      <c r="HUA81" s="54"/>
      <c r="HUB81" s="54"/>
      <c r="HUC81" s="54"/>
      <c r="HUD81" s="54"/>
      <c r="HUE81" s="54"/>
      <c r="HUF81" s="54"/>
      <c r="HUG81" s="54"/>
      <c r="HUH81" s="54"/>
      <c r="HUI81" s="54"/>
      <c r="HUJ81" s="54"/>
      <c r="HUK81" s="54"/>
      <c r="HUL81" s="54"/>
      <c r="HUM81" s="54"/>
      <c r="HUN81" s="54"/>
      <c r="HUO81" s="54"/>
      <c r="HUP81" s="54"/>
      <c r="HUQ81" s="54"/>
      <c r="HUR81" s="54"/>
      <c r="HUS81" s="54"/>
      <c r="HUT81" s="54"/>
      <c r="HUU81" s="54"/>
      <c r="HUV81" s="54"/>
      <c r="HUW81" s="54"/>
      <c r="HUX81" s="54"/>
      <c r="HUY81" s="54"/>
      <c r="HUZ81" s="54"/>
      <c r="HVA81" s="54"/>
      <c r="HVB81" s="54"/>
      <c r="HVC81" s="54"/>
      <c r="HVD81" s="54"/>
      <c r="HVE81" s="54"/>
      <c r="HVF81" s="54"/>
      <c r="HVG81" s="54"/>
      <c r="HVH81" s="54"/>
      <c r="HVI81" s="54"/>
      <c r="HVJ81" s="54"/>
      <c r="HVK81" s="54"/>
      <c r="HVL81" s="54"/>
      <c r="HVM81" s="54"/>
      <c r="HVN81" s="54"/>
      <c r="HVO81" s="54"/>
      <c r="HVP81" s="54"/>
      <c r="HVQ81" s="54"/>
      <c r="HVR81" s="54"/>
      <c r="HVS81" s="54"/>
      <c r="HVT81" s="54"/>
      <c r="HVU81" s="54"/>
      <c r="HVV81" s="54"/>
      <c r="HVW81" s="54"/>
      <c r="HVX81" s="54"/>
      <c r="HVY81" s="54"/>
      <c r="HVZ81" s="54"/>
      <c r="HWA81" s="54"/>
      <c r="HWB81" s="54"/>
      <c r="HWC81" s="54"/>
      <c r="HWD81" s="54"/>
      <c r="HWE81" s="54"/>
      <c r="HWF81" s="54"/>
      <c r="HWG81" s="54"/>
      <c r="HWH81" s="54"/>
      <c r="HWI81" s="54"/>
      <c r="HWJ81" s="54"/>
      <c r="HWK81" s="54"/>
      <c r="HWL81" s="54"/>
      <c r="HWM81" s="54"/>
      <c r="HWN81" s="54"/>
      <c r="HWO81" s="54"/>
      <c r="HWP81" s="54"/>
      <c r="HWQ81" s="54"/>
      <c r="HWR81" s="54"/>
      <c r="HWS81" s="54"/>
      <c r="HWT81" s="54"/>
      <c r="HWU81" s="54"/>
      <c r="HWV81" s="54"/>
      <c r="HWW81" s="54"/>
      <c r="HWX81" s="54"/>
      <c r="HWY81" s="54"/>
      <c r="HWZ81" s="54"/>
      <c r="HXA81" s="54"/>
      <c r="HXB81" s="54"/>
      <c r="HXC81" s="54"/>
      <c r="HXD81" s="54"/>
      <c r="HXE81" s="54"/>
      <c r="HXF81" s="54"/>
      <c r="HXG81" s="54"/>
      <c r="HXH81" s="54"/>
      <c r="HXI81" s="54"/>
      <c r="HXJ81" s="54"/>
      <c r="HXK81" s="54"/>
      <c r="HXL81" s="54"/>
      <c r="HXM81" s="54"/>
      <c r="HXN81" s="54"/>
      <c r="HXO81" s="54"/>
      <c r="HXP81" s="54"/>
      <c r="HXQ81" s="54"/>
      <c r="HXR81" s="54"/>
      <c r="HXS81" s="54"/>
      <c r="HXT81" s="54"/>
      <c r="HXU81" s="54"/>
      <c r="HXV81" s="54"/>
      <c r="HXW81" s="54"/>
      <c r="HXX81" s="54"/>
      <c r="HXY81" s="54"/>
      <c r="HXZ81" s="54"/>
      <c r="HYA81" s="54"/>
      <c r="HYB81" s="54"/>
      <c r="HYC81" s="54"/>
      <c r="HYD81" s="54"/>
      <c r="HYE81" s="54"/>
      <c r="HYF81" s="54"/>
      <c r="HYG81" s="54"/>
      <c r="HYH81" s="54"/>
      <c r="HYI81" s="54"/>
      <c r="HYJ81" s="54"/>
      <c r="HYK81" s="54"/>
      <c r="HYL81" s="54"/>
      <c r="HYM81" s="54"/>
      <c r="HYN81" s="54"/>
      <c r="HYO81" s="54"/>
      <c r="HYP81" s="54"/>
      <c r="HYQ81" s="54"/>
      <c r="HYR81" s="54"/>
      <c r="HYS81" s="54"/>
      <c r="HYT81" s="54"/>
      <c r="HYU81" s="54"/>
      <c r="HYV81" s="54"/>
      <c r="HYW81" s="54"/>
      <c r="HYX81" s="54"/>
      <c r="HYY81" s="54"/>
      <c r="HYZ81" s="54"/>
      <c r="HZA81" s="54"/>
      <c r="HZB81" s="54"/>
      <c r="HZC81" s="54"/>
      <c r="HZD81" s="54"/>
      <c r="HZE81" s="54"/>
      <c r="HZF81" s="54"/>
      <c r="HZG81" s="54"/>
      <c r="HZH81" s="54"/>
      <c r="HZI81" s="54"/>
      <c r="HZJ81" s="54"/>
      <c r="HZK81" s="54"/>
      <c r="HZL81" s="54"/>
      <c r="HZM81" s="54"/>
      <c r="HZN81" s="54"/>
      <c r="HZO81" s="54"/>
      <c r="HZP81" s="54"/>
      <c r="HZQ81" s="54"/>
      <c r="HZR81" s="54"/>
      <c r="HZS81" s="54"/>
      <c r="HZT81" s="54"/>
      <c r="HZU81" s="54"/>
      <c r="HZV81" s="54"/>
      <c r="HZW81" s="54"/>
      <c r="HZX81" s="54"/>
      <c r="HZY81" s="54"/>
      <c r="HZZ81" s="54"/>
      <c r="IAA81" s="54"/>
      <c r="IAB81" s="54"/>
      <c r="IAC81" s="54"/>
      <c r="IAD81" s="54"/>
      <c r="IAE81" s="54"/>
      <c r="IAF81" s="54"/>
      <c r="IAG81" s="54"/>
      <c r="IAH81" s="54"/>
      <c r="IAI81" s="54"/>
      <c r="IAJ81" s="54"/>
      <c r="IAK81" s="54"/>
      <c r="IAL81" s="54"/>
      <c r="IAM81" s="54"/>
      <c r="IAN81" s="54"/>
      <c r="IAO81" s="54"/>
      <c r="IAP81" s="54"/>
      <c r="IAQ81" s="54"/>
      <c r="IAR81" s="54"/>
      <c r="IAS81" s="54"/>
      <c r="IAT81" s="54"/>
      <c r="IAU81" s="54"/>
      <c r="IAV81" s="54"/>
      <c r="IAW81" s="54"/>
      <c r="IAX81" s="54"/>
      <c r="IAY81" s="54"/>
      <c r="IAZ81" s="54"/>
      <c r="IBA81" s="54"/>
      <c r="IBB81" s="54"/>
      <c r="IBC81" s="54"/>
      <c r="IBD81" s="54"/>
      <c r="IBE81" s="54"/>
      <c r="IBF81" s="54"/>
      <c r="IBG81" s="54"/>
      <c r="IBH81" s="54"/>
      <c r="IBI81" s="54"/>
      <c r="IBJ81" s="54"/>
      <c r="IBK81" s="54"/>
      <c r="IBL81" s="54"/>
      <c r="IBM81" s="54"/>
      <c r="IBN81" s="54"/>
      <c r="IBO81" s="54"/>
      <c r="IBP81" s="54"/>
      <c r="IBQ81" s="54"/>
      <c r="IBR81" s="54"/>
      <c r="IBS81" s="54"/>
      <c r="IBT81" s="54"/>
      <c r="IBU81" s="54"/>
      <c r="IBV81" s="54"/>
      <c r="IBW81" s="54"/>
      <c r="IBX81" s="54"/>
      <c r="IBY81" s="54"/>
      <c r="IBZ81" s="54"/>
      <c r="ICA81" s="54"/>
      <c r="ICB81" s="54"/>
      <c r="ICC81" s="54"/>
      <c r="ICD81" s="54"/>
      <c r="ICE81" s="54"/>
      <c r="ICF81" s="54"/>
      <c r="ICG81" s="54"/>
      <c r="ICH81" s="54"/>
      <c r="ICI81" s="54"/>
      <c r="ICJ81" s="54"/>
      <c r="ICK81" s="54"/>
      <c r="ICL81" s="54"/>
      <c r="ICM81" s="54"/>
      <c r="ICN81" s="54"/>
      <c r="ICO81" s="54"/>
      <c r="ICP81" s="54"/>
      <c r="ICQ81" s="54"/>
      <c r="ICR81" s="54"/>
      <c r="ICS81" s="54"/>
      <c r="ICT81" s="54"/>
      <c r="ICU81" s="54"/>
      <c r="ICV81" s="54"/>
      <c r="ICW81" s="54"/>
      <c r="ICX81" s="54"/>
      <c r="ICY81" s="54"/>
      <c r="ICZ81" s="54"/>
      <c r="IDA81" s="54"/>
      <c r="IDB81" s="54"/>
      <c r="IDC81" s="54"/>
      <c r="IDD81" s="54"/>
      <c r="IDE81" s="54"/>
      <c r="IDF81" s="54"/>
      <c r="IDG81" s="54"/>
      <c r="IDH81" s="54"/>
      <c r="IDI81" s="54"/>
      <c r="IDJ81" s="54"/>
      <c r="IDK81" s="54"/>
      <c r="IDL81" s="54"/>
      <c r="IDM81" s="54"/>
      <c r="IDN81" s="54"/>
      <c r="IDO81" s="54"/>
      <c r="IDP81" s="54"/>
      <c r="IDQ81" s="54"/>
      <c r="IDR81" s="54"/>
      <c r="IDS81" s="54"/>
      <c r="IDT81" s="54"/>
      <c r="IDU81" s="54"/>
      <c r="IDV81" s="54"/>
      <c r="IDW81" s="54"/>
      <c r="IDX81" s="54"/>
      <c r="IDY81" s="54"/>
      <c r="IDZ81" s="54"/>
      <c r="IEA81" s="54"/>
      <c r="IEB81" s="54"/>
      <c r="IEC81" s="54"/>
      <c r="IED81" s="54"/>
      <c r="IEE81" s="54"/>
      <c r="IEF81" s="54"/>
      <c r="IEG81" s="54"/>
      <c r="IEH81" s="54"/>
      <c r="IEI81" s="54"/>
      <c r="IEJ81" s="54"/>
      <c r="IEK81" s="54"/>
      <c r="IEL81" s="54"/>
      <c r="IEM81" s="54"/>
      <c r="IEN81" s="54"/>
      <c r="IEO81" s="54"/>
      <c r="IEP81" s="54"/>
      <c r="IEQ81" s="54"/>
      <c r="IER81" s="54"/>
      <c r="IES81" s="54"/>
      <c r="IET81" s="54"/>
      <c r="IEU81" s="54"/>
      <c r="IEV81" s="54"/>
      <c r="IEW81" s="54"/>
      <c r="IEX81" s="54"/>
      <c r="IEY81" s="54"/>
      <c r="IEZ81" s="54"/>
      <c r="IFA81" s="54"/>
      <c r="IFB81" s="54"/>
      <c r="IFC81" s="54"/>
      <c r="IFD81" s="54"/>
      <c r="IFE81" s="54"/>
      <c r="IFF81" s="54"/>
      <c r="IFG81" s="54"/>
      <c r="IFH81" s="54"/>
      <c r="IFI81" s="54"/>
      <c r="IFJ81" s="54"/>
      <c r="IFK81" s="54"/>
      <c r="IFL81" s="54"/>
      <c r="IFM81" s="54"/>
      <c r="IFN81" s="54"/>
      <c r="IFO81" s="54"/>
      <c r="IFP81" s="54"/>
      <c r="IFQ81" s="54"/>
      <c r="IFR81" s="54"/>
      <c r="IFS81" s="54"/>
      <c r="IFT81" s="54"/>
      <c r="IFU81" s="54"/>
      <c r="IFV81" s="54"/>
      <c r="IFW81" s="54"/>
      <c r="IFX81" s="54"/>
      <c r="IFY81" s="54"/>
      <c r="IFZ81" s="54"/>
      <c r="IGA81" s="54"/>
      <c r="IGB81" s="54"/>
      <c r="IGC81" s="54"/>
      <c r="IGD81" s="54"/>
      <c r="IGE81" s="54"/>
      <c r="IGF81" s="54"/>
      <c r="IGG81" s="54"/>
      <c r="IGH81" s="54"/>
      <c r="IGI81" s="54"/>
      <c r="IGJ81" s="54"/>
      <c r="IGK81" s="54"/>
      <c r="IGL81" s="54"/>
      <c r="IGM81" s="54"/>
      <c r="IGN81" s="54"/>
      <c r="IGO81" s="54"/>
      <c r="IGP81" s="54"/>
      <c r="IGQ81" s="54"/>
      <c r="IGR81" s="54"/>
      <c r="IGS81" s="54"/>
      <c r="IGT81" s="54"/>
      <c r="IGU81" s="54"/>
      <c r="IGV81" s="54"/>
      <c r="IGW81" s="54"/>
      <c r="IGX81" s="54"/>
      <c r="IGY81" s="54"/>
      <c r="IGZ81" s="54"/>
      <c r="IHA81" s="54"/>
      <c r="IHB81" s="54"/>
      <c r="IHC81" s="54"/>
      <c r="IHD81" s="54"/>
      <c r="IHE81" s="54"/>
      <c r="IHF81" s="54"/>
      <c r="IHG81" s="54"/>
      <c r="IHH81" s="54"/>
      <c r="IHI81" s="54"/>
      <c r="IHJ81" s="54"/>
      <c r="IHK81" s="54"/>
      <c r="IHL81" s="54"/>
      <c r="IHM81" s="54"/>
      <c r="IHN81" s="54"/>
      <c r="IHO81" s="54"/>
      <c r="IHP81" s="54"/>
      <c r="IHQ81" s="54"/>
      <c r="IHR81" s="54"/>
      <c r="IHS81" s="54"/>
      <c r="IHT81" s="54"/>
      <c r="IHU81" s="54"/>
      <c r="IHV81" s="54"/>
      <c r="IHW81" s="54"/>
      <c r="IHX81" s="54"/>
      <c r="IHY81" s="54"/>
      <c r="IHZ81" s="54"/>
      <c r="IIA81" s="54"/>
      <c r="IIB81" s="54"/>
      <c r="IIC81" s="54"/>
      <c r="IID81" s="54"/>
      <c r="IIE81" s="54"/>
      <c r="IIF81" s="54"/>
      <c r="IIG81" s="54"/>
      <c r="IIH81" s="54"/>
      <c r="III81" s="54"/>
      <c r="IIJ81" s="54"/>
      <c r="IIK81" s="54"/>
      <c r="IIL81" s="54"/>
      <c r="IIM81" s="54"/>
      <c r="IIN81" s="54"/>
      <c r="IIO81" s="54"/>
      <c r="IIP81" s="54"/>
      <c r="IIQ81" s="54"/>
      <c r="IIR81" s="54"/>
      <c r="IIS81" s="54"/>
      <c r="IIT81" s="54"/>
      <c r="IIU81" s="54"/>
      <c r="IIV81" s="54"/>
      <c r="IIW81" s="54"/>
      <c r="IIX81" s="54"/>
      <c r="IIY81" s="54"/>
      <c r="IIZ81" s="54"/>
      <c r="IJA81" s="54"/>
      <c r="IJB81" s="54"/>
      <c r="IJC81" s="54"/>
      <c r="IJD81" s="54"/>
      <c r="IJE81" s="54"/>
      <c r="IJF81" s="54"/>
      <c r="IJG81" s="54"/>
      <c r="IJH81" s="54"/>
      <c r="IJI81" s="54"/>
      <c r="IJJ81" s="54"/>
      <c r="IJK81" s="54"/>
      <c r="IJL81" s="54"/>
      <c r="IJM81" s="54"/>
      <c r="IJN81" s="54"/>
      <c r="IJO81" s="54"/>
      <c r="IJP81" s="54"/>
      <c r="IJQ81" s="54"/>
      <c r="IJR81" s="54"/>
      <c r="IJS81" s="54"/>
      <c r="IJT81" s="54"/>
      <c r="IJU81" s="54"/>
      <c r="IJV81" s="54"/>
      <c r="IJW81" s="54"/>
      <c r="IJX81" s="54"/>
      <c r="IJY81" s="54"/>
      <c r="IJZ81" s="54"/>
      <c r="IKA81" s="54"/>
      <c r="IKB81" s="54"/>
      <c r="IKC81" s="54"/>
      <c r="IKD81" s="54"/>
      <c r="IKE81" s="54"/>
      <c r="IKF81" s="54"/>
      <c r="IKG81" s="54"/>
      <c r="IKH81" s="54"/>
      <c r="IKI81" s="54"/>
      <c r="IKJ81" s="54"/>
      <c r="IKK81" s="54"/>
      <c r="IKL81" s="54"/>
      <c r="IKM81" s="54"/>
      <c r="IKN81" s="54"/>
      <c r="IKO81" s="54"/>
      <c r="IKP81" s="54"/>
      <c r="IKQ81" s="54"/>
      <c r="IKR81" s="54"/>
      <c r="IKS81" s="54"/>
      <c r="IKT81" s="54"/>
      <c r="IKU81" s="54"/>
      <c r="IKV81" s="54"/>
      <c r="IKW81" s="54"/>
      <c r="IKX81" s="54"/>
      <c r="IKY81" s="54"/>
      <c r="IKZ81" s="54"/>
      <c r="ILA81" s="54"/>
      <c r="ILB81" s="54"/>
      <c r="ILC81" s="54"/>
      <c r="ILD81" s="54"/>
      <c r="ILE81" s="54"/>
      <c r="ILF81" s="54"/>
      <c r="ILG81" s="54"/>
      <c r="ILH81" s="54"/>
      <c r="ILI81" s="54"/>
      <c r="ILJ81" s="54"/>
      <c r="ILK81" s="54"/>
      <c r="ILL81" s="54"/>
      <c r="ILM81" s="54"/>
      <c r="ILN81" s="54"/>
      <c r="ILO81" s="54"/>
      <c r="ILP81" s="54"/>
      <c r="ILQ81" s="54"/>
      <c r="ILR81" s="54"/>
      <c r="ILS81" s="54"/>
      <c r="ILT81" s="54"/>
      <c r="ILU81" s="54"/>
      <c r="ILV81" s="54"/>
      <c r="ILW81" s="54"/>
      <c r="ILX81" s="54"/>
      <c r="ILY81" s="54"/>
      <c r="ILZ81" s="54"/>
      <c r="IMA81" s="54"/>
      <c r="IMB81" s="54"/>
      <c r="IMC81" s="54"/>
      <c r="IMD81" s="54"/>
      <c r="IME81" s="54"/>
      <c r="IMF81" s="54"/>
      <c r="IMG81" s="54"/>
      <c r="IMH81" s="54"/>
      <c r="IMI81" s="54"/>
      <c r="IMJ81" s="54"/>
      <c r="IMK81" s="54"/>
      <c r="IML81" s="54"/>
      <c r="IMM81" s="54"/>
      <c r="IMN81" s="54"/>
      <c r="IMO81" s="54"/>
      <c r="IMP81" s="54"/>
      <c r="IMQ81" s="54"/>
      <c r="IMR81" s="54"/>
      <c r="IMS81" s="54"/>
      <c r="IMT81" s="54"/>
      <c r="IMU81" s="54"/>
      <c r="IMV81" s="54"/>
      <c r="IMW81" s="54"/>
      <c r="IMX81" s="54"/>
      <c r="IMY81" s="54"/>
      <c r="IMZ81" s="54"/>
      <c r="INA81" s="54"/>
      <c r="INB81" s="54"/>
      <c r="INC81" s="54"/>
      <c r="IND81" s="54"/>
      <c r="INE81" s="54"/>
      <c r="INF81" s="54"/>
      <c r="ING81" s="54"/>
      <c r="INH81" s="54"/>
      <c r="INI81" s="54"/>
      <c r="INJ81" s="54"/>
      <c r="INK81" s="54"/>
      <c r="INL81" s="54"/>
      <c r="INM81" s="54"/>
      <c r="INN81" s="54"/>
      <c r="INO81" s="54"/>
      <c r="INP81" s="54"/>
      <c r="INQ81" s="54"/>
      <c r="INR81" s="54"/>
      <c r="INS81" s="54"/>
      <c r="INT81" s="54"/>
      <c r="INU81" s="54"/>
      <c r="INV81" s="54"/>
      <c r="INW81" s="54"/>
      <c r="INX81" s="54"/>
      <c r="INY81" s="54"/>
      <c r="INZ81" s="54"/>
      <c r="IOA81" s="54"/>
      <c r="IOB81" s="54"/>
      <c r="IOC81" s="54"/>
      <c r="IOD81" s="54"/>
      <c r="IOE81" s="54"/>
      <c r="IOF81" s="54"/>
      <c r="IOG81" s="54"/>
      <c r="IOH81" s="54"/>
      <c r="IOI81" s="54"/>
      <c r="IOJ81" s="54"/>
      <c r="IOK81" s="54"/>
      <c r="IOL81" s="54"/>
      <c r="IOM81" s="54"/>
      <c r="ION81" s="54"/>
      <c r="IOO81" s="54"/>
      <c r="IOP81" s="54"/>
      <c r="IOQ81" s="54"/>
      <c r="IOR81" s="54"/>
      <c r="IOS81" s="54"/>
      <c r="IOT81" s="54"/>
      <c r="IOU81" s="54"/>
      <c r="IOV81" s="54"/>
      <c r="IOW81" s="54"/>
      <c r="IOX81" s="54"/>
      <c r="IOY81" s="54"/>
      <c r="IOZ81" s="54"/>
      <c r="IPA81" s="54"/>
      <c r="IPB81" s="54"/>
      <c r="IPC81" s="54"/>
      <c r="IPD81" s="54"/>
      <c r="IPE81" s="54"/>
      <c r="IPF81" s="54"/>
      <c r="IPG81" s="54"/>
      <c r="IPH81" s="54"/>
      <c r="IPI81" s="54"/>
      <c r="IPJ81" s="54"/>
      <c r="IPK81" s="54"/>
      <c r="IPL81" s="54"/>
      <c r="IPM81" s="54"/>
      <c r="IPN81" s="54"/>
      <c r="IPO81" s="54"/>
      <c r="IPP81" s="54"/>
      <c r="IPQ81" s="54"/>
      <c r="IPR81" s="54"/>
      <c r="IPS81" s="54"/>
      <c r="IPT81" s="54"/>
      <c r="IPU81" s="54"/>
      <c r="IPV81" s="54"/>
      <c r="IPW81" s="54"/>
      <c r="IPX81" s="54"/>
      <c r="IPY81" s="54"/>
      <c r="IPZ81" s="54"/>
      <c r="IQA81" s="54"/>
      <c r="IQB81" s="54"/>
      <c r="IQC81" s="54"/>
      <c r="IQD81" s="54"/>
      <c r="IQE81" s="54"/>
      <c r="IQF81" s="54"/>
      <c r="IQG81" s="54"/>
      <c r="IQH81" s="54"/>
      <c r="IQI81" s="54"/>
      <c r="IQJ81" s="54"/>
      <c r="IQK81" s="54"/>
      <c r="IQL81" s="54"/>
      <c r="IQM81" s="54"/>
      <c r="IQN81" s="54"/>
      <c r="IQO81" s="54"/>
      <c r="IQP81" s="54"/>
      <c r="IQQ81" s="54"/>
      <c r="IQR81" s="54"/>
      <c r="IQS81" s="54"/>
      <c r="IQT81" s="54"/>
      <c r="IQU81" s="54"/>
      <c r="IQV81" s="54"/>
      <c r="IQW81" s="54"/>
      <c r="IQX81" s="54"/>
      <c r="IQY81" s="54"/>
      <c r="IQZ81" s="54"/>
      <c r="IRA81" s="54"/>
      <c r="IRB81" s="54"/>
      <c r="IRC81" s="54"/>
      <c r="IRD81" s="54"/>
      <c r="IRE81" s="54"/>
      <c r="IRF81" s="54"/>
      <c r="IRG81" s="54"/>
      <c r="IRH81" s="54"/>
      <c r="IRI81" s="54"/>
      <c r="IRJ81" s="54"/>
      <c r="IRK81" s="54"/>
      <c r="IRL81" s="54"/>
      <c r="IRM81" s="54"/>
      <c r="IRN81" s="54"/>
      <c r="IRO81" s="54"/>
      <c r="IRP81" s="54"/>
      <c r="IRQ81" s="54"/>
      <c r="IRR81" s="54"/>
      <c r="IRS81" s="54"/>
      <c r="IRT81" s="54"/>
      <c r="IRU81" s="54"/>
      <c r="IRV81" s="54"/>
      <c r="IRW81" s="54"/>
      <c r="IRX81" s="54"/>
      <c r="IRY81" s="54"/>
      <c r="IRZ81" s="54"/>
      <c r="ISA81" s="54"/>
      <c r="ISB81" s="54"/>
      <c r="ISC81" s="54"/>
      <c r="ISD81" s="54"/>
      <c r="ISE81" s="54"/>
      <c r="ISF81" s="54"/>
      <c r="ISG81" s="54"/>
      <c r="ISH81" s="54"/>
      <c r="ISI81" s="54"/>
      <c r="ISJ81" s="54"/>
      <c r="ISK81" s="54"/>
      <c r="ISL81" s="54"/>
      <c r="ISM81" s="54"/>
      <c r="ISN81" s="54"/>
      <c r="ISO81" s="54"/>
      <c r="ISP81" s="54"/>
      <c r="ISQ81" s="54"/>
      <c r="ISR81" s="54"/>
      <c r="ISS81" s="54"/>
      <c r="IST81" s="54"/>
      <c r="ISU81" s="54"/>
      <c r="ISV81" s="54"/>
      <c r="ISW81" s="54"/>
      <c r="ISX81" s="54"/>
      <c r="ISY81" s="54"/>
      <c r="ISZ81" s="54"/>
      <c r="ITA81" s="54"/>
      <c r="ITB81" s="54"/>
      <c r="ITC81" s="54"/>
      <c r="ITD81" s="54"/>
      <c r="ITE81" s="54"/>
      <c r="ITF81" s="54"/>
      <c r="ITG81" s="54"/>
      <c r="ITH81" s="54"/>
      <c r="ITI81" s="54"/>
      <c r="ITJ81" s="54"/>
      <c r="ITK81" s="54"/>
      <c r="ITL81" s="54"/>
      <c r="ITM81" s="54"/>
      <c r="ITN81" s="54"/>
      <c r="ITO81" s="54"/>
      <c r="ITP81" s="54"/>
      <c r="ITQ81" s="54"/>
      <c r="ITR81" s="54"/>
      <c r="ITS81" s="54"/>
      <c r="ITT81" s="54"/>
      <c r="ITU81" s="54"/>
      <c r="ITV81" s="54"/>
      <c r="ITW81" s="54"/>
      <c r="ITX81" s="54"/>
      <c r="ITY81" s="54"/>
      <c r="ITZ81" s="54"/>
      <c r="IUA81" s="54"/>
      <c r="IUB81" s="54"/>
      <c r="IUC81" s="54"/>
      <c r="IUD81" s="54"/>
      <c r="IUE81" s="54"/>
      <c r="IUF81" s="54"/>
      <c r="IUG81" s="54"/>
      <c r="IUH81" s="54"/>
      <c r="IUI81" s="54"/>
      <c r="IUJ81" s="54"/>
      <c r="IUK81" s="54"/>
      <c r="IUL81" s="54"/>
      <c r="IUM81" s="54"/>
      <c r="IUN81" s="54"/>
      <c r="IUO81" s="54"/>
      <c r="IUP81" s="54"/>
      <c r="IUQ81" s="54"/>
      <c r="IUR81" s="54"/>
      <c r="IUS81" s="54"/>
      <c r="IUT81" s="54"/>
      <c r="IUU81" s="54"/>
      <c r="IUV81" s="54"/>
      <c r="IUW81" s="54"/>
      <c r="IUX81" s="54"/>
      <c r="IUY81" s="54"/>
      <c r="IUZ81" s="54"/>
      <c r="IVA81" s="54"/>
      <c r="IVB81" s="54"/>
      <c r="IVC81" s="54"/>
      <c r="IVD81" s="54"/>
      <c r="IVE81" s="54"/>
      <c r="IVF81" s="54"/>
      <c r="IVG81" s="54"/>
      <c r="IVH81" s="54"/>
      <c r="IVI81" s="54"/>
      <c r="IVJ81" s="54"/>
      <c r="IVK81" s="54"/>
      <c r="IVL81" s="54"/>
      <c r="IVM81" s="54"/>
      <c r="IVN81" s="54"/>
      <c r="IVO81" s="54"/>
      <c r="IVP81" s="54"/>
      <c r="IVQ81" s="54"/>
      <c r="IVR81" s="54"/>
      <c r="IVS81" s="54"/>
      <c r="IVT81" s="54"/>
      <c r="IVU81" s="54"/>
      <c r="IVV81" s="54"/>
      <c r="IVW81" s="54"/>
      <c r="IVX81" s="54"/>
      <c r="IVY81" s="54"/>
      <c r="IVZ81" s="54"/>
      <c r="IWA81" s="54"/>
      <c r="IWB81" s="54"/>
      <c r="IWC81" s="54"/>
      <c r="IWD81" s="54"/>
      <c r="IWE81" s="54"/>
      <c r="IWF81" s="54"/>
      <c r="IWG81" s="54"/>
      <c r="IWH81" s="54"/>
      <c r="IWI81" s="54"/>
      <c r="IWJ81" s="54"/>
      <c r="IWK81" s="54"/>
      <c r="IWL81" s="54"/>
      <c r="IWM81" s="54"/>
      <c r="IWN81" s="54"/>
      <c r="IWO81" s="54"/>
      <c r="IWP81" s="54"/>
      <c r="IWQ81" s="54"/>
      <c r="IWR81" s="54"/>
      <c r="IWS81" s="54"/>
      <c r="IWT81" s="54"/>
      <c r="IWU81" s="54"/>
      <c r="IWV81" s="54"/>
      <c r="IWW81" s="54"/>
      <c r="IWX81" s="54"/>
      <c r="IWY81" s="54"/>
      <c r="IWZ81" s="54"/>
      <c r="IXA81" s="54"/>
      <c r="IXB81" s="54"/>
      <c r="IXC81" s="54"/>
      <c r="IXD81" s="54"/>
      <c r="IXE81" s="54"/>
      <c r="IXF81" s="54"/>
      <c r="IXG81" s="54"/>
      <c r="IXH81" s="54"/>
      <c r="IXI81" s="54"/>
      <c r="IXJ81" s="54"/>
      <c r="IXK81" s="54"/>
      <c r="IXL81" s="54"/>
      <c r="IXM81" s="54"/>
      <c r="IXN81" s="54"/>
      <c r="IXO81" s="54"/>
      <c r="IXP81" s="54"/>
      <c r="IXQ81" s="54"/>
      <c r="IXR81" s="54"/>
      <c r="IXS81" s="54"/>
      <c r="IXT81" s="54"/>
      <c r="IXU81" s="54"/>
      <c r="IXV81" s="54"/>
      <c r="IXW81" s="54"/>
      <c r="IXX81" s="54"/>
      <c r="IXY81" s="54"/>
      <c r="IXZ81" s="54"/>
      <c r="IYA81" s="54"/>
      <c r="IYB81" s="54"/>
      <c r="IYC81" s="54"/>
      <c r="IYD81" s="54"/>
      <c r="IYE81" s="54"/>
      <c r="IYF81" s="54"/>
      <c r="IYG81" s="54"/>
      <c r="IYH81" s="54"/>
      <c r="IYI81" s="54"/>
      <c r="IYJ81" s="54"/>
      <c r="IYK81" s="54"/>
      <c r="IYL81" s="54"/>
      <c r="IYM81" s="54"/>
      <c r="IYN81" s="54"/>
      <c r="IYO81" s="54"/>
      <c r="IYP81" s="54"/>
      <c r="IYQ81" s="54"/>
      <c r="IYR81" s="54"/>
      <c r="IYS81" s="54"/>
      <c r="IYT81" s="54"/>
      <c r="IYU81" s="54"/>
      <c r="IYV81" s="54"/>
      <c r="IYW81" s="54"/>
      <c r="IYX81" s="54"/>
      <c r="IYY81" s="54"/>
      <c r="IYZ81" s="54"/>
      <c r="IZA81" s="54"/>
      <c r="IZB81" s="54"/>
      <c r="IZC81" s="54"/>
      <c r="IZD81" s="54"/>
      <c r="IZE81" s="54"/>
      <c r="IZF81" s="54"/>
      <c r="IZG81" s="54"/>
      <c r="IZH81" s="54"/>
      <c r="IZI81" s="54"/>
      <c r="IZJ81" s="54"/>
      <c r="IZK81" s="54"/>
      <c r="IZL81" s="54"/>
      <c r="IZM81" s="54"/>
      <c r="IZN81" s="54"/>
      <c r="IZO81" s="54"/>
      <c r="IZP81" s="54"/>
      <c r="IZQ81" s="54"/>
      <c r="IZR81" s="54"/>
      <c r="IZS81" s="54"/>
      <c r="IZT81" s="54"/>
      <c r="IZU81" s="54"/>
      <c r="IZV81" s="54"/>
      <c r="IZW81" s="54"/>
      <c r="IZX81" s="54"/>
      <c r="IZY81" s="54"/>
      <c r="IZZ81" s="54"/>
      <c r="JAA81" s="54"/>
      <c r="JAB81" s="54"/>
      <c r="JAC81" s="54"/>
      <c r="JAD81" s="54"/>
      <c r="JAE81" s="54"/>
      <c r="JAF81" s="54"/>
      <c r="JAG81" s="54"/>
      <c r="JAH81" s="54"/>
      <c r="JAI81" s="54"/>
      <c r="JAJ81" s="54"/>
      <c r="JAK81" s="54"/>
      <c r="JAL81" s="54"/>
      <c r="JAM81" s="54"/>
      <c r="JAN81" s="54"/>
      <c r="JAO81" s="54"/>
      <c r="JAP81" s="54"/>
      <c r="JAQ81" s="54"/>
      <c r="JAR81" s="54"/>
      <c r="JAS81" s="54"/>
      <c r="JAT81" s="54"/>
      <c r="JAU81" s="54"/>
      <c r="JAV81" s="54"/>
      <c r="JAW81" s="54"/>
      <c r="JAX81" s="54"/>
      <c r="JAY81" s="54"/>
      <c r="JAZ81" s="54"/>
      <c r="JBA81" s="54"/>
      <c r="JBB81" s="54"/>
      <c r="JBC81" s="54"/>
      <c r="JBD81" s="54"/>
      <c r="JBE81" s="54"/>
      <c r="JBF81" s="54"/>
      <c r="JBG81" s="54"/>
      <c r="JBH81" s="54"/>
      <c r="JBI81" s="54"/>
      <c r="JBJ81" s="54"/>
      <c r="JBK81" s="54"/>
      <c r="JBL81" s="54"/>
      <c r="JBM81" s="54"/>
      <c r="JBN81" s="54"/>
      <c r="JBO81" s="54"/>
      <c r="JBP81" s="54"/>
      <c r="JBQ81" s="54"/>
      <c r="JBR81" s="54"/>
      <c r="JBS81" s="54"/>
      <c r="JBT81" s="54"/>
      <c r="JBU81" s="54"/>
      <c r="JBV81" s="54"/>
      <c r="JBW81" s="54"/>
      <c r="JBX81" s="54"/>
      <c r="JBY81" s="54"/>
      <c r="JBZ81" s="54"/>
      <c r="JCA81" s="54"/>
      <c r="JCB81" s="54"/>
      <c r="JCC81" s="54"/>
      <c r="JCD81" s="54"/>
      <c r="JCE81" s="54"/>
      <c r="JCF81" s="54"/>
      <c r="JCG81" s="54"/>
      <c r="JCH81" s="54"/>
      <c r="JCI81" s="54"/>
      <c r="JCJ81" s="54"/>
      <c r="JCK81" s="54"/>
      <c r="JCL81" s="54"/>
      <c r="JCM81" s="54"/>
      <c r="JCN81" s="54"/>
      <c r="JCO81" s="54"/>
      <c r="JCP81" s="54"/>
      <c r="JCQ81" s="54"/>
      <c r="JCR81" s="54"/>
      <c r="JCS81" s="54"/>
      <c r="JCT81" s="54"/>
      <c r="JCU81" s="54"/>
      <c r="JCV81" s="54"/>
      <c r="JCW81" s="54"/>
      <c r="JCX81" s="54"/>
      <c r="JCY81" s="54"/>
      <c r="JCZ81" s="54"/>
      <c r="JDA81" s="54"/>
      <c r="JDB81" s="54"/>
      <c r="JDC81" s="54"/>
      <c r="JDD81" s="54"/>
      <c r="JDE81" s="54"/>
      <c r="JDF81" s="54"/>
      <c r="JDG81" s="54"/>
      <c r="JDH81" s="54"/>
      <c r="JDI81" s="54"/>
      <c r="JDJ81" s="54"/>
      <c r="JDK81" s="54"/>
      <c r="JDL81" s="54"/>
      <c r="JDM81" s="54"/>
      <c r="JDN81" s="54"/>
      <c r="JDO81" s="54"/>
      <c r="JDP81" s="54"/>
      <c r="JDQ81" s="54"/>
      <c r="JDR81" s="54"/>
      <c r="JDS81" s="54"/>
      <c r="JDT81" s="54"/>
      <c r="JDU81" s="54"/>
      <c r="JDV81" s="54"/>
      <c r="JDW81" s="54"/>
      <c r="JDX81" s="54"/>
      <c r="JDY81" s="54"/>
      <c r="JDZ81" s="54"/>
      <c r="JEA81" s="54"/>
      <c r="JEB81" s="54"/>
      <c r="JEC81" s="54"/>
      <c r="JED81" s="54"/>
      <c r="JEE81" s="54"/>
      <c r="JEF81" s="54"/>
      <c r="JEG81" s="54"/>
      <c r="JEH81" s="54"/>
      <c r="JEI81" s="54"/>
      <c r="JEJ81" s="54"/>
      <c r="JEK81" s="54"/>
      <c r="JEL81" s="54"/>
      <c r="JEM81" s="54"/>
      <c r="JEN81" s="54"/>
      <c r="JEO81" s="54"/>
      <c r="JEP81" s="54"/>
      <c r="JEQ81" s="54"/>
      <c r="JER81" s="54"/>
      <c r="JES81" s="54"/>
      <c r="JET81" s="54"/>
      <c r="JEU81" s="54"/>
      <c r="JEV81" s="54"/>
      <c r="JEW81" s="54"/>
      <c r="JEX81" s="54"/>
      <c r="JEY81" s="54"/>
      <c r="JEZ81" s="54"/>
      <c r="JFA81" s="54"/>
      <c r="JFB81" s="54"/>
      <c r="JFC81" s="54"/>
      <c r="JFD81" s="54"/>
      <c r="JFE81" s="54"/>
      <c r="JFF81" s="54"/>
      <c r="JFG81" s="54"/>
      <c r="JFH81" s="54"/>
      <c r="JFI81" s="54"/>
      <c r="JFJ81" s="54"/>
      <c r="JFK81" s="54"/>
      <c r="JFL81" s="54"/>
      <c r="JFM81" s="54"/>
      <c r="JFN81" s="54"/>
      <c r="JFO81" s="54"/>
      <c r="JFP81" s="54"/>
      <c r="JFQ81" s="54"/>
      <c r="JFR81" s="54"/>
      <c r="JFS81" s="54"/>
      <c r="JFT81" s="54"/>
      <c r="JFU81" s="54"/>
      <c r="JFV81" s="54"/>
      <c r="JFW81" s="54"/>
      <c r="JFX81" s="54"/>
      <c r="JFY81" s="54"/>
      <c r="JFZ81" s="54"/>
      <c r="JGA81" s="54"/>
      <c r="JGB81" s="54"/>
      <c r="JGC81" s="54"/>
      <c r="JGD81" s="54"/>
      <c r="JGE81" s="54"/>
      <c r="JGF81" s="54"/>
      <c r="JGG81" s="54"/>
      <c r="JGH81" s="54"/>
      <c r="JGI81" s="54"/>
      <c r="JGJ81" s="54"/>
      <c r="JGK81" s="54"/>
      <c r="JGL81" s="54"/>
      <c r="JGM81" s="54"/>
      <c r="JGN81" s="54"/>
      <c r="JGO81" s="54"/>
      <c r="JGP81" s="54"/>
      <c r="JGQ81" s="54"/>
      <c r="JGR81" s="54"/>
      <c r="JGS81" s="54"/>
      <c r="JGT81" s="54"/>
      <c r="JGU81" s="54"/>
      <c r="JGV81" s="54"/>
      <c r="JGW81" s="54"/>
      <c r="JGX81" s="54"/>
      <c r="JGY81" s="54"/>
      <c r="JGZ81" s="54"/>
      <c r="JHA81" s="54"/>
      <c r="JHB81" s="54"/>
      <c r="JHC81" s="54"/>
      <c r="JHD81" s="54"/>
      <c r="JHE81" s="54"/>
      <c r="JHF81" s="54"/>
      <c r="JHG81" s="54"/>
      <c r="JHH81" s="54"/>
      <c r="JHI81" s="54"/>
      <c r="JHJ81" s="54"/>
      <c r="JHK81" s="54"/>
      <c r="JHL81" s="54"/>
      <c r="JHM81" s="54"/>
      <c r="JHN81" s="54"/>
      <c r="JHO81" s="54"/>
      <c r="JHP81" s="54"/>
      <c r="JHQ81" s="54"/>
      <c r="JHR81" s="54"/>
      <c r="JHS81" s="54"/>
      <c r="JHT81" s="54"/>
      <c r="JHU81" s="54"/>
      <c r="JHV81" s="54"/>
      <c r="JHW81" s="54"/>
      <c r="JHX81" s="54"/>
      <c r="JHY81" s="54"/>
      <c r="JHZ81" s="54"/>
      <c r="JIA81" s="54"/>
      <c r="JIB81" s="54"/>
      <c r="JIC81" s="54"/>
      <c r="JID81" s="54"/>
      <c r="JIE81" s="54"/>
      <c r="JIF81" s="54"/>
      <c r="JIG81" s="54"/>
      <c r="JIH81" s="54"/>
      <c r="JII81" s="54"/>
      <c r="JIJ81" s="54"/>
      <c r="JIK81" s="54"/>
      <c r="JIL81" s="54"/>
      <c r="JIM81" s="54"/>
      <c r="JIN81" s="54"/>
      <c r="JIO81" s="54"/>
      <c r="JIP81" s="54"/>
      <c r="JIQ81" s="54"/>
      <c r="JIR81" s="54"/>
      <c r="JIS81" s="54"/>
      <c r="JIT81" s="54"/>
      <c r="JIU81" s="54"/>
      <c r="JIV81" s="54"/>
      <c r="JIW81" s="54"/>
      <c r="JIX81" s="54"/>
      <c r="JIY81" s="54"/>
      <c r="JIZ81" s="54"/>
      <c r="JJA81" s="54"/>
      <c r="JJB81" s="54"/>
      <c r="JJC81" s="54"/>
      <c r="JJD81" s="54"/>
      <c r="JJE81" s="54"/>
      <c r="JJF81" s="54"/>
      <c r="JJG81" s="54"/>
      <c r="JJH81" s="54"/>
      <c r="JJI81" s="54"/>
      <c r="JJJ81" s="54"/>
      <c r="JJK81" s="54"/>
      <c r="JJL81" s="54"/>
      <c r="JJM81" s="54"/>
      <c r="JJN81" s="54"/>
      <c r="JJO81" s="54"/>
      <c r="JJP81" s="54"/>
      <c r="JJQ81" s="54"/>
      <c r="JJR81" s="54"/>
      <c r="JJS81" s="54"/>
      <c r="JJT81" s="54"/>
      <c r="JJU81" s="54"/>
      <c r="JJV81" s="54"/>
      <c r="JJW81" s="54"/>
      <c r="JJX81" s="54"/>
      <c r="JJY81" s="54"/>
      <c r="JJZ81" s="54"/>
      <c r="JKA81" s="54"/>
      <c r="JKB81" s="54"/>
      <c r="JKC81" s="54"/>
      <c r="JKD81" s="54"/>
      <c r="JKE81" s="54"/>
      <c r="JKF81" s="54"/>
      <c r="JKG81" s="54"/>
      <c r="JKH81" s="54"/>
      <c r="JKI81" s="54"/>
      <c r="JKJ81" s="54"/>
      <c r="JKK81" s="54"/>
      <c r="JKL81" s="54"/>
      <c r="JKM81" s="54"/>
      <c r="JKN81" s="54"/>
      <c r="JKO81" s="54"/>
      <c r="JKP81" s="54"/>
      <c r="JKQ81" s="54"/>
      <c r="JKR81" s="54"/>
      <c r="JKS81" s="54"/>
      <c r="JKT81" s="54"/>
      <c r="JKU81" s="54"/>
      <c r="JKV81" s="54"/>
      <c r="JKW81" s="54"/>
      <c r="JKX81" s="54"/>
      <c r="JKY81" s="54"/>
      <c r="JKZ81" s="54"/>
      <c r="JLA81" s="54"/>
      <c r="JLB81" s="54"/>
      <c r="JLC81" s="54"/>
      <c r="JLD81" s="54"/>
      <c r="JLE81" s="54"/>
      <c r="JLF81" s="54"/>
      <c r="JLG81" s="54"/>
      <c r="JLH81" s="54"/>
      <c r="JLI81" s="54"/>
      <c r="JLJ81" s="54"/>
      <c r="JLK81" s="54"/>
      <c r="JLL81" s="54"/>
      <c r="JLM81" s="54"/>
      <c r="JLN81" s="54"/>
      <c r="JLO81" s="54"/>
      <c r="JLP81" s="54"/>
      <c r="JLQ81" s="54"/>
      <c r="JLR81" s="54"/>
      <c r="JLS81" s="54"/>
      <c r="JLT81" s="54"/>
      <c r="JLU81" s="54"/>
      <c r="JLV81" s="54"/>
      <c r="JLW81" s="54"/>
      <c r="JLX81" s="54"/>
      <c r="JLY81" s="54"/>
      <c r="JLZ81" s="54"/>
      <c r="JMA81" s="54"/>
      <c r="JMB81" s="54"/>
      <c r="JMC81" s="54"/>
      <c r="JMD81" s="54"/>
      <c r="JME81" s="54"/>
      <c r="JMF81" s="54"/>
      <c r="JMG81" s="54"/>
      <c r="JMH81" s="54"/>
      <c r="JMI81" s="54"/>
      <c r="JMJ81" s="54"/>
      <c r="JMK81" s="54"/>
      <c r="JML81" s="54"/>
      <c r="JMM81" s="54"/>
      <c r="JMN81" s="54"/>
      <c r="JMO81" s="54"/>
      <c r="JMP81" s="54"/>
      <c r="JMQ81" s="54"/>
      <c r="JMR81" s="54"/>
      <c r="JMS81" s="54"/>
      <c r="JMT81" s="54"/>
      <c r="JMU81" s="54"/>
      <c r="JMV81" s="54"/>
      <c r="JMW81" s="54"/>
      <c r="JMX81" s="54"/>
      <c r="JMY81" s="54"/>
      <c r="JMZ81" s="54"/>
      <c r="JNA81" s="54"/>
      <c r="JNB81" s="54"/>
      <c r="JNC81" s="54"/>
      <c r="JND81" s="54"/>
      <c r="JNE81" s="54"/>
      <c r="JNF81" s="54"/>
      <c r="JNG81" s="54"/>
      <c r="JNH81" s="54"/>
      <c r="JNI81" s="54"/>
      <c r="JNJ81" s="54"/>
      <c r="JNK81" s="54"/>
      <c r="JNL81" s="54"/>
      <c r="JNM81" s="54"/>
      <c r="JNN81" s="54"/>
      <c r="JNO81" s="54"/>
      <c r="JNP81" s="54"/>
      <c r="JNQ81" s="54"/>
      <c r="JNR81" s="54"/>
      <c r="JNS81" s="54"/>
      <c r="JNT81" s="54"/>
      <c r="JNU81" s="54"/>
      <c r="JNV81" s="54"/>
      <c r="JNW81" s="54"/>
      <c r="JNX81" s="54"/>
      <c r="JNY81" s="54"/>
      <c r="JNZ81" s="54"/>
      <c r="JOA81" s="54"/>
      <c r="JOB81" s="54"/>
      <c r="JOC81" s="54"/>
      <c r="JOD81" s="54"/>
      <c r="JOE81" s="54"/>
      <c r="JOF81" s="54"/>
      <c r="JOG81" s="54"/>
      <c r="JOH81" s="54"/>
      <c r="JOI81" s="54"/>
      <c r="JOJ81" s="54"/>
      <c r="JOK81" s="54"/>
      <c r="JOL81" s="54"/>
      <c r="JOM81" s="54"/>
      <c r="JON81" s="54"/>
      <c r="JOO81" s="54"/>
      <c r="JOP81" s="54"/>
      <c r="JOQ81" s="54"/>
      <c r="JOR81" s="54"/>
      <c r="JOS81" s="54"/>
      <c r="JOT81" s="54"/>
      <c r="JOU81" s="54"/>
      <c r="JOV81" s="54"/>
      <c r="JOW81" s="54"/>
      <c r="JOX81" s="54"/>
      <c r="JOY81" s="54"/>
      <c r="JOZ81" s="54"/>
      <c r="JPA81" s="54"/>
      <c r="JPB81" s="54"/>
      <c r="JPC81" s="54"/>
      <c r="JPD81" s="54"/>
      <c r="JPE81" s="54"/>
      <c r="JPF81" s="54"/>
      <c r="JPG81" s="54"/>
      <c r="JPH81" s="54"/>
      <c r="JPI81" s="54"/>
      <c r="JPJ81" s="54"/>
      <c r="JPK81" s="54"/>
      <c r="JPL81" s="54"/>
      <c r="JPM81" s="54"/>
      <c r="JPN81" s="54"/>
      <c r="JPO81" s="54"/>
      <c r="JPP81" s="54"/>
      <c r="JPQ81" s="54"/>
      <c r="JPR81" s="54"/>
      <c r="JPS81" s="54"/>
      <c r="JPT81" s="54"/>
      <c r="JPU81" s="54"/>
      <c r="JPV81" s="54"/>
      <c r="JPW81" s="54"/>
      <c r="JPX81" s="54"/>
      <c r="JPY81" s="54"/>
      <c r="JPZ81" s="54"/>
      <c r="JQA81" s="54"/>
      <c r="JQB81" s="54"/>
      <c r="JQC81" s="54"/>
      <c r="JQD81" s="54"/>
      <c r="JQE81" s="54"/>
      <c r="JQF81" s="54"/>
      <c r="JQG81" s="54"/>
      <c r="JQH81" s="54"/>
      <c r="JQI81" s="54"/>
      <c r="JQJ81" s="54"/>
      <c r="JQK81" s="54"/>
      <c r="JQL81" s="54"/>
      <c r="JQM81" s="54"/>
      <c r="JQN81" s="54"/>
      <c r="JQO81" s="54"/>
      <c r="JQP81" s="54"/>
      <c r="JQQ81" s="54"/>
      <c r="JQR81" s="54"/>
      <c r="JQS81" s="54"/>
      <c r="JQT81" s="54"/>
      <c r="JQU81" s="54"/>
      <c r="JQV81" s="54"/>
      <c r="JQW81" s="54"/>
      <c r="JQX81" s="54"/>
      <c r="JQY81" s="54"/>
      <c r="JQZ81" s="54"/>
      <c r="JRA81" s="54"/>
      <c r="JRB81" s="54"/>
      <c r="JRC81" s="54"/>
      <c r="JRD81" s="54"/>
      <c r="JRE81" s="54"/>
      <c r="JRF81" s="54"/>
      <c r="JRG81" s="54"/>
      <c r="JRH81" s="54"/>
      <c r="JRI81" s="54"/>
      <c r="JRJ81" s="54"/>
      <c r="JRK81" s="54"/>
      <c r="JRL81" s="54"/>
      <c r="JRM81" s="54"/>
      <c r="JRN81" s="54"/>
      <c r="JRO81" s="54"/>
      <c r="JRP81" s="54"/>
      <c r="JRQ81" s="54"/>
      <c r="JRR81" s="54"/>
      <c r="JRS81" s="54"/>
      <c r="JRT81" s="54"/>
      <c r="JRU81" s="54"/>
      <c r="JRV81" s="54"/>
      <c r="JRW81" s="54"/>
      <c r="JRX81" s="54"/>
      <c r="JRY81" s="54"/>
      <c r="JRZ81" s="54"/>
      <c r="JSA81" s="54"/>
      <c r="JSB81" s="54"/>
      <c r="JSC81" s="54"/>
      <c r="JSD81" s="54"/>
      <c r="JSE81" s="54"/>
      <c r="JSF81" s="54"/>
      <c r="JSG81" s="54"/>
      <c r="JSH81" s="54"/>
      <c r="JSI81" s="54"/>
      <c r="JSJ81" s="54"/>
      <c r="JSK81" s="54"/>
      <c r="JSL81" s="54"/>
      <c r="JSM81" s="54"/>
      <c r="JSN81" s="54"/>
      <c r="JSO81" s="54"/>
      <c r="JSP81" s="54"/>
      <c r="JSQ81" s="54"/>
      <c r="JSR81" s="54"/>
      <c r="JSS81" s="54"/>
      <c r="JST81" s="54"/>
      <c r="JSU81" s="54"/>
      <c r="JSV81" s="54"/>
      <c r="JSW81" s="54"/>
      <c r="JSX81" s="54"/>
      <c r="JSY81" s="54"/>
      <c r="JSZ81" s="54"/>
      <c r="JTA81" s="54"/>
      <c r="JTB81" s="54"/>
      <c r="JTC81" s="54"/>
      <c r="JTD81" s="54"/>
      <c r="JTE81" s="54"/>
      <c r="JTF81" s="54"/>
      <c r="JTG81" s="54"/>
      <c r="JTH81" s="54"/>
      <c r="JTI81" s="54"/>
      <c r="JTJ81" s="54"/>
      <c r="JTK81" s="54"/>
      <c r="JTL81" s="54"/>
      <c r="JTM81" s="54"/>
      <c r="JTN81" s="54"/>
      <c r="JTO81" s="54"/>
      <c r="JTP81" s="54"/>
      <c r="JTQ81" s="54"/>
      <c r="JTR81" s="54"/>
      <c r="JTS81" s="54"/>
      <c r="JTT81" s="54"/>
      <c r="JTU81" s="54"/>
      <c r="JTV81" s="54"/>
      <c r="JTW81" s="54"/>
      <c r="JTX81" s="54"/>
      <c r="JTY81" s="54"/>
      <c r="JTZ81" s="54"/>
      <c r="JUA81" s="54"/>
      <c r="JUB81" s="54"/>
      <c r="JUC81" s="54"/>
      <c r="JUD81" s="54"/>
      <c r="JUE81" s="54"/>
      <c r="JUF81" s="54"/>
      <c r="JUG81" s="54"/>
      <c r="JUH81" s="54"/>
      <c r="JUI81" s="54"/>
      <c r="JUJ81" s="54"/>
      <c r="JUK81" s="54"/>
      <c r="JUL81" s="54"/>
      <c r="JUM81" s="54"/>
      <c r="JUN81" s="54"/>
      <c r="JUO81" s="54"/>
      <c r="JUP81" s="54"/>
      <c r="JUQ81" s="54"/>
      <c r="JUR81" s="54"/>
      <c r="JUS81" s="54"/>
      <c r="JUT81" s="54"/>
      <c r="JUU81" s="54"/>
      <c r="JUV81" s="54"/>
      <c r="JUW81" s="54"/>
      <c r="JUX81" s="54"/>
      <c r="JUY81" s="54"/>
      <c r="JUZ81" s="54"/>
      <c r="JVA81" s="54"/>
      <c r="JVB81" s="54"/>
      <c r="JVC81" s="54"/>
      <c r="JVD81" s="54"/>
      <c r="JVE81" s="54"/>
      <c r="JVF81" s="54"/>
      <c r="JVG81" s="54"/>
      <c r="JVH81" s="54"/>
      <c r="JVI81" s="54"/>
      <c r="JVJ81" s="54"/>
      <c r="JVK81" s="54"/>
      <c r="JVL81" s="54"/>
      <c r="JVM81" s="54"/>
      <c r="JVN81" s="54"/>
      <c r="JVO81" s="54"/>
      <c r="JVP81" s="54"/>
      <c r="JVQ81" s="54"/>
      <c r="JVR81" s="54"/>
      <c r="JVS81" s="54"/>
      <c r="JVT81" s="54"/>
      <c r="JVU81" s="54"/>
      <c r="JVV81" s="54"/>
      <c r="JVW81" s="54"/>
      <c r="JVX81" s="54"/>
      <c r="JVY81" s="54"/>
      <c r="JVZ81" s="54"/>
      <c r="JWA81" s="54"/>
      <c r="JWB81" s="54"/>
      <c r="JWC81" s="54"/>
      <c r="JWD81" s="54"/>
      <c r="JWE81" s="54"/>
      <c r="JWF81" s="54"/>
      <c r="JWG81" s="54"/>
      <c r="JWH81" s="54"/>
      <c r="JWI81" s="54"/>
      <c r="JWJ81" s="54"/>
      <c r="JWK81" s="54"/>
      <c r="JWL81" s="54"/>
      <c r="JWM81" s="54"/>
      <c r="JWN81" s="54"/>
      <c r="JWO81" s="54"/>
      <c r="JWP81" s="54"/>
      <c r="JWQ81" s="54"/>
      <c r="JWR81" s="54"/>
      <c r="JWS81" s="54"/>
      <c r="JWT81" s="54"/>
      <c r="JWU81" s="54"/>
      <c r="JWV81" s="54"/>
      <c r="JWW81" s="54"/>
      <c r="JWX81" s="54"/>
      <c r="JWY81" s="54"/>
      <c r="JWZ81" s="54"/>
      <c r="JXA81" s="54"/>
      <c r="JXB81" s="54"/>
      <c r="JXC81" s="54"/>
      <c r="JXD81" s="54"/>
      <c r="JXE81" s="54"/>
      <c r="JXF81" s="54"/>
      <c r="JXG81" s="54"/>
      <c r="JXH81" s="54"/>
      <c r="JXI81" s="54"/>
      <c r="JXJ81" s="54"/>
      <c r="JXK81" s="54"/>
      <c r="JXL81" s="54"/>
      <c r="JXM81" s="54"/>
      <c r="JXN81" s="54"/>
      <c r="JXO81" s="54"/>
      <c r="JXP81" s="54"/>
      <c r="JXQ81" s="54"/>
      <c r="JXR81" s="54"/>
      <c r="JXS81" s="54"/>
      <c r="JXT81" s="54"/>
      <c r="JXU81" s="54"/>
      <c r="JXV81" s="54"/>
      <c r="JXW81" s="54"/>
      <c r="JXX81" s="54"/>
      <c r="JXY81" s="54"/>
      <c r="JXZ81" s="54"/>
      <c r="JYA81" s="54"/>
      <c r="JYB81" s="54"/>
      <c r="JYC81" s="54"/>
      <c r="JYD81" s="54"/>
      <c r="JYE81" s="54"/>
      <c r="JYF81" s="54"/>
      <c r="JYG81" s="54"/>
      <c r="JYH81" s="54"/>
      <c r="JYI81" s="54"/>
      <c r="JYJ81" s="54"/>
      <c r="JYK81" s="54"/>
      <c r="JYL81" s="54"/>
      <c r="JYM81" s="54"/>
      <c r="JYN81" s="54"/>
      <c r="JYO81" s="54"/>
      <c r="JYP81" s="54"/>
      <c r="JYQ81" s="54"/>
      <c r="JYR81" s="54"/>
      <c r="JYS81" s="54"/>
      <c r="JYT81" s="54"/>
      <c r="JYU81" s="54"/>
      <c r="JYV81" s="54"/>
      <c r="JYW81" s="54"/>
      <c r="JYX81" s="54"/>
      <c r="JYY81" s="54"/>
      <c r="JYZ81" s="54"/>
      <c r="JZA81" s="54"/>
      <c r="JZB81" s="54"/>
      <c r="JZC81" s="54"/>
      <c r="JZD81" s="54"/>
      <c r="JZE81" s="54"/>
      <c r="JZF81" s="54"/>
      <c r="JZG81" s="54"/>
      <c r="JZH81" s="54"/>
      <c r="JZI81" s="54"/>
      <c r="JZJ81" s="54"/>
      <c r="JZK81" s="54"/>
      <c r="JZL81" s="54"/>
      <c r="JZM81" s="54"/>
      <c r="JZN81" s="54"/>
      <c r="JZO81" s="54"/>
      <c r="JZP81" s="54"/>
      <c r="JZQ81" s="54"/>
      <c r="JZR81" s="54"/>
      <c r="JZS81" s="54"/>
      <c r="JZT81" s="54"/>
      <c r="JZU81" s="54"/>
      <c r="JZV81" s="54"/>
      <c r="JZW81" s="54"/>
      <c r="JZX81" s="54"/>
      <c r="JZY81" s="54"/>
      <c r="JZZ81" s="54"/>
      <c r="KAA81" s="54"/>
      <c r="KAB81" s="54"/>
      <c r="KAC81" s="54"/>
      <c r="KAD81" s="54"/>
      <c r="KAE81" s="54"/>
      <c r="KAF81" s="54"/>
      <c r="KAG81" s="54"/>
      <c r="KAH81" s="54"/>
      <c r="KAI81" s="54"/>
      <c r="KAJ81" s="54"/>
      <c r="KAK81" s="54"/>
      <c r="KAL81" s="54"/>
      <c r="KAM81" s="54"/>
      <c r="KAN81" s="54"/>
      <c r="KAO81" s="54"/>
      <c r="KAP81" s="54"/>
      <c r="KAQ81" s="54"/>
      <c r="KAR81" s="54"/>
      <c r="KAS81" s="54"/>
      <c r="KAT81" s="54"/>
      <c r="KAU81" s="54"/>
      <c r="KAV81" s="54"/>
      <c r="KAW81" s="54"/>
      <c r="KAX81" s="54"/>
      <c r="KAY81" s="54"/>
      <c r="KAZ81" s="54"/>
      <c r="KBA81" s="54"/>
      <c r="KBB81" s="54"/>
      <c r="KBC81" s="54"/>
      <c r="KBD81" s="54"/>
      <c r="KBE81" s="54"/>
      <c r="KBF81" s="54"/>
      <c r="KBG81" s="54"/>
      <c r="KBH81" s="54"/>
      <c r="KBI81" s="54"/>
      <c r="KBJ81" s="54"/>
      <c r="KBK81" s="54"/>
      <c r="KBL81" s="54"/>
      <c r="KBM81" s="54"/>
      <c r="KBN81" s="54"/>
      <c r="KBO81" s="54"/>
      <c r="KBP81" s="54"/>
      <c r="KBQ81" s="54"/>
      <c r="KBR81" s="54"/>
      <c r="KBS81" s="54"/>
      <c r="KBT81" s="54"/>
      <c r="KBU81" s="54"/>
      <c r="KBV81" s="54"/>
      <c r="KBW81" s="54"/>
      <c r="KBX81" s="54"/>
      <c r="KBY81" s="54"/>
      <c r="KBZ81" s="54"/>
      <c r="KCA81" s="54"/>
      <c r="KCB81" s="54"/>
      <c r="KCC81" s="54"/>
      <c r="KCD81" s="54"/>
      <c r="KCE81" s="54"/>
      <c r="KCF81" s="54"/>
      <c r="KCG81" s="54"/>
      <c r="KCH81" s="54"/>
      <c r="KCI81" s="54"/>
      <c r="KCJ81" s="54"/>
      <c r="KCK81" s="54"/>
      <c r="KCL81" s="54"/>
      <c r="KCM81" s="54"/>
      <c r="KCN81" s="54"/>
      <c r="KCO81" s="54"/>
      <c r="KCP81" s="54"/>
      <c r="KCQ81" s="54"/>
      <c r="KCR81" s="54"/>
      <c r="KCS81" s="54"/>
      <c r="KCT81" s="54"/>
      <c r="KCU81" s="54"/>
      <c r="KCV81" s="54"/>
      <c r="KCW81" s="54"/>
      <c r="KCX81" s="54"/>
      <c r="KCY81" s="54"/>
      <c r="KCZ81" s="54"/>
      <c r="KDA81" s="54"/>
      <c r="KDB81" s="54"/>
      <c r="KDC81" s="54"/>
      <c r="KDD81" s="54"/>
      <c r="KDE81" s="54"/>
      <c r="KDF81" s="54"/>
      <c r="KDG81" s="54"/>
      <c r="KDH81" s="54"/>
      <c r="KDI81" s="54"/>
      <c r="KDJ81" s="54"/>
      <c r="KDK81" s="54"/>
      <c r="KDL81" s="54"/>
      <c r="KDM81" s="54"/>
      <c r="KDN81" s="54"/>
      <c r="KDO81" s="54"/>
      <c r="KDP81" s="54"/>
      <c r="KDQ81" s="54"/>
      <c r="KDR81" s="54"/>
      <c r="KDS81" s="54"/>
      <c r="KDT81" s="54"/>
      <c r="KDU81" s="54"/>
      <c r="KDV81" s="54"/>
      <c r="KDW81" s="54"/>
      <c r="KDX81" s="54"/>
      <c r="KDY81" s="54"/>
      <c r="KDZ81" s="54"/>
      <c r="KEA81" s="54"/>
      <c r="KEB81" s="54"/>
      <c r="KEC81" s="54"/>
      <c r="KED81" s="54"/>
      <c r="KEE81" s="54"/>
      <c r="KEF81" s="54"/>
      <c r="KEG81" s="54"/>
      <c r="KEH81" s="54"/>
      <c r="KEI81" s="54"/>
      <c r="KEJ81" s="54"/>
      <c r="KEK81" s="54"/>
      <c r="KEL81" s="54"/>
      <c r="KEM81" s="54"/>
      <c r="KEN81" s="54"/>
      <c r="KEO81" s="54"/>
      <c r="KEP81" s="54"/>
      <c r="KEQ81" s="54"/>
      <c r="KER81" s="54"/>
      <c r="KES81" s="54"/>
      <c r="KET81" s="54"/>
      <c r="KEU81" s="54"/>
      <c r="KEV81" s="54"/>
      <c r="KEW81" s="54"/>
      <c r="KEX81" s="54"/>
      <c r="KEY81" s="54"/>
      <c r="KEZ81" s="54"/>
      <c r="KFA81" s="54"/>
      <c r="KFB81" s="54"/>
      <c r="KFC81" s="54"/>
      <c r="KFD81" s="54"/>
      <c r="KFE81" s="54"/>
      <c r="KFF81" s="54"/>
      <c r="KFG81" s="54"/>
      <c r="KFH81" s="54"/>
      <c r="KFI81" s="54"/>
      <c r="KFJ81" s="54"/>
      <c r="KFK81" s="54"/>
      <c r="KFL81" s="54"/>
      <c r="KFM81" s="54"/>
      <c r="KFN81" s="54"/>
      <c r="KFO81" s="54"/>
      <c r="KFP81" s="54"/>
      <c r="KFQ81" s="54"/>
      <c r="KFR81" s="54"/>
      <c r="KFS81" s="54"/>
      <c r="KFT81" s="54"/>
      <c r="KFU81" s="54"/>
      <c r="KFV81" s="54"/>
      <c r="KFW81" s="54"/>
      <c r="KFX81" s="54"/>
      <c r="KFY81" s="54"/>
      <c r="KFZ81" s="54"/>
      <c r="KGA81" s="54"/>
      <c r="KGB81" s="54"/>
      <c r="KGC81" s="54"/>
      <c r="KGD81" s="54"/>
      <c r="KGE81" s="54"/>
      <c r="KGF81" s="54"/>
      <c r="KGG81" s="54"/>
      <c r="KGH81" s="54"/>
      <c r="KGI81" s="54"/>
      <c r="KGJ81" s="54"/>
      <c r="KGK81" s="54"/>
      <c r="KGL81" s="54"/>
      <c r="KGM81" s="54"/>
      <c r="KGN81" s="54"/>
      <c r="KGO81" s="54"/>
      <c r="KGP81" s="54"/>
      <c r="KGQ81" s="54"/>
      <c r="KGR81" s="54"/>
      <c r="KGS81" s="54"/>
      <c r="KGT81" s="54"/>
      <c r="KGU81" s="54"/>
      <c r="KGV81" s="54"/>
      <c r="KGW81" s="54"/>
      <c r="KGX81" s="54"/>
      <c r="KGY81" s="54"/>
      <c r="KGZ81" s="54"/>
      <c r="KHA81" s="54"/>
      <c r="KHB81" s="54"/>
      <c r="KHC81" s="54"/>
      <c r="KHD81" s="54"/>
      <c r="KHE81" s="54"/>
      <c r="KHF81" s="54"/>
      <c r="KHG81" s="54"/>
      <c r="KHH81" s="54"/>
      <c r="KHI81" s="54"/>
      <c r="KHJ81" s="54"/>
      <c r="KHK81" s="54"/>
      <c r="KHL81" s="54"/>
      <c r="KHM81" s="54"/>
      <c r="KHN81" s="54"/>
      <c r="KHO81" s="54"/>
      <c r="KHP81" s="54"/>
      <c r="KHQ81" s="54"/>
      <c r="KHR81" s="54"/>
      <c r="KHS81" s="54"/>
      <c r="KHT81" s="54"/>
      <c r="KHU81" s="54"/>
      <c r="KHV81" s="54"/>
      <c r="KHW81" s="54"/>
      <c r="KHX81" s="54"/>
      <c r="KHY81" s="54"/>
      <c r="KHZ81" s="54"/>
      <c r="KIA81" s="54"/>
      <c r="KIB81" s="54"/>
      <c r="KIC81" s="54"/>
      <c r="KID81" s="54"/>
      <c r="KIE81" s="54"/>
      <c r="KIF81" s="54"/>
      <c r="KIG81" s="54"/>
      <c r="KIH81" s="54"/>
      <c r="KII81" s="54"/>
      <c r="KIJ81" s="54"/>
      <c r="KIK81" s="54"/>
      <c r="KIL81" s="54"/>
      <c r="KIM81" s="54"/>
      <c r="KIN81" s="54"/>
      <c r="KIO81" s="54"/>
      <c r="KIP81" s="54"/>
      <c r="KIQ81" s="54"/>
      <c r="KIR81" s="54"/>
      <c r="KIS81" s="54"/>
      <c r="KIT81" s="54"/>
      <c r="KIU81" s="54"/>
      <c r="KIV81" s="54"/>
      <c r="KIW81" s="54"/>
      <c r="KIX81" s="54"/>
      <c r="KIY81" s="54"/>
      <c r="KIZ81" s="54"/>
      <c r="KJA81" s="54"/>
      <c r="KJB81" s="54"/>
      <c r="KJC81" s="54"/>
      <c r="KJD81" s="54"/>
      <c r="KJE81" s="54"/>
      <c r="KJF81" s="54"/>
      <c r="KJG81" s="54"/>
      <c r="KJH81" s="54"/>
      <c r="KJI81" s="54"/>
      <c r="KJJ81" s="54"/>
      <c r="KJK81" s="54"/>
      <c r="KJL81" s="54"/>
      <c r="KJM81" s="54"/>
      <c r="KJN81" s="54"/>
      <c r="KJO81" s="54"/>
      <c r="KJP81" s="54"/>
      <c r="KJQ81" s="54"/>
      <c r="KJR81" s="54"/>
      <c r="KJS81" s="54"/>
      <c r="KJT81" s="54"/>
      <c r="KJU81" s="54"/>
      <c r="KJV81" s="54"/>
      <c r="KJW81" s="54"/>
      <c r="KJX81" s="54"/>
      <c r="KJY81" s="54"/>
      <c r="KJZ81" s="54"/>
      <c r="KKA81" s="54"/>
      <c r="KKB81" s="54"/>
      <c r="KKC81" s="54"/>
      <c r="KKD81" s="54"/>
      <c r="KKE81" s="54"/>
      <c r="KKF81" s="54"/>
      <c r="KKG81" s="54"/>
      <c r="KKH81" s="54"/>
      <c r="KKI81" s="54"/>
      <c r="KKJ81" s="54"/>
      <c r="KKK81" s="54"/>
      <c r="KKL81" s="54"/>
      <c r="KKM81" s="54"/>
      <c r="KKN81" s="54"/>
      <c r="KKO81" s="54"/>
      <c r="KKP81" s="54"/>
      <c r="KKQ81" s="54"/>
      <c r="KKR81" s="54"/>
      <c r="KKS81" s="54"/>
      <c r="KKT81" s="54"/>
      <c r="KKU81" s="54"/>
      <c r="KKV81" s="54"/>
      <c r="KKW81" s="54"/>
      <c r="KKX81" s="54"/>
      <c r="KKY81" s="54"/>
      <c r="KKZ81" s="54"/>
      <c r="KLA81" s="54"/>
      <c r="KLB81" s="54"/>
      <c r="KLC81" s="54"/>
      <c r="KLD81" s="54"/>
      <c r="KLE81" s="54"/>
      <c r="KLF81" s="54"/>
      <c r="KLG81" s="54"/>
      <c r="KLH81" s="54"/>
      <c r="KLI81" s="54"/>
      <c r="KLJ81" s="54"/>
      <c r="KLK81" s="54"/>
      <c r="KLL81" s="54"/>
      <c r="KLM81" s="54"/>
      <c r="KLN81" s="54"/>
      <c r="KLO81" s="54"/>
      <c r="KLP81" s="54"/>
      <c r="KLQ81" s="54"/>
      <c r="KLR81" s="54"/>
      <c r="KLS81" s="54"/>
      <c r="KLT81" s="54"/>
      <c r="KLU81" s="54"/>
      <c r="KLV81" s="54"/>
      <c r="KLW81" s="54"/>
      <c r="KLX81" s="54"/>
      <c r="KLY81" s="54"/>
      <c r="KLZ81" s="54"/>
      <c r="KMA81" s="54"/>
      <c r="KMB81" s="54"/>
      <c r="KMC81" s="54"/>
      <c r="KMD81" s="54"/>
      <c r="KME81" s="54"/>
      <c r="KMF81" s="54"/>
      <c r="KMG81" s="54"/>
      <c r="KMH81" s="54"/>
      <c r="KMI81" s="54"/>
      <c r="KMJ81" s="54"/>
      <c r="KMK81" s="54"/>
      <c r="KML81" s="54"/>
      <c r="KMM81" s="54"/>
      <c r="KMN81" s="54"/>
      <c r="KMO81" s="54"/>
      <c r="KMP81" s="54"/>
      <c r="KMQ81" s="54"/>
      <c r="KMR81" s="54"/>
      <c r="KMS81" s="54"/>
      <c r="KMT81" s="54"/>
      <c r="KMU81" s="54"/>
      <c r="KMV81" s="54"/>
      <c r="KMW81" s="54"/>
      <c r="KMX81" s="54"/>
      <c r="KMY81" s="54"/>
      <c r="KMZ81" s="54"/>
      <c r="KNA81" s="54"/>
      <c r="KNB81" s="54"/>
      <c r="KNC81" s="54"/>
      <c r="KND81" s="54"/>
      <c r="KNE81" s="54"/>
      <c r="KNF81" s="54"/>
      <c r="KNG81" s="54"/>
      <c r="KNH81" s="54"/>
      <c r="KNI81" s="54"/>
      <c r="KNJ81" s="54"/>
      <c r="KNK81" s="54"/>
      <c r="KNL81" s="54"/>
      <c r="KNM81" s="54"/>
      <c r="KNN81" s="54"/>
      <c r="KNO81" s="54"/>
      <c r="KNP81" s="54"/>
      <c r="KNQ81" s="54"/>
      <c r="KNR81" s="54"/>
      <c r="KNS81" s="54"/>
      <c r="KNT81" s="54"/>
      <c r="KNU81" s="54"/>
      <c r="KNV81" s="54"/>
      <c r="KNW81" s="54"/>
      <c r="KNX81" s="54"/>
      <c r="KNY81" s="54"/>
      <c r="KNZ81" s="54"/>
      <c r="KOA81" s="54"/>
      <c r="KOB81" s="54"/>
      <c r="KOC81" s="54"/>
      <c r="KOD81" s="54"/>
      <c r="KOE81" s="54"/>
      <c r="KOF81" s="54"/>
      <c r="KOG81" s="54"/>
      <c r="KOH81" s="54"/>
      <c r="KOI81" s="54"/>
      <c r="KOJ81" s="54"/>
      <c r="KOK81" s="54"/>
      <c r="KOL81" s="54"/>
      <c r="KOM81" s="54"/>
      <c r="KON81" s="54"/>
      <c r="KOO81" s="54"/>
      <c r="KOP81" s="54"/>
      <c r="KOQ81" s="54"/>
      <c r="KOR81" s="54"/>
      <c r="KOS81" s="54"/>
      <c r="KOT81" s="54"/>
      <c r="KOU81" s="54"/>
      <c r="KOV81" s="54"/>
      <c r="KOW81" s="54"/>
      <c r="KOX81" s="54"/>
      <c r="KOY81" s="54"/>
      <c r="KOZ81" s="54"/>
      <c r="KPA81" s="54"/>
      <c r="KPB81" s="54"/>
      <c r="KPC81" s="54"/>
      <c r="KPD81" s="54"/>
      <c r="KPE81" s="54"/>
      <c r="KPF81" s="54"/>
      <c r="KPG81" s="54"/>
      <c r="KPH81" s="54"/>
      <c r="KPI81" s="54"/>
      <c r="KPJ81" s="54"/>
      <c r="KPK81" s="54"/>
      <c r="KPL81" s="54"/>
      <c r="KPM81" s="54"/>
      <c r="KPN81" s="54"/>
      <c r="KPO81" s="54"/>
      <c r="KPP81" s="54"/>
      <c r="KPQ81" s="54"/>
      <c r="KPR81" s="54"/>
      <c r="KPS81" s="54"/>
      <c r="KPT81" s="54"/>
      <c r="KPU81" s="54"/>
      <c r="KPV81" s="54"/>
      <c r="KPW81" s="54"/>
      <c r="KPX81" s="54"/>
      <c r="KPY81" s="54"/>
      <c r="KPZ81" s="54"/>
      <c r="KQA81" s="54"/>
      <c r="KQB81" s="54"/>
      <c r="KQC81" s="54"/>
      <c r="KQD81" s="54"/>
      <c r="KQE81" s="54"/>
      <c r="KQF81" s="54"/>
      <c r="KQG81" s="54"/>
      <c r="KQH81" s="54"/>
      <c r="KQI81" s="54"/>
      <c r="KQJ81" s="54"/>
      <c r="KQK81" s="54"/>
      <c r="KQL81" s="54"/>
      <c r="KQM81" s="54"/>
      <c r="KQN81" s="54"/>
      <c r="KQO81" s="54"/>
      <c r="KQP81" s="54"/>
      <c r="KQQ81" s="54"/>
      <c r="KQR81" s="54"/>
      <c r="KQS81" s="54"/>
      <c r="KQT81" s="54"/>
      <c r="KQU81" s="54"/>
      <c r="KQV81" s="54"/>
      <c r="KQW81" s="54"/>
      <c r="KQX81" s="54"/>
      <c r="KQY81" s="54"/>
      <c r="KQZ81" s="54"/>
      <c r="KRA81" s="54"/>
      <c r="KRB81" s="54"/>
      <c r="KRC81" s="54"/>
      <c r="KRD81" s="54"/>
      <c r="KRE81" s="54"/>
      <c r="KRF81" s="54"/>
      <c r="KRG81" s="54"/>
      <c r="KRH81" s="54"/>
      <c r="KRI81" s="54"/>
      <c r="KRJ81" s="54"/>
      <c r="KRK81" s="54"/>
      <c r="KRL81" s="54"/>
      <c r="KRM81" s="54"/>
      <c r="KRN81" s="54"/>
      <c r="KRO81" s="54"/>
      <c r="KRP81" s="54"/>
      <c r="KRQ81" s="54"/>
      <c r="KRR81" s="54"/>
      <c r="KRS81" s="54"/>
      <c r="KRT81" s="54"/>
      <c r="KRU81" s="54"/>
      <c r="KRV81" s="54"/>
      <c r="KRW81" s="54"/>
      <c r="KRX81" s="54"/>
      <c r="KRY81" s="54"/>
      <c r="KRZ81" s="54"/>
      <c r="KSA81" s="54"/>
      <c r="KSB81" s="54"/>
      <c r="KSC81" s="54"/>
      <c r="KSD81" s="54"/>
      <c r="KSE81" s="54"/>
      <c r="KSF81" s="54"/>
      <c r="KSG81" s="54"/>
      <c r="KSH81" s="54"/>
      <c r="KSI81" s="54"/>
      <c r="KSJ81" s="54"/>
      <c r="KSK81" s="54"/>
      <c r="KSL81" s="54"/>
      <c r="KSM81" s="54"/>
      <c r="KSN81" s="54"/>
      <c r="KSO81" s="54"/>
      <c r="KSP81" s="54"/>
      <c r="KSQ81" s="54"/>
      <c r="KSR81" s="54"/>
      <c r="KSS81" s="54"/>
      <c r="KST81" s="54"/>
      <c r="KSU81" s="54"/>
      <c r="KSV81" s="54"/>
      <c r="KSW81" s="54"/>
      <c r="KSX81" s="54"/>
      <c r="KSY81" s="54"/>
      <c r="KSZ81" s="54"/>
      <c r="KTA81" s="54"/>
      <c r="KTB81" s="54"/>
      <c r="KTC81" s="54"/>
      <c r="KTD81" s="54"/>
      <c r="KTE81" s="54"/>
      <c r="KTF81" s="54"/>
      <c r="KTG81" s="54"/>
      <c r="KTH81" s="54"/>
      <c r="KTI81" s="54"/>
      <c r="KTJ81" s="54"/>
      <c r="KTK81" s="54"/>
      <c r="KTL81" s="54"/>
      <c r="KTM81" s="54"/>
      <c r="KTN81" s="54"/>
      <c r="KTO81" s="54"/>
      <c r="KTP81" s="54"/>
      <c r="KTQ81" s="54"/>
      <c r="KTR81" s="54"/>
      <c r="KTS81" s="54"/>
      <c r="KTT81" s="54"/>
      <c r="KTU81" s="54"/>
      <c r="KTV81" s="54"/>
      <c r="KTW81" s="54"/>
      <c r="KTX81" s="54"/>
      <c r="KTY81" s="54"/>
      <c r="KTZ81" s="54"/>
      <c r="KUA81" s="54"/>
      <c r="KUB81" s="54"/>
      <c r="KUC81" s="54"/>
      <c r="KUD81" s="54"/>
      <c r="KUE81" s="54"/>
      <c r="KUF81" s="54"/>
      <c r="KUG81" s="54"/>
      <c r="KUH81" s="54"/>
      <c r="KUI81" s="54"/>
      <c r="KUJ81" s="54"/>
      <c r="KUK81" s="54"/>
      <c r="KUL81" s="54"/>
      <c r="KUM81" s="54"/>
      <c r="KUN81" s="54"/>
      <c r="KUO81" s="54"/>
      <c r="KUP81" s="54"/>
      <c r="KUQ81" s="54"/>
      <c r="KUR81" s="54"/>
      <c r="KUS81" s="54"/>
      <c r="KUT81" s="54"/>
      <c r="KUU81" s="54"/>
      <c r="KUV81" s="54"/>
      <c r="KUW81" s="54"/>
      <c r="KUX81" s="54"/>
      <c r="KUY81" s="54"/>
      <c r="KUZ81" s="54"/>
      <c r="KVA81" s="54"/>
      <c r="KVB81" s="54"/>
      <c r="KVC81" s="54"/>
      <c r="KVD81" s="54"/>
      <c r="KVE81" s="54"/>
      <c r="KVF81" s="54"/>
      <c r="KVG81" s="54"/>
      <c r="KVH81" s="54"/>
      <c r="KVI81" s="54"/>
      <c r="KVJ81" s="54"/>
      <c r="KVK81" s="54"/>
      <c r="KVL81" s="54"/>
      <c r="KVM81" s="54"/>
      <c r="KVN81" s="54"/>
      <c r="KVO81" s="54"/>
      <c r="KVP81" s="54"/>
      <c r="KVQ81" s="54"/>
      <c r="KVR81" s="54"/>
      <c r="KVS81" s="54"/>
      <c r="KVT81" s="54"/>
      <c r="KVU81" s="54"/>
      <c r="KVV81" s="54"/>
      <c r="KVW81" s="54"/>
      <c r="KVX81" s="54"/>
      <c r="KVY81" s="54"/>
      <c r="KVZ81" s="54"/>
      <c r="KWA81" s="54"/>
      <c r="KWB81" s="54"/>
      <c r="KWC81" s="54"/>
      <c r="KWD81" s="54"/>
      <c r="KWE81" s="54"/>
      <c r="KWF81" s="54"/>
      <c r="KWG81" s="54"/>
      <c r="KWH81" s="54"/>
      <c r="KWI81" s="54"/>
      <c r="KWJ81" s="54"/>
      <c r="KWK81" s="54"/>
      <c r="KWL81" s="54"/>
      <c r="KWM81" s="54"/>
      <c r="KWN81" s="54"/>
      <c r="KWO81" s="54"/>
      <c r="KWP81" s="54"/>
      <c r="KWQ81" s="54"/>
      <c r="KWR81" s="54"/>
      <c r="KWS81" s="54"/>
      <c r="KWT81" s="54"/>
      <c r="KWU81" s="54"/>
      <c r="KWV81" s="54"/>
      <c r="KWW81" s="54"/>
      <c r="KWX81" s="54"/>
      <c r="KWY81" s="54"/>
      <c r="KWZ81" s="54"/>
      <c r="KXA81" s="54"/>
      <c r="KXB81" s="54"/>
      <c r="KXC81" s="54"/>
      <c r="KXD81" s="54"/>
      <c r="KXE81" s="54"/>
      <c r="KXF81" s="54"/>
      <c r="KXG81" s="54"/>
      <c r="KXH81" s="54"/>
      <c r="KXI81" s="54"/>
      <c r="KXJ81" s="54"/>
      <c r="KXK81" s="54"/>
      <c r="KXL81" s="54"/>
      <c r="KXM81" s="54"/>
      <c r="KXN81" s="54"/>
      <c r="KXO81" s="54"/>
      <c r="KXP81" s="54"/>
      <c r="KXQ81" s="54"/>
      <c r="KXR81" s="54"/>
      <c r="KXS81" s="54"/>
      <c r="KXT81" s="54"/>
      <c r="KXU81" s="54"/>
      <c r="KXV81" s="54"/>
      <c r="KXW81" s="54"/>
      <c r="KXX81" s="54"/>
      <c r="KXY81" s="54"/>
      <c r="KXZ81" s="54"/>
      <c r="KYA81" s="54"/>
      <c r="KYB81" s="54"/>
      <c r="KYC81" s="54"/>
      <c r="KYD81" s="54"/>
      <c r="KYE81" s="54"/>
      <c r="KYF81" s="54"/>
      <c r="KYG81" s="54"/>
      <c r="KYH81" s="54"/>
      <c r="KYI81" s="54"/>
      <c r="KYJ81" s="54"/>
      <c r="KYK81" s="54"/>
      <c r="KYL81" s="54"/>
      <c r="KYM81" s="54"/>
      <c r="KYN81" s="54"/>
      <c r="KYO81" s="54"/>
      <c r="KYP81" s="54"/>
      <c r="KYQ81" s="54"/>
      <c r="KYR81" s="54"/>
      <c r="KYS81" s="54"/>
      <c r="KYT81" s="54"/>
      <c r="KYU81" s="54"/>
      <c r="KYV81" s="54"/>
      <c r="KYW81" s="54"/>
      <c r="KYX81" s="54"/>
      <c r="KYY81" s="54"/>
      <c r="KYZ81" s="54"/>
      <c r="KZA81" s="54"/>
      <c r="KZB81" s="54"/>
      <c r="KZC81" s="54"/>
      <c r="KZD81" s="54"/>
      <c r="KZE81" s="54"/>
      <c r="KZF81" s="54"/>
      <c r="KZG81" s="54"/>
      <c r="KZH81" s="54"/>
      <c r="KZI81" s="54"/>
      <c r="KZJ81" s="54"/>
      <c r="KZK81" s="54"/>
      <c r="KZL81" s="54"/>
      <c r="KZM81" s="54"/>
      <c r="KZN81" s="54"/>
      <c r="KZO81" s="54"/>
      <c r="KZP81" s="54"/>
      <c r="KZQ81" s="54"/>
      <c r="KZR81" s="54"/>
      <c r="KZS81" s="54"/>
      <c r="KZT81" s="54"/>
      <c r="KZU81" s="54"/>
      <c r="KZV81" s="54"/>
      <c r="KZW81" s="54"/>
      <c r="KZX81" s="54"/>
      <c r="KZY81" s="54"/>
      <c r="KZZ81" s="54"/>
      <c r="LAA81" s="54"/>
      <c r="LAB81" s="54"/>
      <c r="LAC81" s="54"/>
      <c r="LAD81" s="54"/>
      <c r="LAE81" s="54"/>
      <c r="LAF81" s="54"/>
      <c r="LAG81" s="54"/>
      <c r="LAH81" s="54"/>
      <c r="LAI81" s="54"/>
      <c r="LAJ81" s="54"/>
      <c r="LAK81" s="54"/>
      <c r="LAL81" s="54"/>
      <c r="LAM81" s="54"/>
      <c r="LAN81" s="54"/>
      <c r="LAO81" s="54"/>
      <c r="LAP81" s="54"/>
      <c r="LAQ81" s="54"/>
      <c r="LAR81" s="54"/>
      <c r="LAS81" s="54"/>
      <c r="LAT81" s="54"/>
      <c r="LAU81" s="54"/>
      <c r="LAV81" s="54"/>
      <c r="LAW81" s="54"/>
      <c r="LAX81" s="54"/>
      <c r="LAY81" s="54"/>
      <c r="LAZ81" s="54"/>
      <c r="LBA81" s="54"/>
      <c r="LBB81" s="54"/>
      <c r="LBC81" s="54"/>
      <c r="LBD81" s="54"/>
      <c r="LBE81" s="54"/>
      <c r="LBF81" s="54"/>
      <c r="LBG81" s="54"/>
      <c r="LBH81" s="54"/>
      <c r="LBI81" s="54"/>
      <c r="LBJ81" s="54"/>
      <c r="LBK81" s="54"/>
      <c r="LBL81" s="54"/>
      <c r="LBM81" s="54"/>
      <c r="LBN81" s="54"/>
      <c r="LBO81" s="54"/>
      <c r="LBP81" s="54"/>
      <c r="LBQ81" s="54"/>
      <c r="LBR81" s="54"/>
      <c r="LBS81" s="54"/>
      <c r="LBT81" s="54"/>
      <c r="LBU81" s="54"/>
      <c r="LBV81" s="54"/>
      <c r="LBW81" s="54"/>
      <c r="LBX81" s="54"/>
      <c r="LBY81" s="54"/>
      <c r="LBZ81" s="54"/>
      <c r="LCA81" s="54"/>
      <c r="LCB81" s="54"/>
      <c r="LCC81" s="54"/>
      <c r="LCD81" s="54"/>
      <c r="LCE81" s="54"/>
      <c r="LCF81" s="54"/>
      <c r="LCG81" s="54"/>
      <c r="LCH81" s="54"/>
      <c r="LCI81" s="54"/>
      <c r="LCJ81" s="54"/>
      <c r="LCK81" s="54"/>
      <c r="LCL81" s="54"/>
      <c r="LCM81" s="54"/>
      <c r="LCN81" s="54"/>
      <c r="LCO81" s="54"/>
      <c r="LCP81" s="54"/>
      <c r="LCQ81" s="54"/>
      <c r="LCR81" s="54"/>
      <c r="LCS81" s="54"/>
      <c r="LCT81" s="54"/>
      <c r="LCU81" s="54"/>
      <c r="LCV81" s="54"/>
      <c r="LCW81" s="54"/>
      <c r="LCX81" s="54"/>
      <c r="LCY81" s="54"/>
      <c r="LCZ81" s="54"/>
      <c r="LDA81" s="54"/>
      <c r="LDB81" s="54"/>
      <c r="LDC81" s="54"/>
      <c r="LDD81" s="54"/>
      <c r="LDE81" s="54"/>
      <c r="LDF81" s="54"/>
      <c r="LDG81" s="54"/>
      <c r="LDH81" s="54"/>
      <c r="LDI81" s="54"/>
      <c r="LDJ81" s="54"/>
      <c r="LDK81" s="54"/>
      <c r="LDL81" s="54"/>
      <c r="LDM81" s="54"/>
      <c r="LDN81" s="54"/>
      <c r="LDO81" s="54"/>
      <c r="LDP81" s="54"/>
      <c r="LDQ81" s="54"/>
      <c r="LDR81" s="54"/>
      <c r="LDS81" s="54"/>
      <c r="LDT81" s="54"/>
      <c r="LDU81" s="54"/>
      <c r="LDV81" s="54"/>
      <c r="LDW81" s="54"/>
      <c r="LDX81" s="54"/>
      <c r="LDY81" s="54"/>
      <c r="LDZ81" s="54"/>
      <c r="LEA81" s="54"/>
      <c r="LEB81" s="54"/>
      <c r="LEC81" s="54"/>
      <c r="LED81" s="54"/>
      <c r="LEE81" s="54"/>
      <c r="LEF81" s="54"/>
      <c r="LEG81" s="54"/>
      <c r="LEH81" s="54"/>
      <c r="LEI81" s="54"/>
      <c r="LEJ81" s="54"/>
      <c r="LEK81" s="54"/>
      <c r="LEL81" s="54"/>
      <c r="LEM81" s="54"/>
      <c r="LEN81" s="54"/>
      <c r="LEO81" s="54"/>
      <c r="LEP81" s="54"/>
      <c r="LEQ81" s="54"/>
      <c r="LER81" s="54"/>
      <c r="LES81" s="54"/>
      <c r="LET81" s="54"/>
      <c r="LEU81" s="54"/>
      <c r="LEV81" s="54"/>
      <c r="LEW81" s="54"/>
      <c r="LEX81" s="54"/>
      <c r="LEY81" s="54"/>
      <c r="LEZ81" s="54"/>
      <c r="LFA81" s="54"/>
      <c r="LFB81" s="54"/>
      <c r="LFC81" s="54"/>
      <c r="LFD81" s="54"/>
      <c r="LFE81" s="54"/>
      <c r="LFF81" s="54"/>
      <c r="LFG81" s="54"/>
      <c r="LFH81" s="54"/>
      <c r="LFI81" s="54"/>
      <c r="LFJ81" s="54"/>
      <c r="LFK81" s="54"/>
      <c r="LFL81" s="54"/>
      <c r="LFM81" s="54"/>
      <c r="LFN81" s="54"/>
      <c r="LFO81" s="54"/>
      <c r="LFP81" s="54"/>
      <c r="LFQ81" s="54"/>
      <c r="LFR81" s="54"/>
      <c r="LFS81" s="54"/>
      <c r="LFT81" s="54"/>
      <c r="LFU81" s="54"/>
      <c r="LFV81" s="54"/>
      <c r="LFW81" s="54"/>
      <c r="LFX81" s="54"/>
      <c r="LFY81" s="54"/>
      <c r="LFZ81" s="54"/>
      <c r="LGA81" s="54"/>
      <c r="LGB81" s="54"/>
      <c r="LGC81" s="54"/>
      <c r="LGD81" s="54"/>
      <c r="LGE81" s="54"/>
      <c r="LGF81" s="54"/>
      <c r="LGG81" s="54"/>
      <c r="LGH81" s="54"/>
      <c r="LGI81" s="54"/>
      <c r="LGJ81" s="54"/>
      <c r="LGK81" s="54"/>
      <c r="LGL81" s="54"/>
      <c r="LGM81" s="54"/>
      <c r="LGN81" s="54"/>
      <c r="LGO81" s="54"/>
      <c r="LGP81" s="54"/>
      <c r="LGQ81" s="54"/>
      <c r="LGR81" s="54"/>
      <c r="LGS81" s="54"/>
      <c r="LGT81" s="54"/>
      <c r="LGU81" s="54"/>
      <c r="LGV81" s="54"/>
      <c r="LGW81" s="54"/>
      <c r="LGX81" s="54"/>
      <c r="LGY81" s="54"/>
      <c r="LGZ81" s="54"/>
      <c r="LHA81" s="54"/>
      <c r="LHB81" s="54"/>
      <c r="LHC81" s="54"/>
      <c r="LHD81" s="54"/>
      <c r="LHE81" s="54"/>
      <c r="LHF81" s="54"/>
      <c r="LHG81" s="54"/>
      <c r="LHH81" s="54"/>
      <c r="LHI81" s="54"/>
      <c r="LHJ81" s="54"/>
      <c r="LHK81" s="54"/>
      <c r="LHL81" s="54"/>
      <c r="LHM81" s="54"/>
      <c r="LHN81" s="54"/>
      <c r="LHO81" s="54"/>
      <c r="LHP81" s="54"/>
      <c r="LHQ81" s="54"/>
      <c r="LHR81" s="54"/>
      <c r="LHS81" s="54"/>
      <c r="LHT81" s="54"/>
      <c r="LHU81" s="54"/>
      <c r="LHV81" s="54"/>
      <c r="LHW81" s="54"/>
      <c r="LHX81" s="54"/>
      <c r="LHY81" s="54"/>
      <c r="LHZ81" s="54"/>
      <c r="LIA81" s="54"/>
      <c r="LIB81" s="54"/>
      <c r="LIC81" s="54"/>
      <c r="LID81" s="54"/>
      <c r="LIE81" s="54"/>
      <c r="LIF81" s="54"/>
      <c r="LIG81" s="54"/>
      <c r="LIH81" s="54"/>
      <c r="LII81" s="54"/>
      <c r="LIJ81" s="54"/>
      <c r="LIK81" s="54"/>
      <c r="LIL81" s="54"/>
      <c r="LIM81" s="54"/>
      <c r="LIN81" s="54"/>
      <c r="LIO81" s="54"/>
      <c r="LIP81" s="54"/>
      <c r="LIQ81" s="54"/>
      <c r="LIR81" s="54"/>
      <c r="LIS81" s="54"/>
      <c r="LIT81" s="54"/>
      <c r="LIU81" s="54"/>
      <c r="LIV81" s="54"/>
      <c r="LIW81" s="54"/>
      <c r="LIX81" s="54"/>
      <c r="LIY81" s="54"/>
      <c r="LIZ81" s="54"/>
      <c r="LJA81" s="54"/>
      <c r="LJB81" s="54"/>
      <c r="LJC81" s="54"/>
      <c r="LJD81" s="54"/>
      <c r="LJE81" s="54"/>
      <c r="LJF81" s="54"/>
      <c r="LJG81" s="54"/>
      <c r="LJH81" s="54"/>
      <c r="LJI81" s="54"/>
      <c r="LJJ81" s="54"/>
      <c r="LJK81" s="54"/>
      <c r="LJL81" s="54"/>
      <c r="LJM81" s="54"/>
      <c r="LJN81" s="54"/>
      <c r="LJO81" s="54"/>
      <c r="LJP81" s="54"/>
      <c r="LJQ81" s="54"/>
      <c r="LJR81" s="54"/>
      <c r="LJS81" s="54"/>
      <c r="LJT81" s="54"/>
      <c r="LJU81" s="54"/>
      <c r="LJV81" s="54"/>
      <c r="LJW81" s="54"/>
      <c r="LJX81" s="54"/>
      <c r="LJY81" s="54"/>
      <c r="LJZ81" s="54"/>
      <c r="LKA81" s="54"/>
      <c r="LKB81" s="54"/>
      <c r="LKC81" s="54"/>
      <c r="LKD81" s="54"/>
      <c r="LKE81" s="54"/>
      <c r="LKF81" s="54"/>
      <c r="LKG81" s="54"/>
      <c r="LKH81" s="54"/>
      <c r="LKI81" s="54"/>
      <c r="LKJ81" s="54"/>
      <c r="LKK81" s="54"/>
      <c r="LKL81" s="54"/>
      <c r="LKM81" s="54"/>
      <c r="LKN81" s="54"/>
      <c r="LKO81" s="54"/>
      <c r="LKP81" s="54"/>
      <c r="LKQ81" s="54"/>
      <c r="LKR81" s="54"/>
      <c r="LKS81" s="54"/>
      <c r="LKT81" s="54"/>
      <c r="LKU81" s="54"/>
      <c r="LKV81" s="54"/>
      <c r="LKW81" s="54"/>
      <c r="LKX81" s="54"/>
      <c r="LKY81" s="54"/>
      <c r="LKZ81" s="54"/>
      <c r="LLA81" s="54"/>
      <c r="LLB81" s="54"/>
      <c r="LLC81" s="54"/>
      <c r="LLD81" s="54"/>
      <c r="LLE81" s="54"/>
      <c r="LLF81" s="54"/>
      <c r="LLG81" s="54"/>
      <c r="LLH81" s="54"/>
      <c r="LLI81" s="54"/>
      <c r="LLJ81" s="54"/>
      <c r="LLK81" s="54"/>
      <c r="LLL81" s="54"/>
      <c r="LLM81" s="54"/>
      <c r="LLN81" s="54"/>
      <c r="LLO81" s="54"/>
      <c r="LLP81" s="54"/>
      <c r="LLQ81" s="54"/>
      <c r="LLR81" s="54"/>
      <c r="LLS81" s="54"/>
      <c r="LLT81" s="54"/>
      <c r="LLU81" s="54"/>
      <c r="LLV81" s="54"/>
      <c r="LLW81" s="54"/>
      <c r="LLX81" s="54"/>
      <c r="LLY81" s="54"/>
      <c r="LLZ81" s="54"/>
      <c r="LMA81" s="54"/>
      <c r="LMB81" s="54"/>
      <c r="LMC81" s="54"/>
      <c r="LMD81" s="54"/>
      <c r="LME81" s="54"/>
      <c r="LMF81" s="54"/>
      <c r="LMG81" s="54"/>
      <c r="LMH81" s="54"/>
      <c r="LMI81" s="54"/>
      <c r="LMJ81" s="54"/>
      <c r="LMK81" s="54"/>
      <c r="LML81" s="54"/>
      <c r="LMM81" s="54"/>
      <c r="LMN81" s="54"/>
      <c r="LMO81" s="54"/>
      <c r="LMP81" s="54"/>
      <c r="LMQ81" s="54"/>
      <c r="LMR81" s="54"/>
      <c r="LMS81" s="54"/>
      <c r="LMT81" s="54"/>
      <c r="LMU81" s="54"/>
      <c r="LMV81" s="54"/>
      <c r="LMW81" s="54"/>
      <c r="LMX81" s="54"/>
      <c r="LMY81" s="54"/>
      <c r="LMZ81" s="54"/>
      <c r="LNA81" s="54"/>
      <c r="LNB81" s="54"/>
      <c r="LNC81" s="54"/>
      <c r="LND81" s="54"/>
      <c r="LNE81" s="54"/>
      <c r="LNF81" s="54"/>
      <c r="LNG81" s="54"/>
      <c r="LNH81" s="54"/>
      <c r="LNI81" s="54"/>
      <c r="LNJ81" s="54"/>
      <c r="LNK81" s="54"/>
      <c r="LNL81" s="54"/>
      <c r="LNM81" s="54"/>
      <c r="LNN81" s="54"/>
      <c r="LNO81" s="54"/>
      <c r="LNP81" s="54"/>
      <c r="LNQ81" s="54"/>
      <c r="LNR81" s="54"/>
      <c r="LNS81" s="54"/>
      <c r="LNT81" s="54"/>
      <c r="LNU81" s="54"/>
      <c r="LNV81" s="54"/>
      <c r="LNW81" s="54"/>
      <c r="LNX81" s="54"/>
      <c r="LNY81" s="54"/>
      <c r="LNZ81" s="54"/>
      <c r="LOA81" s="54"/>
      <c r="LOB81" s="54"/>
      <c r="LOC81" s="54"/>
      <c r="LOD81" s="54"/>
      <c r="LOE81" s="54"/>
      <c r="LOF81" s="54"/>
      <c r="LOG81" s="54"/>
      <c r="LOH81" s="54"/>
      <c r="LOI81" s="54"/>
      <c r="LOJ81" s="54"/>
      <c r="LOK81" s="54"/>
      <c r="LOL81" s="54"/>
      <c r="LOM81" s="54"/>
      <c r="LON81" s="54"/>
      <c r="LOO81" s="54"/>
      <c r="LOP81" s="54"/>
      <c r="LOQ81" s="54"/>
      <c r="LOR81" s="54"/>
      <c r="LOS81" s="54"/>
      <c r="LOT81" s="54"/>
      <c r="LOU81" s="54"/>
      <c r="LOV81" s="54"/>
      <c r="LOW81" s="54"/>
      <c r="LOX81" s="54"/>
      <c r="LOY81" s="54"/>
      <c r="LOZ81" s="54"/>
      <c r="LPA81" s="54"/>
      <c r="LPB81" s="54"/>
      <c r="LPC81" s="54"/>
      <c r="LPD81" s="54"/>
      <c r="LPE81" s="54"/>
      <c r="LPF81" s="54"/>
      <c r="LPG81" s="54"/>
      <c r="LPH81" s="54"/>
      <c r="LPI81" s="54"/>
      <c r="LPJ81" s="54"/>
      <c r="LPK81" s="54"/>
      <c r="LPL81" s="54"/>
      <c r="LPM81" s="54"/>
      <c r="LPN81" s="54"/>
      <c r="LPO81" s="54"/>
      <c r="LPP81" s="54"/>
      <c r="LPQ81" s="54"/>
      <c r="LPR81" s="54"/>
      <c r="LPS81" s="54"/>
      <c r="LPT81" s="54"/>
      <c r="LPU81" s="54"/>
      <c r="LPV81" s="54"/>
      <c r="LPW81" s="54"/>
      <c r="LPX81" s="54"/>
      <c r="LPY81" s="54"/>
      <c r="LPZ81" s="54"/>
      <c r="LQA81" s="54"/>
      <c r="LQB81" s="54"/>
      <c r="LQC81" s="54"/>
      <c r="LQD81" s="54"/>
      <c r="LQE81" s="54"/>
      <c r="LQF81" s="54"/>
      <c r="LQG81" s="54"/>
      <c r="LQH81" s="54"/>
      <c r="LQI81" s="54"/>
      <c r="LQJ81" s="54"/>
      <c r="LQK81" s="54"/>
      <c r="LQL81" s="54"/>
      <c r="LQM81" s="54"/>
      <c r="LQN81" s="54"/>
      <c r="LQO81" s="54"/>
      <c r="LQP81" s="54"/>
      <c r="LQQ81" s="54"/>
      <c r="LQR81" s="54"/>
      <c r="LQS81" s="54"/>
      <c r="LQT81" s="54"/>
      <c r="LQU81" s="54"/>
      <c r="LQV81" s="54"/>
      <c r="LQW81" s="54"/>
      <c r="LQX81" s="54"/>
      <c r="LQY81" s="54"/>
      <c r="LQZ81" s="54"/>
      <c r="LRA81" s="54"/>
      <c r="LRB81" s="54"/>
      <c r="LRC81" s="54"/>
      <c r="LRD81" s="54"/>
      <c r="LRE81" s="54"/>
      <c r="LRF81" s="54"/>
      <c r="LRG81" s="54"/>
      <c r="LRH81" s="54"/>
      <c r="LRI81" s="54"/>
      <c r="LRJ81" s="54"/>
      <c r="LRK81" s="54"/>
      <c r="LRL81" s="54"/>
      <c r="LRM81" s="54"/>
      <c r="LRN81" s="54"/>
      <c r="LRO81" s="54"/>
      <c r="LRP81" s="54"/>
      <c r="LRQ81" s="54"/>
      <c r="LRR81" s="54"/>
      <c r="LRS81" s="54"/>
      <c r="LRT81" s="54"/>
      <c r="LRU81" s="54"/>
      <c r="LRV81" s="54"/>
      <c r="LRW81" s="54"/>
      <c r="LRX81" s="54"/>
      <c r="LRY81" s="54"/>
      <c r="LRZ81" s="54"/>
      <c r="LSA81" s="54"/>
      <c r="LSB81" s="54"/>
      <c r="LSC81" s="54"/>
      <c r="LSD81" s="54"/>
      <c r="LSE81" s="54"/>
      <c r="LSF81" s="54"/>
      <c r="LSG81" s="54"/>
      <c r="LSH81" s="54"/>
      <c r="LSI81" s="54"/>
      <c r="LSJ81" s="54"/>
      <c r="LSK81" s="54"/>
      <c r="LSL81" s="54"/>
      <c r="LSM81" s="54"/>
      <c r="LSN81" s="54"/>
      <c r="LSO81" s="54"/>
      <c r="LSP81" s="54"/>
      <c r="LSQ81" s="54"/>
      <c r="LSR81" s="54"/>
      <c r="LSS81" s="54"/>
      <c r="LST81" s="54"/>
      <c r="LSU81" s="54"/>
      <c r="LSV81" s="54"/>
      <c r="LSW81" s="54"/>
      <c r="LSX81" s="54"/>
      <c r="LSY81" s="54"/>
      <c r="LSZ81" s="54"/>
      <c r="LTA81" s="54"/>
      <c r="LTB81" s="54"/>
      <c r="LTC81" s="54"/>
      <c r="LTD81" s="54"/>
      <c r="LTE81" s="54"/>
      <c r="LTF81" s="54"/>
      <c r="LTG81" s="54"/>
      <c r="LTH81" s="54"/>
      <c r="LTI81" s="54"/>
      <c r="LTJ81" s="54"/>
      <c r="LTK81" s="54"/>
      <c r="LTL81" s="54"/>
      <c r="LTM81" s="54"/>
      <c r="LTN81" s="54"/>
      <c r="LTO81" s="54"/>
      <c r="LTP81" s="54"/>
      <c r="LTQ81" s="54"/>
      <c r="LTR81" s="54"/>
      <c r="LTS81" s="54"/>
      <c r="LTT81" s="54"/>
      <c r="LTU81" s="54"/>
      <c r="LTV81" s="54"/>
      <c r="LTW81" s="54"/>
      <c r="LTX81" s="54"/>
      <c r="LTY81" s="54"/>
      <c r="LTZ81" s="54"/>
      <c r="LUA81" s="54"/>
      <c r="LUB81" s="54"/>
      <c r="LUC81" s="54"/>
      <c r="LUD81" s="54"/>
      <c r="LUE81" s="54"/>
      <c r="LUF81" s="54"/>
      <c r="LUG81" s="54"/>
      <c r="LUH81" s="54"/>
      <c r="LUI81" s="54"/>
      <c r="LUJ81" s="54"/>
      <c r="LUK81" s="54"/>
      <c r="LUL81" s="54"/>
      <c r="LUM81" s="54"/>
      <c r="LUN81" s="54"/>
      <c r="LUO81" s="54"/>
      <c r="LUP81" s="54"/>
      <c r="LUQ81" s="54"/>
      <c r="LUR81" s="54"/>
      <c r="LUS81" s="54"/>
      <c r="LUT81" s="54"/>
      <c r="LUU81" s="54"/>
      <c r="LUV81" s="54"/>
      <c r="LUW81" s="54"/>
      <c r="LUX81" s="54"/>
      <c r="LUY81" s="54"/>
      <c r="LUZ81" s="54"/>
      <c r="LVA81" s="54"/>
      <c r="LVB81" s="54"/>
      <c r="LVC81" s="54"/>
      <c r="LVD81" s="54"/>
      <c r="LVE81" s="54"/>
      <c r="LVF81" s="54"/>
      <c r="LVG81" s="54"/>
      <c r="LVH81" s="54"/>
      <c r="LVI81" s="54"/>
      <c r="LVJ81" s="54"/>
      <c r="LVK81" s="54"/>
      <c r="LVL81" s="54"/>
      <c r="LVM81" s="54"/>
      <c r="LVN81" s="54"/>
      <c r="LVO81" s="54"/>
      <c r="LVP81" s="54"/>
      <c r="LVQ81" s="54"/>
      <c r="LVR81" s="54"/>
      <c r="LVS81" s="54"/>
      <c r="LVT81" s="54"/>
      <c r="LVU81" s="54"/>
      <c r="LVV81" s="54"/>
      <c r="LVW81" s="54"/>
      <c r="LVX81" s="54"/>
      <c r="LVY81" s="54"/>
      <c r="LVZ81" s="54"/>
      <c r="LWA81" s="54"/>
      <c r="LWB81" s="54"/>
      <c r="LWC81" s="54"/>
      <c r="LWD81" s="54"/>
      <c r="LWE81" s="54"/>
      <c r="LWF81" s="54"/>
      <c r="LWG81" s="54"/>
      <c r="LWH81" s="54"/>
      <c r="LWI81" s="54"/>
      <c r="LWJ81" s="54"/>
      <c r="LWK81" s="54"/>
      <c r="LWL81" s="54"/>
      <c r="LWM81" s="54"/>
      <c r="LWN81" s="54"/>
      <c r="LWO81" s="54"/>
      <c r="LWP81" s="54"/>
      <c r="LWQ81" s="54"/>
      <c r="LWR81" s="54"/>
      <c r="LWS81" s="54"/>
      <c r="LWT81" s="54"/>
      <c r="LWU81" s="54"/>
      <c r="LWV81" s="54"/>
      <c r="LWW81" s="54"/>
      <c r="LWX81" s="54"/>
      <c r="LWY81" s="54"/>
      <c r="LWZ81" s="54"/>
      <c r="LXA81" s="54"/>
      <c r="LXB81" s="54"/>
      <c r="LXC81" s="54"/>
      <c r="LXD81" s="54"/>
      <c r="LXE81" s="54"/>
      <c r="LXF81" s="54"/>
      <c r="LXG81" s="54"/>
      <c r="LXH81" s="54"/>
      <c r="LXI81" s="54"/>
      <c r="LXJ81" s="54"/>
      <c r="LXK81" s="54"/>
      <c r="LXL81" s="54"/>
      <c r="LXM81" s="54"/>
      <c r="LXN81" s="54"/>
      <c r="LXO81" s="54"/>
      <c r="LXP81" s="54"/>
      <c r="LXQ81" s="54"/>
      <c r="LXR81" s="54"/>
      <c r="LXS81" s="54"/>
      <c r="LXT81" s="54"/>
      <c r="LXU81" s="54"/>
      <c r="LXV81" s="54"/>
      <c r="LXW81" s="54"/>
      <c r="LXX81" s="54"/>
      <c r="LXY81" s="54"/>
      <c r="LXZ81" s="54"/>
      <c r="LYA81" s="54"/>
      <c r="LYB81" s="54"/>
      <c r="LYC81" s="54"/>
      <c r="LYD81" s="54"/>
      <c r="LYE81" s="54"/>
      <c r="LYF81" s="54"/>
      <c r="LYG81" s="54"/>
      <c r="LYH81" s="54"/>
      <c r="LYI81" s="54"/>
      <c r="LYJ81" s="54"/>
      <c r="LYK81" s="54"/>
      <c r="LYL81" s="54"/>
      <c r="LYM81" s="54"/>
      <c r="LYN81" s="54"/>
      <c r="LYO81" s="54"/>
      <c r="LYP81" s="54"/>
      <c r="LYQ81" s="54"/>
      <c r="LYR81" s="54"/>
      <c r="LYS81" s="54"/>
      <c r="LYT81" s="54"/>
      <c r="LYU81" s="54"/>
      <c r="LYV81" s="54"/>
      <c r="LYW81" s="54"/>
      <c r="LYX81" s="54"/>
      <c r="LYY81" s="54"/>
      <c r="LYZ81" s="54"/>
      <c r="LZA81" s="54"/>
      <c r="LZB81" s="54"/>
      <c r="LZC81" s="54"/>
      <c r="LZD81" s="54"/>
      <c r="LZE81" s="54"/>
      <c r="LZF81" s="54"/>
      <c r="LZG81" s="54"/>
      <c r="LZH81" s="54"/>
      <c r="LZI81" s="54"/>
      <c r="LZJ81" s="54"/>
      <c r="LZK81" s="54"/>
      <c r="LZL81" s="54"/>
      <c r="LZM81" s="54"/>
      <c r="LZN81" s="54"/>
      <c r="LZO81" s="54"/>
      <c r="LZP81" s="54"/>
      <c r="LZQ81" s="54"/>
      <c r="LZR81" s="54"/>
      <c r="LZS81" s="54"/>
      <c r="LZT81" s="54"/>
      <c r="LZU81" s="54"/>
      <c r="LZV81" s="54"/>
      <c r="LZW81" s="54"/>
      <c r="LZX81" s="54"/>
      <c r="LZY81" s="54"/>
      <c r="LZZ81" s="54"/>
      <c r="MAA81" s="54"/>
      <c r="MAB81" s="54"/>
      <c r="MAC81" s="54"/>
      <c r="MAD81" s="54"/>
      <c r="MAE81" s="54"/>
      <c r="MAF81" s="54"/>
      <c r="MAG81" s="54"/>
      <c r="MAH81" s="54"/>
      <c r="MAI81" s="54"/>
      <c r="MAJ81" s="54"/>
      <c r="MAK81" s="54"/>
      <c r="MAL81" s="54"/>
      <c r="MAM81" s="54"/>
      <c r="MAN81" s="54"/>
      <c r="MAO81" s="54"/>
      <c r="MAP81" s="54"/>
      <c r="MAQ81" s="54"/>
      <c r="MAR81" s="54"/>
      <c r="MAS81" s="54"/>
      <c r="MAT81" s="54"/>
      <c r="MAU81" s="54"/>
      <c r="MAV81" s="54"/>
      <c r="MAW81" s="54"/>
      <c r="MAX81" s="54"/>
      <c r="MAY81" s="54"/>
      <c r="MAZ81" s="54"/>
      <c r="MBA81" s="54"/>
      <c r="MBB81" s="54"/>
      <c r="MBC81" s="54"/>
      <c r="MBD81" s="54"/>
      <c r="MBE81" s="54"/>
      <c r="MBF81" s="54"/>
      <c r="MBG81" s="54"/>
      <c r="MBH81" s="54"/>
      <c r="MBI81" s="54"/>
      <c r="MBJ81" s="54"/>
      <c r="MBK81" s="54"/>
      <c r="MBL81" s="54"/>
      <c r="MBM81" s="54"/>
      <c r="MBN81" s="54"/>
      <c r="MBO81" s="54"/>
      <c r="MBP81" s="54"/>
      <c r="MBQ81" s="54"/>
      <c r="MBR81" s="54"/>
      <c r="MBS81" s="54"/>
      <c r="MBT81" s="54"/>
      <c r="MBU81" s="54"/>
      <c r="MBV81" s="54"/>
      <c r="MBW81" s="54"/>
      <c r="MBX81" s="54"/>
      <c r="MBY81" s="54"/>
      <c r="MBZ81" s="54"/>
      <c r="MCA81" s="54"/>
      <c r="MCB81" s="54"/>
      <c r="MCC81" s="54"/>
      <c r="MCD81" s="54"/>
      <c r="MCE81" s="54"/>
      <c r="MCF81" s="54"/>
      <c r="MCG81" s="54"/>
      <c r="MCH81" s="54"/>
      <c r="MCI81" s="54"/>
      <c r="MCJ81" s="54"/>
      <c r="MCK81" s="54"/>
      <c r="MCL81" s="54"/>
      <c r="MCM81" s="54"/>
      <c r="MCN81" s="54"/>
      <c r="MCO81" s="54"/>
      <c r="MCP81" s="54"/>
      <c r="MCQ81" s="54"/>
      <c r="MCR81" s="54"/>
      <c r="MCS81" s="54"/>
      <c r="MCT81" s="54"/>
      <c r="MCU81" s="54"/>
      <c r="MCV81" s="54"/>
      <c r="MCW81" s="54"/>
      <c r="MCX81" s="54"/>
      <c r="MCY81" s="54"/>
      <c r="MCZ81" s="54"/>
      <c r="MDA81" s="54"/>
      <c r="MDB81" s="54"/>
      <c r="MDC81" s="54"/>
      <c r="MDD81" s="54"/>
      <c r="MDE81" s="54"/>
      <c r="MDF81" s="54"/>
      <c r="MDG81" s="54"/>
      <c r="MDH81" s="54"/>
      <c r="MDI81" s="54"/>
      <c r="MDJ81" s="54"/>
      <c r="MDK81" s="54"/>
      <c r="MDL81" s="54"/>
      <c r="MDM81" s="54"/>
      <c r="MDN81" s="54"/>
      <c r="MDO81" s="54"/>
      <c r="MDP81" s="54"/>
      <c r="MDQ81" s="54"/>
      <c r="MDR81" s="54"/>
      <c r="MDS81" s="54"/>
      <c r="MDT81" s="54"/>
      <c r="MDU81" s="54"/>
      <c r="MDV81" s="54"/>
      <c r="MDW81" s="54"/>
      <c r="MDX81" s="54"/>
      <c r="MDY81" s="54"/>
      <c r="MDZ81" s="54"/>
      <c r="MEA81" s="54"/>
      <c r="MEB81" s="54"/>
      <c r="MEC81" s="54"/>
      <c r="MED81" s="54"/>
      <c r="MEE81" s="54"/>
      <c r="MEF81" s="54"/>
      <c r="MEG81" s="54"/>
      <c r="MEH81" s="54"/>
      <c r="MEI81" s="54"/>
      <c r="MEJ81" s="54"/>
      <c r="MEK81" s="54"/>
      <c r="MEL81" s="54"/>
      <c r="MEM81" s="54"/>
      <c r="MEN81" s="54"/>
      <c r="MEO81" s="54"/>
      <c r="MEP81" s="54"/>
      <c r="MEQ81" s="54"/>
      <c r="MER81" s="54"/>
      <c r="MES81" s="54"/>
      <c r="MET81" s="54"/>
      <c r="MEU81" s="54"/>
      <c r="MEV81" s="54"/>
      <c r="MEW81" s="54"/>
      <c r="MEX81" s="54"/>
      <c r="MEY81" s="54"/>
      <c r="MEZ81" s="54"/>
      <c r="MFA81" s="54"/>
      <c r="MFB81" s="54"/>
      <c r="MFC81" s="54"/>
      <c r="MFD81" s="54"/>
      <c r="MFE81" s="54"/>
      <c r="MFF81" s="54"/>
      <c r="MFG81" s="54"/>
      <c r="MFH81" s="54"/>
      <c r="MFI81" s="54"/>
      <c r="MFJ81" s="54"/>
      <c r="MFK81" s="54"/>
      <c r="MFL81" s="54"/>
      <c r="MFM81" s="54"/>
      <c r="MFN81" s="54"/>
      <c r="MFO81" s="54"/>
      <c r="MFP81" s="54"/>
      <c r="MFQ81" s="54"/>
      <c r="MFR81" s="54"/>
      <c r="MFS81" s="54"/>
      <c r="MFT81" s="54"/>
      <c r="MFU81" s="54"/>
      <c r="MFV81" s="54"/>
      <c r="MFW81" s="54"/>
      <c r="MFX81" s="54"/>
      <c r="MFY81" s="54"/>
      <c r="MFZ81" s="54"/>
      <c r="MGA81" s="54"/>
      <c r="MGB81" s="54"/>
      <c r="MGC81" s="54"/>
      <c r="MGD81" s="54"/>
      <c r="MGE81" s="54"/>
      <c r="MGF81" s="54"/>
      <c r="MGG81" s="54"/>
      <c r="MGH81" s="54"/>
      <c r="MGI81" s="54"/>
      <c r="MGJ81" s="54"/>
      <c r="MGK81" s="54"/>
      <c r="MGL81" s="54"/>
      <c r="MGM81" s="54"/>
      <c r="MGN81" s="54"/>
      <c r="MGO81" s="54"/>
      <c r="MGP81" s="54"/>
      <c r="MGQ81" s="54"/>
      <c r="MGR81" s="54"/>
      <c r="MGS81" s="54"/>
      <c r="MGT81" s="54"/>
      <c r="MGU81" s="54"/>
      <c r="MGV81" s="54"/>
      <c r="MGW81" s="54"/>
      <c r="MGX81" s="54"/>
      <c r="MGY81" s="54"/>
      <c r="MGZ81" s="54"/>
      <c r="MHA81" s="54"/>
      <c r="MHB81" s="54"/>
      <c r="MHC81" s="54"/>
      <c r="MHD81" s="54"/>
      <c r="MHE81" s="54"/>
      <c r="MHF81" s="54"/>
      <c r="MHG81" s="54"/>
      <c r="MHH81" s="54"/>
      <c r="MHI81" s="54"/>
      <c r="MHJ81" s="54"/>
      <c r="MHK81" s="54"/>
      <c r="MHL81" s="54"/>
      <c r="MHM81" s="54"/>
      <c r="MHN81" s="54"/>
      <c r="MHO81" s="54"/>
      <c r="MHP81" s="54"/>
      <c r="MHQ81" s="54"/>
      <c r="MHR81" s="54"/>
      <c r="MHS81" s="54"/>
      <c r="MHT81" s="54"/>
      <c r="MHU81" s="54"/>
      <c r="MHV81" s="54"/>
      <c r="MHW81" s="54"/>
      <c r="MHX81" s="54"/>
      <c r="MHY81" s="54"/>
      <c r="MHZ81" s="54"/>
      <c r="MIA81" s="54"/>
      <c r="MIB81" s="54"/>
      <c r="MIC81" s="54"/>
      <c r="MID81" s="54"/>
      <c r="MIE81" s="54"/>
      <c r="MIF81" s="54"/>
      <c r="MIG81" s="54"/>
      <c r="MIH81" s="54"/>
      <c r="MII81" s="54"/>
      <c r="MIJ81" s="54"/>
      <c r="MIK81" s="54"/>
      <c r="MIL81" s="54"/>
      <c r="MIM81" s="54"/>
      <c r="MIN81" s="54"/>
      <c r="MIO81" s="54"/>
      <c r="MIP81" s="54"/>
      <c r="MIQ81" s="54"/>
      <c r="MIR81" s="54"/>
      <c r="MIS81" s="54"/>
      <c r="MIT81" s="54"/>
      <c r="MIU81" s="54"/>
      <c r="MIV81" s="54"/>
      <c r="MIW81" s="54"/>
      <c r="MIX81" s="54"/>
      <c r="MIY81" s="54"/>
      <c r="MIZ81" s="54"/>
      <c r="MJA81" s="54"/>
      <c r="MJB81" s="54"/>
      <c r="MJC81" s="54"/>
      <c r="MJD81" s="54"/>
      <c r="MJE81" s="54"/>
      <c r="MJF81" s="54"/>
      <c r="MJG81" s="54"/>
      <c r="MJH81" s="54"/>
      <c r="MJI81" s="54"/>
      <c r="MJJ81" s="54"/>
      <c r="MJK81" s="54"/>
      <c r="MJL81" s="54"/>
      <c r="MJM81" s="54"/>
      <c r="MJN81" s="54"/>
      <c r="MJO81" s="54"/>
      <c r="MJP81" s="54"/>
      <c r="MJQ81" s="54"/>
      <c r="MJR81" s="54"/>
      <c r="MJS81" s="54"/>
      <c r="MJT81" s="54"/>
      <c r="MJU81" s="54"/>
      <c r="MJV81" s="54"/>
      <c r="MJW81" s="54"/>
      <c r="MJX81" s="54"/>
      <c r="MJY81" s="54"/>
      <c r="MJZ81" s="54"/>
      <c r="MKA81" s="54"/>
      <c r="MKB81" s="54"/>
      <c r="MKC81" s="54"/>
      <c r="MKD81" s="54"/>
      <c r="MKE81" s="54"/>
      <c r="MKF81" s="54"/>
      <c r="MKG81" s="54"/>
      <c r="MKH81" s="54"/>
      <c r="MKI81" s="54"/>
      <c r="MKJ81" s="54"/>
      <c r="MKK81" s="54"/>
      <c r="MKL81" s="54"/>
      <c r="MKM81" s="54"/>
      <c r="MKN81" s="54"/>
      <c r="MKO81" s="54"/>
      <c r="MKP81" s="54"/>
      <c r="MKQ81" s="54"/>
      <c r="MKR81" s="54"/>
      <c r="MKS81" s="54"/>
      <c r="MKT81" s="54"/>
      <c r="MKU81" s="54"/>
      <c r="MKV81" s="54"/>
      <c r="MKW81" s="54"/>
      <c r="MKX81" s="54"/>
      <c r="MKY81" s="54"/>
      <c r="MKZ81" s="54"/>
      <c r="MLA81" s="54"/>
      <c r="MLB81" s="54"/>
      <c r="MLC81" s="54"/>
      <c r="MLD81" s="54"/>
      <c r="MLE81" s="54"/>
      <c r="MLF81" s="54"/>
      <c r="MLG81" s="54"/>
      <c r="MLH81" s="54"/>
      <c r="MLI81" s="54"/>
      <c r="MLJ81" s="54"/>
      <c r="MLK81" s="54"/>
      <c r="MLL81" s="54"/>
      <c r="MLM81" s="54"/>
      <c r="MLN81" s="54"/>
      <c r="MLO81" s="54"/>
      <c r="MLP81" s="54"/>
      <c r="MLQ81" s="54"/>
      <c r="MLR81" s="54"/>
      <c r="MLS81" s="54"/>
      <c r="MLT81" s="54"/>
      <c r="MLU81" s="54"/>
      <c r="MLV81" s="54"/>
      <c r="MLW81" s="54"/>
      <c r="MLX81" s="54"/>
      <c r="MLY81" s="54"/>
      <c r="MLZ81" s="54"/>
      <c r="MMA81" s="54"/>
      <c r="MMB81" s="54"/>
      <c r="MMC81" s="54"/>
      <c r="MMD81" s="54"/>
      <c r="MME81" s="54"/>
      <c r="MMF81" s="54"/>
      <c r="MMG81" s="54"/>
      <c r="MMH81" s="54"/>
      <c r="MMI81" s="54"/>
      <c r="MMJ81" s="54"/>
      <c r="MMK81" s="54"/>
      <c r="MML81" s="54"/>
      <c r="MMM81" s="54"/>
      <c r="MMN81" s="54"/>
      <c r="MMO81" s="54"/>
      <c r="MMP81" s="54"/>
      <c r="MMQ81" s="54"/>
      <c r="MMR81" s="54"/>
      <c r="MMS81" s="54"/>
      <c r="MMT81" s="54"/>
      <c r="MMU81" s="54"/>
      <c r="MMV81" s="54"/>
      <c r="MMW81" s="54"/>
      <c r="MMX81" s="54"/>
      <c r="MMY81" s="54"/>
      <c r="MMZ81" s="54"/>
      <c r="MNA81" s="54"/>
      <c r="MNB81" s="54"/>
      <c r="MNC81" s="54"/>
      <c r="MND81" s="54"/>
      <c r="MNE81" s="54"/>
      <c r="MNF81" s="54"/>
      <c r="MNG81" s="54"/>
      <c r="MNH81" s="54"/>
      <c r="MNI81" s="54"/>
      <c r="MNJ81" s="54"/>
      <c r="MNK81" s="54"/>
      <c r="MNL81" s="54"/>
      <c r="MNM81" s="54"/>
      <c r="MNN81" s="54"/>
      <c r="MNO81" s="54"/>
      <c r="MNP81" s="54"/>
      <c r="MNQ81" s="54"/>
      <c r="MNR81" s="54"/>
      <c r="MNS81" s="54"/>
      <c r="MNT81" s="54"/>
      <c r="MNU81" s="54"/>
      <c r="MNV81" s="54"/>
      <c r="MNW81" s="54"/>
      <c r="MNX81" s="54"/>
      <c r="MNY81" s="54"/>
      <c r="MNZ81" s="54"/>
      <c r="MOA81" s="54"/>
      <c r="MOB81" s="54"/>
      <c r="MOC81" s="54"/>
      <c r="MOD81" s="54"/>
      <c r="MOE81" s="54"/>
      <c r="MOF81" s="54"/>
      <c r="MOG81" s="54"/>
      <c r="MOH81" s="54"/>
      <c r="MOI81" s="54"/>
      <c r="MOJ81" s="54"/>
      <c r="MOK81" s="54"/>
      <c r="MOL81" s="54"/>
      <c r="MOM81" s="54"/>
      <c r="MON81" s="54"/>
      <c r="MOO81" s="54"/>
      <c r="MOP81" s="54"/>
      <c r="MOQ81" s="54"/>
      <c r="MOR81" s="54"/>
      <c r="MOS81" s="54"/>
      <c r="MOT81" s="54"/>
      <c r="MOU81" s="54"/>
      <c r="MOV81" s="54"/>
      <c r="MOW81" s="54"/>
      <c r="MOX81" s="54"/>
      <c r="MOY81" s="54"/>
      <c r="MOZ81" s="54"/>
      <c r="MPA81" s="54"/>
      <c r="MPB81" s="54"/>
      <c r="MPC81" s="54"/>
      <c r="MPD81" s="54"/>
      <c r="MPE81" s="54"/>
      <c r="MPF81" s="54"/>
      <c r="MPG81" s="54"/>
      <c r="MPH81" s="54"/>
      <c r="MPI81" s="54"/>
      <c r="MPJ81" s="54"/>
      <c r="MPK81" s="54"/>
      <c r="MPL81" s="54"/>
      <c r="MPM81" s="54"/>
      <c r="MPN81" s="54"/>
      <c r="MPO81" s="54"/>
      <c r="MPP81" s="54"/>
      <c r="MPQ81" s="54"/>
      <c r="MPR81" s="54"/>
      <c r="MPS81" s="54"/>
      <c r="MPT81" s="54"/>
      <c r="MPU81" s="54"/>
      <c r="MPV81" s="54"/>
      <c r="MPW81" s="54"/>
      <c r="MPX81" s="54"/>
      <c r="MPY81" s="54"/>
      <c r="MPZ81" s="54"/>
      <c r="MQA81" s="54"/>
      <c r="MQB81" s="54"/>
      <c r="MQC81" s="54"/>
      <c r="MQD81" s="54"/>
      <c r="MQE81" s="54"/>
      <c r="MQF81" s="54"/>
      <c r="MQG81" s="54"/>
      <c r="MQH81" s="54"/>
      <c r="MQI81" s="54"/>
      <c r="MQJ81" s="54"/>
      <c r="MQK81" s="54"/>
      <c r="MQL81" s="54"/>
      <c r="MQM81" s="54"/>
      <c r="MQN81" s="54"/>
      <c r="MQO81" s="54"/>
      <c r="MQP81" s="54"/>
      <c r="MQQ81" s="54"/>
      <c r="MQR81" s="54"/>
      <c r="MQS81" s="54"/>
      <c r="MQT81" s="54"/>
      <c r="MQU81" s="54"/>
      <c r="MQV81" s="54"/>
      <c r="MQW81" s="54"/>
      <c r="MQX81" s="54"/>
      <c r="MQY81" s="54"/>
      <c r="MQZ81" s="54"/>
      <c r="MRA81" s="54"/>
      <c r="MRB81" s="54"/>
      <c r="MRC81" s="54"/>
      <c r="MRD81" s="54"/>
      <c r="MRE81" s="54"/>
      <c r="MRF81" s="54"/>
      <c r="MRG81" s="54"/>
      <c r="MRH81" s="54"/>
      <c r="MRI81" s="54"/>
      <c r="MRJ81" s="54"/>
      <c r="MRK81" s="54"/>
      <c r="MRL81" s="54"/>
      <c r="MRM81" s="54"/>
      <c r="MRN81" s="54"/>
      <c r="MRO81" s="54"/>
      <c r="MRP81" s="54"/>
      <c r="MRQ81" s="54"/>
      <c r="MRR81" s="54"/>
      <c r="MRS81" s="54"/>
      <c r="MRT81" s="54"/>
      <c r="MRU81" s="54"/>
      <c r="MRV81" s="54"/>
      <c r="MRW81" s="54"/>
      <c r="MRX81" s="54"/>
      <c r="MRY81" s="54"/>
      <c r="MRZ81" s="54"/>
      <c r="MSA81" s="54"/>
      <c r="MSB81" s="54"/>
      <c r="MSC81" s="54"/>
      <c r="MSD81" s="54"/>
      <c r="MSE81" s="54"/>
      <c r="MSF81" s="54"/>
      <c r="MSG81" s="54"/>
      <c r="MSH81" s="54"/>
      <c r="MSI81" s="54"/>
      <c r="MSJ81" s="54"/>
      <c r="MSK81" s="54"/>
      <c r="MSL81" s="54"/>
      <c r="MSM81" s="54"/>
      <c r="MSN81" s="54"/>
      <c r="MSO81" s="54"/>
      <c r="MSP81" s="54"/>
      <c r="MSQ81" s="54"/>
      <c r="MSR81" s="54"/>
      <c r="MSS81" s="54"/>
      <c r="MST81" s="54"/>
      <c r="MSU81" s="54"/>
      <c r="MSV81" s="54"/>
      <c r="MSW81" s="54"/>
      <c r="MSX81" s="54"/>
      <c r="MSY81" s="54"/>
      <c r="MSZ81" s="54"/>
      <c r="MTA81" s="54"/>
      <c r="MTB81" s="54"/>
      <c r="MTC81" s="54"/>
      <c r="MTD81" s="54"/>
      <c r="MTE81" s="54"/>
      <c r="MTF81" s="54"/>
      <c r="MTG81" s="54"/>
      <c r="MTH81" s="54"/>
      <c r="MTI81" s="54"/>
      <c r="MTJ81" s="54"/>
      <c r="MTK81" s="54"/>
      <c r="MTL81" s="54"/>
      <c r="MTM81" s="54"/>
      <c r="MTN81" s="54"/>
      <c r="MTO81" s="54"/>
      <c r="MTP81" s="54"/>
      <c r="MTQ81" s="54"/>
      <c r="MTR81" s="54"/>
      <c r="MTS81" s="54"/>
      <c r="MTT81" s="54"/>
      <c r="MTU81" s="54"/>
      <c r="MTV81" s="54"/>
      <c r="MTW81" s="54"/>
      <c r="MTX81" s="54"/>
      <c r="MTY81" s="54"/>
      <c r="MTZ81" s="54"/>
      <c r="MUA81" s="54"/>
      <c r="MUB81" s="54"/>
      <c r="MUC81" s="54"/>
      <c r="MUD81" s="54"/>
      <c r="MUE81" s="54"/>
      <c r="MUF81" s="54"/>
      <c r="MUG81" s="54"/>
      <c r="MUH81" s="54"/>
      <c r="MUI81" s="54"/>
      <c r="MUJ81" s="54"/>
      <c r="MUK81" s="54"/>
      <c r="MUL81" s="54"/>
      <c r="MUM81" s="54"/>
      <c r="MUN81" s="54"/>
      <c r="MUO81" s="54"/>
      <c r="MUP81" s="54"/>
      <c r="MUQ81" s="54"/>
      <c r="MUR81" s="54"/>
      <c r="MUS81" s="54"/>
      <c r="MUT81" s="54"/>
      <c r="MUU81" s="54"/>
      <c r="MUV81" s="54"/>
      <c r="MUW81" s="54"/>
      <c r="MUX81" s="54"/>
      <c r="MUY81" s="54"/>
      <c r="MUZ81" s="54"/>
      <c r="MVA81" s="54"/>
      <c r="MVB81" s="54"/>
      <c r="MVC81" s="54"/>
      <c r="MVD81" s="54"/>
      <c r="MVE81" s="54"/>
      <c r="MVF81" s="54"/>
      <c r="MVG81" s="54"/>
      <c r="MVH81" s="54"/>
      <c r="MVI81" s="54"/>
      <c r="MVJ81" s="54"/>
      <c r="MVK81" s="54"/>
      <c r="MVL81" s="54"/>
      <c r="MVM81" s="54"/>
      <c r="MVN81" s="54"/>
      <c r="MVO81" s="54"/>
      <c r="MVP81" s="54"/>
      <c r="MVQ81" s="54"/>
      <c r="MVR81" s="54"/>
      <c r="MVS81" s="54"/>
      <c r="MVT81" s="54"/>
      <c r="MVU81" s="54"/>
      <c r="MVV81" s="54"/>
      <c r="MVW81" s="54"/>
      <c r="MVX81" s="54"/>
      <c r="MVY81" s="54"/>
      <c r="MVZ81" s="54"/>
      <c r="MWA81" s="54"/>
      <c r="MWB81" s="54"/>
      <c r="MWC81" s="54"/>
      <c r="MWD81" s="54"/>
      <c r="MWE81" s="54"/>
      <c r="MWF81" s="54"/>
      <c r="MWG81" s="54"/>
      <c r="MWH81" s="54"/>
      <c r="MWI81" s="54"/>
      <c r="MWJ81" s="54"/>
      <c r="MWK81" s="54"/>
      <c r="MWL81" s="54"/>
      <c r="MWM81" s="54"/>
      <c r="MWN81" s="54"/>
      <c r="MWO81" s="54"/>
      <c r="MWP81" s="54"/>
      <c r="MWQ81" s="54"/>
      <c r="MWR81" s="54"/>
      <c r="MWS81" s="54"/>
      <c r="MWT81" s="54"/>
      <c r="MWU81" s="54"/>
      <c r="MWV81" s="54"/>
      <c r="MWW81" s="54"/>
      <c r="MWX81" s="54"/>
      <c r="MWY81" s="54"/>
      <c r="MWZ81" s="54"/>
      <c r="MXA81" s="54"/>
      <c r="MXB81" s="54"/>
      <c r="MXC81" s="54"/>
      <c r="MXD81" s="54"/>
      <c r="MXE81" s="54"/>
      <c r="MXF81" s="54"/>
      <c r="MXG81" s="54"/>
      <c r="MXH81" s="54"/>
      <c r="MXI81" s="54"/>
      <c r="MXJ81" s="54"/>
      <c r="MXK81" s="54"/>
      <c r="MXL81" s="54"/>
      <c r="MXM81" s="54"/>
      <c r="MXN81" s="54"/>
      <c r="MXO81" s="54"/>
      <c r="MXP81" s="54"/>
      <c r="MXQ81" s="54"/>
      <c r="MXR81" s="54"/>
      <c r="MXS81" s="54"/>
      <c r="MXT81" s="54"/>
      <c r="MXU81" s="54"/>
      <c r="MXV81" s="54"/>
      <c r="MXW81" s="54"/>
      <c r="MXX81" s="54"/>
      <c r="MXY81" s="54"/>
      <c r="MXZ81" s="54"/>
      <c r="MYA81" s="54"/>
      <c r="MYB81" s="54"/>
      <c r="MYC81" s="54"/>
      <c r="MYD81" s="54"/>
      <c r="MYE81" s="54"/>
      <c r="MYF81" s="54"/>
      <c r="MYG81" s="54"/>
      <c r="MYH81" s="54"/>
      <c r="MYI81" s="54"/>
      <c r="MYJ81" s="54"/>
      <c r="MYK81" s="54"/>
      <c r="MYL81" s="54"/>
      <c r="MYM81" s="54"/>
      <c r="MYN81" s="54"/>
      <c r="MYO81" s="54"/>
      <c r="MYP81" s="54"/>
      <c r="MYQ81" s="54"/>
      <c r="MYR81" s="54"/>
      <c r="MYS81" s="54"/>
      <c r="MYT81" s="54"/>
      <c r="MYU81" s="54"/>
      <c r="MYV81" s="54"/>
      <c r="MYW81" s="54"/>
      <c r="MYX81" s="54"/>
      <c r="MYY81" s="54"/>
      <c r="MYZ81" s="54"/>
      <c r="MZA81" s="54"/>
      <c r="MZB81" s="54"/>
      <c r="MZC81" s="54"/>
      <c r="MZD81" s="54"/>
      <c r="MZE81" s="54"/>
      <c r="MZF81" s="54"/>
      <c r="MZG81" s="54"/>
      <c r="MZH81" s="54"/>
      <c r="MZI81" s="54"/>
      <c r="MZJ81" s="54"/>
      <c r="MZK81" s="54"/>
      <c r="MZL81" s="54"/>
      <c r="MZM81" s="54"/>
      <c r="MZN81" s="54"/>
      <c r="MZO81" s="54"/>
      <c r="MZP81" s="54"/>
      <c r="MZQ81" s="54"/>
      <c r="MZR81" s="54"/>
      <c r="MZS81" s="54"/>
      <c r="MZT81" s="54"/>
      <c r="MZU81" s="54"/>
      <c r="MZV81" s="54"/>
      <c r="MZW81" s="54"/>
      <c r="MZX81" s="54"/>
      <c r="MZY81" s="54"/>
      <c r="MZZ81" s="54"/>
      <c r="NAA81" s="54"/>
      <c r="NAB81" s="54"/>
      <c r="NAC81" s="54"/>
      <c r="NAD81" s="54"/>
      <c r="NAE81" s="54"/>
      <c r="NAF81" s="54"/>
      <c r="NAG81" s="54"/>
      <c r="NAH81" s="54"/>
      <c r="NAI81" s="54"/>
      <c r="NAJ81" s="54"/>
      <c r="NAK81" s="54"/>
      <c r="NAL81" s="54"/>
      <c r="NAM81" s="54"/>
      <c r="NAN81" s="54"/>
      <c r="NAO81" s="54"/>
      <c r="NAP81" s="54"/>
      <c r="NAQ81" s="54"/>
      <c r="NAR81" s="54"/>
      <c r="NAS81" s="54"/>
      <c r="NAT81" s="54"/>
      <c r="NAU81" s="54"/>
      <c r="NAV81" s="54"/>
      <c r="NAW81" s="54"/>
      <c r="NAX81" s="54"/>
      <c r="NAY81" s="54"/>
      <c r="NAZ81" s="54"/>
      <c r="NBA81" s="54"/>
      <c r="NBB81" s="54"/>
      <c r="NBC81" s="54"/>
      <c r="NBD81" s="54"/>
      <c r="NBE81" s="54"/>
      <c r="NBF81" s="54"/>
      <c r="NBG81" s="54"/>
      <c r="NBH81" s="54"/>
      <c r="NBI81" s="54"/>
      <c r="NBJ81" s="54"/>
      <c r="NBK81" s="54"/>
      <c r="NBL81" s="54"/>
      <c r="NBM81" s="54"/>
      <c r="NBN81" s="54"/>
      <c r="NBO81" s="54"/>
      <c r="NBP81" s="54"/>
      <c r="NBQ81" s="54"/>
      <c r="NBR81" s="54"/>
      <c r="NBS81" s="54"/>
      <c r="NBT81" s="54"/>
      <c r="NBU81" s="54"/>
      <c r="NBV81" s="54"/>
      <c r="NBW81" s="54"/>
      <c r="NBX81" s="54"/>
      <c r="NBY81" s="54"/>
      <c r="NBZ81" s="54"/>
      <c r="NCA81" s="54"/>
      <c r="NCB81" s="54"/>
      <c r="NCC81" s="54"/>
      <c r="NCD81" s="54"/>
      <c r="NCE81" s="54"/>
      <c r="NCF81" s="54"/>
      <c r="NCG81" s="54"/>
      <c r="NCH81" s="54"/>
      <c r="NCI81" s="54"/>
      <c r="NCJ81" s="54"/>
      <c r="NCK81" s="54"/>
      <c r="NCL81" s="54"/>
      <c r="NCM81" s="54"/>
      <c r="NCN81" s="54"/>
      <c r="NCO81" s="54"/>
      <c r="NCP81" s="54"/>
      <c r="NCQ81" s="54"/>
      <c r="NCR81" s="54"/>
      <c r="NCS81" s="54"/>
      <c r="NCT81" s="54"/>
      <c r="NCU81" s="54"/>
      <c r="NCV81" s="54"/>
      <c r="NCW81" s="54"/>
      <c r="NCX81" s="54"/>
      <c r="NCY81" s="54"/>
      <c r="NCZ81" s="54"/>
      <c r="NDA81" s="54"/>
      <c r="NDB81" s="54"/>
      <c r="NDC81" s="54"/>
      <c r="NDD81" s="54"/>
      <c r="NDE81" s="54"/>
      <c r="NDF81" s="54"/>
      <c r="NDG81" s="54"/>
      <c r="NDH81" s="54"/>
      <c r="NDI81" s="54"/>
      <c r="NDJ81" s="54"/>
      <c r="NDK81" s="54"/>
      <c r="NDL81" s="54"/>
      <c r="NDM81" s="54"/>
      <c r="NDN81" s="54"/>
      <c r="NDO81" s="54"/>
      <c r="NDP81" s="54"/>
      <c r="NDQ81" s="54"/>
      <c r="NDR81" s="54"/>
      <c r="NDS81" s="54"/>
      <c r="NDT81" s="54"/>
      <c r="NDU81" s="54"/>
      <c r="NDV81" s="54"/>
      <c r="NDW81" s="54"/>
      <c r="NDX81" s="54"/>
      <c r="NDY81" s="54"/>
      <c r="NDZ81" s="54"/>
      <c r="NEA81" s="54"/>
      <c r="NEB81" s="54"/>
      <c r="NEC81" s="54"/>
      <c r="NED81" s="54"/>
      <c r="NEE81" s="54"/>
      <c r="NEF81" s="54"/>
      <c r="NEG81" s="54"/>
      <c r="NEH81" s="54"/>
      <c r="NEI81" s="54"/>
      <c r="NEJ81" s="54"/>
      <c r="NEK81" s="54"/>
      <c r="NEL81" s="54"/>
      <c r="NEM81" s="54"/>
      <c r="NEN81" s="54"/>
      <c r="NEO81" s="54"/>
      <c r="NEP81" s="54"/>
      <c r="NEQ81" s="54"/>
      <c r="NER81" s="54"/>
      <c r="NES81" s="54"/>
      <c r="NET81" s="54"/>
      <c r="NEU81" s="54"/>
      <c r="NEV81" s="54"/>
      <c r="NEW81" s="54"/>
      <c r="NEX81" s="54"/>
      <c r="NEY81" s="54"/>
      <c r="NEZ81" s="54"/>
      <c r="NFA81" s="54"/>
      <c r="NFB81" s="54"/>
      <c r="NFC81" s="54"/>
      <c r="NFD81" s="54"/>
      <c r="NFE81" s="54"/>
      <c r="NFF81" s="54"/>
      <c r="NFG81" s="54"/>
      <c r="NFH81" s="54"/>
      <c r="NFI81" s="54"/>
      <c r="NFJ81" s="54"/>
      <c r="NFK81" s="54"/>
      <c r="NFL81" s="54"/>
      <c r="NFM81" s="54"/>
      <c r="NFN81" s="54"/>
      <c r="NFO81" s="54"/>
      <c r="NFP81" s="54"/>
      <c r="NFQ81" s="54"/>
      <c r="NFR81" s="54"/>
      <c r="NFS81" s="54"/>
      <c r="NFT81" s="54"/>
      <c r="NFU81" s="54"/>
      <c r="NFV81" s="54"/>
      <c r="NFW81" s="54"/>
      <c r="NFX81" s="54"/>
      <c r="NFY81" s="54"/>
      <c r="NFZ81" s="54"/>
      <c r="NGA81" s="54"/>
      <c r="NGB81" s="54"/>
      <c r="NGC81" s="54"/>
      <c r="NGD81" s="54"/>
      <c r="NGE81" s="54"/>
      <c r="NGF81" s="54"/>
      <c r="NGG81" s="54"/>
      <c r="NGH81" s="54"/>
      <c r="NGI81" s="54"/>
      <c r="NGJ81" s="54"/>
      <c r="NGK81" s="54"/>
      <c r="NGL81" s="54"/>
      <c r="NGM81" s="54"/>
      <c r="NGN81" s="54"/>
      <c r="NGO81" s="54"/>
      <c r="NGP81" s="54"/>
      <c r="NGQ81" s="54"/>
      <c r="NGR81" s="54"/>
      <c r="NGS81" s="54"/>
      <c r="NGT81" s="54"/>
      <c r="NGU81" s="54"/>
      <c r="NGV81" s="54"/>
      <c r="NGW81" s="54"/>
      <c r="NGX81" s="54"/>
      <c r="NGY81" s="54"/>
      <c r="NGZ81" s="54"/>
      <c r="NHA81" s="54"/>
      <c r="NHB81" s="54"/>
      <c r="NHC81" s="54"/>
      <c r="NHD81" s="54"/>
      <c r="NHE81" s="54"/>
      <c r="NHF81" s="54"/>
      <c r="NHG81" s="54"/>
      <c r="NHH81" s="54"/>
      <c r="NHI81" s="54"/>
      <c r="NHJ81" s="54"/>
      <c r="NHK81" s="54"/>
      <c r="NHL81" s="54"/>
      <c r="NHM81" s="54"/>
      <c r="NHN81" s="54"/>
      <c r="NHO81" s="54"/>
      <c r="NHP81" s="54"/>
      <c r="NHQ81" s="54"/>
      <c r="NHR81" s="54"/>
      <c r="NHS81" s="54"/>
      <c r="NHT81" s="54"/>
      <c r="NHU81" s="54"/>
      <c r="NHV81" s="54"/>
      <c r="NHW81" s="54"/>
      <c r="NHX81" s="54"/>
      <c r="NHY81" s="54"/>
      <c r="NHZ81" s="54"/>
      <c r="NIA81" s="54"/>
      <c r="NIB81" s="54"/>
      <c r="NIC81" s="54"/>
      <c r="NID81" s="54"/>
      <c r="NIE81" s="54"/>
      <c r="NIF81" s="54"/>
      <c r="NIG81" s="54"/>
      <c r="NIH81" s="54"/>
      <c r="NII81" s="54"/>
      <c r="NIJ81" s="54"/>
      <c r="NIK81" s="54"/>
      <c r="NIL81" s="54"/>
      <c r="NIM81" s="54"/>
      <c r="NIN81" s="54"/>
      <c r="NIO81" s="54"/>
      <c r="NIP81" s="54"/>
      <c r="NIQ81" s="54"/>
      <c r="NIR81" s="54"/>
      <c r="NIS81" s="54"/>
      <c r="NIT81" s="54"/>
      <c r="NIU81" s="54"/>
      <c r="NIV81" s="54"/>
      <c r="NIW81" s="54"/>
      <c r="NIX81" s="54"/>
      <c r="NIY81" s="54"/>
      <c r="NIZ81" s="54"/>
      <c r="NJA81" s="54"/>
      <c r="NJB81" s="54"/>
      <c r="NJC81" s="54"/>
      <c r="NJD81" s="54"/>
      <c r="NJE81" s="54"/>
      <c r="NJF81" s="54"/>
      <c r="NJG81" s="54"/>
      <c r="NJH81" s="54"/>
      <c r="NJI81" s="54"/>
      <c r="NJJ81" s="54"/>
      <c r="NJK81" s="54"/>
      <c r="NJL81" s="54"/>
      <c r="NJM81" s="54"/>
      <c r="NJN81" s="54"/>
      <c r="NJO81" s="54"/>
      <c r="NJP81" s="54"/>
      <c r="NJQ81" s="54"/>
      <c r="NJR81" s="54"/>
      <c r="NJS81" s="54"/>
      <c r="NJT81" s="54"/>
      <c r="NJU81" s="54"/>
      <c r="NJV81" s="54"/>
      <c r="NJW81" s="54"/>
      <c r="NJX81" s="54"/>
      <c r="NJY81" s="54"/>
      <c r="NJZ81" s="54"/>
      <c r="NKA81" s="54"/>
      <c r="NKB81" s="54"/>
      <c r="NKC81" s="54"/>
      <c r="NKD81" s="54"/>
      <c r="NKE81" s="54"/>
      <c r="NKF81" s="54"/>
      <c r="NKG81" s="54"/>
      <c r="NKH81" s="54"/>
      <c r="NKI81" s="54"/>
      <c r="NKJ81" s="54"/>
      <c r="NKK81" s="54"/>
      <c r="NKL81" s="54"/>
      <c r="NKM81" s="54"/>
      <c r="NKN81" s="54"/>
      <c r="NKO81" s="54"/>
      <c r="NKP81" s="54"/>
      <c r="NKQ81" s="54"/>
      <c r="NKR81" s="54"/>
      <c r="NKS81" s="54"/>
      <c r="NKT81" s="54"/>
      <c r="NKU81" s="54"/>
      <c r="NKV81" s="54"/>
      <c r="NKW81" s="54"/>
      <c r="NKX81" s="54"/>
      <c r="NKY81" s="54"/>
      <c r="NKZ81" s="54"/>
      <c r="NLA81" s="54"/>
      <c r="NLB81" s="54"/>
      <c r="NLC81" s="54"/>
      <c r="NLD81" s="54"/>
      <c r="NLE81" s="54"/>
      <c r="NLF81" s="54"/>
      <c r="NLG81" s="54"/>
      <c r="NLH81" s="54"/>
      <c r="NLI81" s="54"/>
      <c r="NLJ81" s="54"/>
      <c r="NLK81" s="54"/>
      <c r="NLL81" s="54"/>
      <c r="NLM81" s="54"/>
      <c r="NLN81" s="54"/>
      <c r="NLO81" s="54"/>
      <c r="NLP81" s="54"/>
      <c r="NLQ81" s="54"/>
      <c r="NLR81" s="54"/>
      <c r="NLS81" s="54"/>
      <c r="NLT81" s="54"/>
      <c r="NLU81" s="54"/>
      <c r="NLV81" s="54"/>
      <c r="NLW81" s="54"/>
      <c r="NLX81" s="54"/>
      <c r="NLY81" s="54"/>
      <c r="NLZ81" s="54"/>
      <c r="NMA81" s="54"/>
      <c r="NMB81" s="54"/>
      <c r="NMC81" s="54"/>
      <c r="NMD81" s="54"/>
      <c r="NME81" s="54"/>
      <c r="NMF81" s="54"/>
      <c r="NMG81" s="54"/>
      <c r="NMH81" s="54"/>
      <c r="NMI81" s="54"/>
      <c r="NMJ81" s="54"/>
      <c r="NMK81" s="54"/>
      <c r="NML81" s="54"/>
      <c r="NMM81" s="54"/>
      <c r="NMN81" s="54"/>
      <c r="NMO81" s="54"/>
      <c r="NMP81" s="54"/>
      <c r="NMQ81" s="54"/>
      <c r="NMR81" s="54"/>
      <c r="NMS81" s="54"/>
      <c r="NMT81" s="54"/>
      <c r="NMU81" s="54"/>
      <c r="NMV81" s="54"/>
      <c r="NMW81" s="54"/>
      <c r="NMX81" s="54"/>
      <c r="NMY81" s="54"/>
      <c r="NMZ81" s="54"/>
      <c r="NNA81" s="54"/>
      <c r="NNB81" s="54"/>
      <c r="NNC81" s="54"/>
      <c r="NND81" s="54"/>
      <c r="NNE81" s="54"/>
      <c r="NNF81" s="54"/>
      <c r="NNG81" s="54"/>
      <c r="NNH81" s="54"/>
      <c r="NNI81" s="54"/>
      <c r="NNJ81" s="54"/>
      <c r="NNK81" s="54"/>
      <c r="NNL81" s="54"/>
      <c r="NNM81" s="54"/>
      <c r="NNN81" s="54"/>
      <c r="NNO81" s="54"/>
      <c r="NNP81" s="54"/>
      <c r="NNQ81" s="54"/>
      <c r="NNR81" s="54"/>
      <c r="NNS81" s="54"/>
      <c r="NNT81" s="54"/>
      <c r="NNU81" s="54"/>
      <c r="NNV81" s="54"/>
      <c r="NNW81" s="54"/>
      <c r="NNX81" s="54"/>
      <c r="NNY81" s="54"/>
      <c r="NNZ81" s="54"/>
      <c r="NOA81" s="54"/>
      <c r="NOB81" s="54"/>
      <c r="NOC81" s="54"/>
      <c r="NOD81" s="54"/>
      <c r="NOE81" s="54"/>
      <c r="NOF81" s="54"/>
      <c r="NOG81" s="54"/>
      <c r="NOH81" s="54"/>
      <c r="NOI81" s="54"/>
      <c r="NOJ81" s="54"/>
      <c r="NOK81" s="54"/>
      <c r="NOL81" s="54"/>
      <c r="NOM81" s="54"/>
      <c r="NON81" s="54"/>
      <c r="NOO81" s="54"/>
      <c r="NOP81" s="54"/>
      <c r="NOQ81" s="54"/>
      <c r="NOR81" s="54"/>
      <c r="NOS81" s="54"/>
      <c r="NOT81" s="54"/>
      <c r="NOU81" s="54"/>
      <c r="NOV81" s="54"/>
      <c r="NOW81" s="54"/>
      <c r="NOX81" s="54"/>
      <c r="NOY81" s="54"/>
      <c r="NOZ81" s="54"/>
      <c r="NPA81" s="54"/>
      <c r="NPB81" s="54"/>
      <c r="NPC81" s="54"/>
      <c r="NPD81" s="54"/>
      <c r="NPE81" s="54"/>
      <c r="NPF81" s="54"/>
      <c r="NPG81" s="54"/>
      <c r="NPH81" s="54"/>
      <c r="NPI81" s="54"/>
      <c r="NPJ81" s="54"/>
      <c r="NPK81" s="54"/>
      <c r="NPL81" s="54"/>
      <c r="NPM81" s="54"/>
      <c r="NPN81" s="54"/>
      <c r="NPO81" s="54"/>
      <c r="NPP81" s="54"/>
      <c r="NPQ81" s="54"/>
      <c r="NPR81" s="54"/>
      <c r="NPS81" s="54"/>
      <c r="NPT81" s="54"/>
      <c r="NPU81" s="54"/>
      <c r="NPV81" s="54"/>
      <c r="NPW81" s="54"/>
      <c r="NPX81" s="54"/>
      <c r="NPY81" s="54"/>
      <c r="NPZ81" s="54"/>
      <c r="NQA81" s="54"/>
      <c r="NQB81" s="54"/>
      <c r="NQC81" s="54"/>
      <c r="NQD81" s="54"/>
      <c r="NQE81" s="54"/>
      <c r="NQF81" s="54"/>
      <c r="NQG81" s="54"/>
      <c r="NQH81" s="54"/>
      <c r="NQI81" s="54"/>
      <c r="NQJ81" s="54"/>
      <c r="NQK81" s="54"/>
      <c r="NQL81" s="54"/>
      <c r="NQM81" s="54"/>
      <c r="NQN81" s="54"/>
      <c r="NQO81" s="54"/>
      <c r="NQP81" s="54"/>
      <c r="NQQ81" s="54"/>
      <c r="NQR81" s="54"/>
      <c r="NQS81" s="54"/>
      <c r="NQT81" s="54"/>
      <c r="NQU81" s="54"/>
      <c r="NQV81" s="54"/>
      <c r="NQW81" s="54"/>
      <c r="NQX81" s="54"/>
      <c r="NQY81" s="54"/>
      <c r="NQZ81" s="54"/>
      <c r="NRA81" s="54"/>
      <c r="NRB81" s="54"/>
      <c r="NRC81" s="54"/>
      <c r="NRD81" s="54"/>
      <c r="NRE81" s="54"/>
      <c r="NRF81" s="54"/>
      <c r="NRG81" s="54"/>
      <c r="NRH81" s="54"/>
      <c r="NRI81" s="54"/>
      <c r="NRJ81" s="54"/>
      <c r="NRK81" s="54"/>
      <c r="NRL81" s="54"/>
      <c r="NRM81" s="54"/>
      <c r="NRN81" s="54"/>
      <c r="NRO81" s="54"/>
      <c r="NRP81" s="54"/>
      <c r="NRQ81" s="54"/>
      <c r="NRR81" s="54"/>
      <c r="NRS81" s="54"/>
      <c r="NRT81" s="54"/>
      <c r="NRU81" s="54"/>
      <c r="NRV81" s="54"/>
      <c r="NRW81" s="54"/>
      <c r="NRX81" s="54"/>
      <c r="NRY81" s="54"/>
      <c r="NRZ81" s="54"/>
      <c r="NSA81" s="54"/>
      <c r="NSB81" s="54"/>
      <c r="NSC81" s="54"/>
      <c r="NSD81" s="54"/>
      <c r="NSE81" s="54"/>
      <c r="NSF81" s="54"/>
      <c r="NSG81" s="54"/>
      <c r="NSH81" s="54"/>
      <c r="NSI81" s="54"/>
      <c r="NSJ81" s="54"/>
      <c r="NSK81" s="54"/>
      <c r="NSL81" s="54"/>
      <c r="NSM81" s="54"/>
      <c r="NSN81" s="54"/>
      <c r="NSO81" s="54"/>
      <c r="NSP81" s="54"/>
      <c r="NSQ81" s="54"/>
      <c r="NSR81" s="54"/>
      <c r="NSS81" s="54"/>
      <c r="NST81" s="54"/>
      <c r="NSU81" s="54"/>
      <c r="NSV81" s="54"/>
      <c r="NSW81" s="54"/>
      <c r="NSX81" s="54"/>
      <c r="NSY81" s="54"/>
      <c r="NSZ81" s="54"/>
      <c r="NTA81" s="54"/>
      <c r="NTB81" s="54"/>
      <c r="NTC81" s="54"/>
      <c r="NTD81" s="54"/>
      <c r="NTE81" s="54"/>
      <c r="NTF81" s="54"/>
      <c r="NTG81" s="54"/>
      <c r="NTH81" s="54"/>
      <c r="NTI81" s="54"/>
      <c r="NTJ81" s="54"/>
      <c r="NTK81" s="54"/>
      <c r="NTL81" s="54"/>
      <c r="NTM81" s="54"/>
      <c r="NTN81" s="54"/>
      <c r="NTO81" s="54"/>
      <c r="NTP81" s="54"/>
      <c r="NTQ81" s="54"/>
      <c r="NTR81" s="54"/>
      <c r="NTS81" s="54"/>
      <c r="NTT81" s="54"/>
      <c r="NTU81" s="54"/>
      <c r="NTV81" s="54"/>
      <c r="NTW81" s="54"/>
      <c r="NTX81" s="54"/>
      <c r="NTY81" s="54"/>
      <c r="NTZ81" s="54"/>
      <c r="NUA81" s="54"/>
      <c r="NUB81" s="54"/>
      <c r="NUC81" s="54"/>
      <c r="NUD81" s="54"/>
      <c r="NUE81" s="54"/>
      <c r="NUF81" s="54"/>
      <c r="NUG81" s="54"/>
      <c r="NUH81" s="54"/>
      <c r="NUI81" s="54"/>
      <c r="NUJ81" s="54"/>
      <c r="NUK81" s="54"/>
      <c r="NUL81" s="54"/>
      <c r="NUM81" s="54"/>
      <c r="NUN81" s="54"/>
      <c r="NUO81" s="54"/>
      <c r="NUP81" s="54"/>
      <c r="NUQ81" s="54"/>
      <c r="NUR81" s="54"/>
      <c r="NUS81" s="54"/>
      <c r="NUT81" s="54"/>
      <c r="NUU81" s="54"/>
      <c r="NUV81" s="54"/>
      <c r="NUW81" s="54"/>
      <c r="NUX81" s="54"/>
      <c r="NUY81" s="54"/>
      <c r="NUZ81" s="54"/>
      <c r="NVA81" s="54"/>
      <c r="NVB81" s="54"/>
      <c r="NVC81" s="54"/>
      <c r="NVD81" s="54"/>
      <c r="NVE81" s="54"/>
      <c r="NVF81" s="54"/>
      <c r="NVG81" s="54"/>
      <c r="NVH81" s="54"/>
      <c r="NVI81" s="54"/>
      <c r="NVJ81" s="54"/>
      <c r="NVK81" s="54"/>
      <c r="NVL81" s="54"/>
      <c r="NVM81" s="54"/>
      <c r="NVN81" s="54"/>
      <c r="NVO81" s="54"/>
      <c r="NVP81" s="54"/>
      <c r="NVQ81" s="54"/>
      <c r="NVR81" s="54"/>
      <c r="NVS81" s="54"/>
      <c r="NVT81" s="54"/>
      <c r="NVU81" s="54"/>
      <c r="NVV81" s="54"/>
      <c r="NVW81" s="54"/>
      <c r="NVX81" s="54"/>
      <c r="NVY81" s="54"/>
      <c r="NVZ81" s="54"/>
      <c r="NWA81" s="54"/>
      <c r="NWB81" s="54"/>
      <c r="NWC81" s="54"/>
      <c r="NWD81" s="54"/>
      <c r="NWE81" s="54"/>
      <c r="NWF81" s="54"/>
      <c r="NWG81" s="54"/>
      <c r="NWH81" s="54"/>
      <c r="NWI81" s="54"/>
      <c r="NWJ81" s="54"/>
      <c r="NWK81" s="54"/>
      <c r="NWL81" s="54"/>
      <c r="NWM81" s="54"/>
      <c r="NWN81" s="54"/>
      <c r="NWO81" s="54"/>
      <c r="NWP81" s="54"/>
      <c r="NWQ81" s="54"/>
      <c r="NWR81" s="54"/>
      <c r="NWS81" s="54"/>
      <c r="NWT81" s="54"/>
      <c r="NWU81" s="54"/>
      <c r="NWV81" s="54"/>
      <c r="NWW81" s="54"/>
      <c r="NWX81" s="54"/>
      <c r="NWY81" s="54"/>
      <c r="NWZ81" s="54"/>
      <c r="NXA81" s="54"/>
      <c r="NXB81" s="54"/>
      <c r="NXC81" s="54"/>
      <c r="NXD81" s="54"/>
      <c r="NXE81" s="54"/>
      <c r="NXF81" s="54"/>
      <c r="NXG81" s="54"/>
      <c r="NXH81" s="54"/>
      <c r="NXI81" s="54"/>
      <c r="NXJ81" s="54"/>
      <c r="NXK81" s="54"/>
      <c r="NXL81" s="54"/>
      <c r="NXM81" s="54"/>
      <c r="NXN81" s="54"/>
      <c r="NXO81" s="54"/>
      <c r="NXP81" s="54"/>
      <c r="NXQ81" s="54"/>
      <c r="NXR81" s="54"/>
      <c r="NXS81" s="54"/>
      <c r="NXT81" s="54"/>
      <c r="NXU81" s="54"/>
      <c r="NXV81" s="54"/>
      <c r="NXW81" s="54"/>
      <c r="NXX81" s="54"/>
      <c r="NXY81" s="54"/>
      <c r="NXZ81" s="54"/>
      <c r="NYA81" s="54"/>
      <c r="NYB81" s="54"/>
      <c r="NYC81" s="54"/>
      <c r="NYD81" s="54"/>
      <c r="NYE81" s="54"/>
      <c r="NYF81" s="54"/>
      <c r="NYG81" s="54"/>
      <c r="NYH81" s="54"/>
      <c r="NYI81" s="54"/>
      <c r="NYJ81" s="54"/>
      <c r="NYK81" s="54"/>
      <c r="NYL81" s="54"/>
      <c r="NYM81" s="54"/>
      <c r="NYN81" s="54"/>
      <c r="NYO81" s="54"/>
      <c r="NYP81" s="54"/>
      <c r="NYQ81" s="54"/>
      <c r="NYR81" s="54"/>
      <c r="NYS81" s="54"/>
      <c r="NYT81" s="54"/>
      <c r="NYU81" s="54"/>
      <c r="NYV81" s="54"/>
      <c r="NYW81" s="54"/>
      <c r="NYX81" s="54"/>
      <c r="NYY81" s="54"/>
      <c r="NYZ81" s="54"/>
      <c r="NZA81" s="54"/>
      <c r="NZB81" s="54"/>
      <c r="NZC81" s="54"/>
      <c r="NZD81" s="54"/>
      <c r="NZE81" s="54"/>
      <c r="NZF81" s="54"/>
      <c r="NZG81" s="54"/>
      <c r="NZH81" s="54"/>
      <c r="NZI81" s="54"/>
      <c r="NZJ81" s="54"/>
      <c r="NZK81" s="54"/>
      <c r="NZL81" s="54"/>
      <c r="NZM81" s="54"/>
      <c r="NZN81" s="54"/>
      <c r="NZO81" s="54"/>
      <c r="NZP81" s="54"/>
      <c r="NZQ81" s="54"/>
      <c r="NZR81" s="54"/>
      <c r="NZS81" s="54"/>
      <c r="NZT81" s="54"/>
      <c r="NZU81" s="54"/>
      <c r="NZV81" s="54"/>
      <c r="NZW81" s="54"/>
      <c r="NZX81" s="54"/>
      <c r="NZY81" s="54"/>
      <c r="NZZ81" s="54"/>
      <c r="OAA81" s="54"/>
      <c r="OAB81" s="54"/>
      <c r="OAC81" s="54"/>
      <c r="OAD81" s="54"/>
      <c r="OAE81" s="54"/>
      <c r="OAF81" s="54"/>
      <c r="OAG81" s="54"/>
      <c r="OAH81" s="54"/>
      <c r="OAI81" s="54"/>
      <c r="OAJ81" s="54"/>
      <c r="OAK81" s="54"/>
      <c r="OAL81" s="54"/>
      <c r="OAM81" s="54"/>
      <c r="OAN81" s="54"/>
      <c r="OAO81" s="54"/>
      <c r="OAP81" s="54"/>
      <c r="OAQ81" s="54"/>
      <c r="OAR81" s="54"/>
      <c r="OAS81" s="54"/>
      <c r="OAT81" s="54"/>
      <c r="OAU81" s="54"/>
      <c r="OAV81" s="54"/>
      <c r="OAW81" s="54"/>
      <c r="OAX81" s="54"/>
      <c r="OAY81" s="54"/>
      <c r="OAZ81" s="54"/>
      <c r="OBA81" s="54"/>
      <c r="OBB81" s="54"/>
      <c r="OBC81" s="54"/>
      <c r="OBD81" s="54"/>
      <c r="OBE81" s="54"/>
      <c r="OBF81" s="54"/>
      <c r="OBG81" s="54"/>
      <c r="OBH81" s="54"/>
      <c r="OBI81" s="54"/>
      <c r="OBJ81" s="54"/>
      <c r="OBK81" s="54"/>
      <c r="OBL81" s="54"/>
      <c r="OBM81" s="54"/>
      <c r="OBN81" s="54"/>
      <c r="OBO81" s="54"/>
      <c r="OBP81" s="54"/>
      <c r="OBQ81" s="54"/>
      <c r="OBR81" s="54"/>
      <c r="OBS81" s="54"/>
      <c r="OBT81" s="54"/>
      <c r="OBU81" s="54"/>
      <c r="OBV81" s="54"/>
      <c r="OBW81" s="54"/>
      <c r="OBX81" s="54"/>
      <c r="OBY81" s="54"/>
      <c r="OBZ81" s="54"/>
      <c r="OCA81" s="54"/>
      <c r="OCB81" s="54"/>
      <c r="OCC81" s="54"/>
      <c r="OCD81" s="54"/>
      <c r="OCE81" s="54"/>
      <c r="OCF81" s="54"/>
      <c r="OCG81" s="54"/>
      <c r="OCH81" s="54"/>
      <c r="OCI81" s="54"/>
      <c r="OCJ81" s="54"/>
      <c r="OCK81" s="54"/>
      <c r="OCL81" s="54"/>
      <c r="OCM81" s="54"/>
      <c r="OCN81" s="54"/>
      <c r="OCO81" s="54"/>
      <c r="OCP81" s="54"/>
      <c r="OCQ81" s="54"/>
      <c r="OCR81" s="54"/>
      <c r="OCS81" s="54"/>
      <c r="OCT81" s="54"/>
      <c r="OCU81" s="54"/>
      <c r="OCV81" s="54"/>
      <c r="OCW81" s="54"/>
      <c r="OCX81" s="54"/>
      <c r="OCY81" s="54"/>
      <c r="OCZ81" s="54"/>
      <c r="ODA81" s="54"/>
      <c r="ODB81" s="54"/>
      <c r="ODC81" s="54"/>
      <c r="ODD81" s="54"/>
      <c r="ODE81" s="54"/>
      <c r="ODF81" s="54"/>
      <c r="ODG81" s="54"/>
      <c r="ODH81" s="54"/>
      <c r="ODI81" s="54"/>
      <c r="ODJ81" s="54"/>
      <c r="ODK81" s="54"/>
      <c r="ODL81" s="54"/>
      <c r="ODM81" s="54"/>
      <c r="ODN81" s="54"/>
      <c r="ODO81" s="54"/>
      <c r="ODP81" s="54"/>
      <c r="ODQ81" s="54"/>
      <c r="ODR81" s="54"/>
      <c r="ODS81" s="54"/>
      <c r="ODT81" s="54"/>
      <c r="ODU81" s="54"/>
      <c r="ODV81" s="54"/>
      <c r="ODW81" s="54"/>
      <c r="ODX81" s="54"/>
      <c r="ODY81" s="54"/>
      <c r="ODZ81" s="54"/>
      <c r="OEA81" s="54"/>
      <c r="OEB81" s="54"/>
      <c r="OEC81" s="54"/>
      <c r="OED81" s="54"/>
      <c r="OEE81" s="54"/>
      <c r="OEF81" s="54"/>
      <c r="OEG81" s="54"/>
      <c r="OEH81" s="54"/>
      <c r="OEI81" s="54"/>
      <c r="OEJ81" s="54"/>
      <c r="OEK81" s="54"/>
      <c r="OEL81" s="54"/>
      <c r="OEM81" s="54"/>
      <c r="OEN81" s="54"/>
      <c r="OEO81" s="54"/>
      <c r="OEP81" s="54"/>
      <c r="OEQ81" s="54"/>
      <c r="OER81" s="54"/>
      <c r="OES81" s="54"/>
      <c r="OET81" s="54"/>
      <c r="OEU81" s="54"/>
      <c r="OEV81" s="54"/>
      <c r="OEW81" s="54"/>
      <c r="OEX81" s="54"/>
      <c r="OEY81" s="54"/>
      <c r="OEZ81" s="54"/>
      <c r="OFA81" s="54"/>
      <c r="OFB81" s="54"/>
      <c r="OFC81" s="54"/>
      <c r="OFD81" s="54"/>
      <c r="OFE81" s="54"/>
      <c r="OFF81" s="54"/>
      <c r="OFG81" s="54"/>
      <c r="OFH81" s="54"/>
      <c r="OFI81" s="54"/>
      <c r="OFJ81" s="54"/>
      <c r="OFK81" s="54"/>
      <c r="OFL81" s="54"/>
      <c r="OFM81" s="54"/>
      <c r="OFN81" s="54"/>
      <c r="OFO81" s="54"/>
      <c r="OFP81" s="54"/>
      <c r="OFQ81" s="54"/>
      <c r="OFR81" s="54"/>
      <c r="OFS81" s="54"/>
      <c r="OFT81" s="54"/>
      <c r="OFU81" s="54"/>
      <c r="OFV81" s="54"/>
      <c r="OFW81" s="54"/>
      <c r="OFX81" s="54"/>
      <c r="OFY81" s="54"/>
      <c r="OFZ81" s="54"/>
      <c r="OGA81" s="54"/>
      <c r="OGB81" s="54"/>
      <c r="OGC81" s="54"/>
      <c r="OGD81" s="54"/>
      <c r="OGE81" s="54"/>
      <c r="OGF81" s="54"/>
      <c r="OGG81" s="54"/>
      <c r="OGH81" s="54"/>
      <c r="OGI81" s="54"/>
      <c r="OGJ81" s="54"/>
      <c r="OGK81" s="54"/>
      <c r="OGL81" s="54"/>
      <c r="OGM81" s="54"/>
      <c r="OGN81" s="54"/>
      <c r="OGO81" s="54"/>
      <c r="OGP81" s="54"/>
      <c r="OGQ81" s="54"/>
      <c r="OGR81" s="54"/>
      <c r="OGS81" s="54"/>
      <c r="OGT81" s="54"/>
      <c r="OGU81" s="54"/>
      <c r="OGV81" s="54"/>
      <c r="OGW81" s="54"/>
      <c r="OGX81" s="54"/>
      <c r="OGY81" s="54"/>
      <c r="OGZ81" s="54"/>
      <c r="OHA81" s="54"/>
      <c r="OHB81" s="54"/>
      <c r="OHC81" s="54"/>
      <c r="OHD81" s="54"/>
      <c r="OHE81" s="54"/>
      <c r="OHF81" s="54"/>
      <c r="OHG81" s="54"/>
      <c r="OHH81" s="54"/>
      <c r="OHI81" s="54"/>
      <c r="OHJ81" s="54"/>
      <c r="OHK81" s="54"/>
      <c r="OHL81" s="54"/>
      <c r="OHM81" s="54"/>
      <c r="OHN81" s="54"/>
      <c r="OHO81" s="54"/>
      <c r="OHP81" s="54"/>
      <c r="OHQ81" s="54"/>
      <c r="OHR81" s="54"/>
      <c r="OHS81" s="54"/>
      <c r="OHT81" s="54"/>
      <c r="OHU81" s="54"/>
      <c r="OHV81" s="54"/>
      <c r="OHW81" s="54"/>
      <c r="OHX81" s="54"/>
      <c r="OHY81" s="54"/>
      <c r="OHZ81" s="54"/>
      <c r="OIA81" s="54"/>
      <c r="OIB81" s="54"/>
      <c r="OIC81" s="54"/>
      <c r="OID81" s="54"/>
      <c r="OIE81" s="54"/>
      <c r="OIF81" s="54"/>
      <c r="OIG81" s="54"/>
      <c r="OIH81" s="54"/>
      <c r="OII81" s="54"/>
      <c r="OIJ81" s="54"/>
      <c r="OIK81" s="54"/>
      <c r="OIL81" s="54"/>
      <c r="OIM81" s="54"/>
      <c r="OIN81" s="54"/>
      <c r="OIO81" s="54"/>
      <c r="OIP81" s="54"/>
      <c r="OIQ81" s="54"/>
      <c r="OIR81" s="54"/>
      <c r="OIS81" s="54"/>
      <c r="OIT81" s="54"/>
      <c r="OIU81" s="54"/>
      <c r="OIV81" s="54"/>
      <c r="OIW81" s="54"/>
      <c r="OIX81" s="54"/>
      <c r="OIY81" s="54"/>
      <c r="OIZ81" s="54"/>
      <c r="OJA81" s="54"/>
      <c r="OJB81" s="54"/>
      <c r="OJC81" s="54"/>
      <c r="OJD81" s="54"/>
      <c r="OJE81" s="54"/>
      <c r="OJF81" s="54"/>
      <c r="OJG81" s="54"/>
      <c r="OJH81" s="54"/>
      <c r="OJI81" s="54"/>
      <c r="OJJ81" s="54"/>
      <c r="OJK81" s="54"/>
      <c r="OJL81" s="54"/>
      <c r="OJM81" s="54"/>
      <c r="OJN81" s="54"/>
      <c r="OJO81" s="54"/>
      <c r="OJP81" s="54"/>
      <c r="OJQ81" s="54"/>
      <c r="OJR81" s="54"/>
      <c r="OJS81" s="54"/>
      <c r="OJT81" s="54"/>
      <c r="OJU81" s="54"/>
      <c r="OJV81" s="54"/>
      <c r="OJW81" s="54"/>
      <c r="OJX81" s="54"/>
      <c r="OJY81" s="54"/>
      <c r="OJZ81" s="54"/>
      <c r="OKA81" s="54"/>
      <c r="OKB81" s="54"/>
      <c r="OKC81" s="54"/>
      <c r="OKD81" s="54"/>
      <c r="OKE81" s="54"/>
      <c r="OKF81" s="54"/>
      <c r="OKG81" s="54"/>
      <c r="OKH81" s="54"/>
      <c r="OKI81" s="54"/>
      <c r="OKJ81" s="54"/>
      <c r="OKK81" s="54"/>
      <c r="OKL81" s="54"/>
      <c r="OKM81" s="54"/>
      <c r="OKN81" s="54"/>
      <c r="OKO81" s="54"/>
      <c r="OKP81" s="54"/>
      <c r="OKQ81" s="54"/>
      <c r="OKR81" s="54"/>
      <c r="OKS81" s="54"/>
      <c r="OKT81" s="54"/>
      <c r="OKU81" s="54"/>
      <c r="OKV81" s="54"/>
      <c r="OKW81" s="54"/>
      <c r="OKX81" s="54"/>
      <c r="OKY81" s="54"/>
      <c r="OKZ81" s="54"/>
      <c r="OLA81" s="54"/>
      <c r="OLB81" s="54"/>
      <c r="OLC81" s="54"/>
      <c r="OLD81" s="54"/>
      <c r="OLE81" s="54"/>
      <c r="OLF81" s="54"/>
      <c r="OLG81" s="54"/>
      <c r="OLH81" s="54"/>
      <c r="OLI81" s="54"/>
      <c r="OLJ81" s="54"/>
      <c r="OLK81" s="54"/>
      <c r="OLL81" s="54"/>
      <c r="OLM81" s="54"/>
      <c r="OLN81" s="54"/>
      <c r="OLO81" s="54"/>
      <c r="OLP81" s="54"/>
      <c r="OLQ81" s="54"/>
      <c r="OLR81" s="54"/>
      <c r="OLS81" s="54"/>
      <c r="OLT81" s="54"/>
      <c r="OLU81" s="54"/>
      <c r="OLV81" s="54"/>
      <c r="OLW81" s="54"/>
      <c r="OLX81" s="54"/>
      <c r="OLY81" s="54"/>
      <c r="OLZ81" s="54"/>
      <c r="OMA81" s="54"/>
      <c r="OMB81" s="54"/>
      <c r="OMC81" s="54"/>
      <c r="OMD81" s="54"/>
      <c r="OME81" s="54"/>
      <c r="OMF81" s="54"/>
      <c r="OMG81" s="54"/>
      <c r="OMH81" s="54"/>
      <c r="OMI81" s="54"/>
      <c r="OMJ81" s="54"/>
      <c r="OMK81" s="54"/>
      <c r="OML81" s="54"/>
      <c r="OMM81" s="54"/>
      <c r="OMN81" s="54"/>
      <c r="OMO81" s="54"/>
      <c r="OMP81" s="54"/>
      <c r="OMQ81" s="54"/>
      <c r="OMR81" s="54"/>
      <c r="OMS81" s="54"/>
      <c r="OMT81" s="54"/>
      <c r="OMU81" s="54"/>
      <c r="OMV81" s="54"/>
      <c r="OMW81" s="54"/>
      <c r="OMX81" s="54"/>
      <c r="OMY81" s="54"/>
      <c r="OMZ81" s="54"/>
      <c r="ONA81" s="54"/>
      <c r="ONB81" s="54"/>
      <c r="ONC81" s="54"/>
      <c r="OND81" s="54"/>
      <c r="ONE81" s="54"/>
      <c r="ONF81" s="54"/>
      <c r="ONG81" s="54"/>
      <c r="ONH81" s="54"/>
      <c r="ONI81" s="54"/>
      <c r="ONJ81" s="54"/>
      <c r="ONK81" s="54"/>
      <c r="ONL81" s="54"/>
      <c r="ONM81" s="54"/>
      <c r="ONN81" s="54"/>
      <c r="ONO81" s="54"/>
      <c r="ONP81" s="54"/>
      <c r="ONQ81" s="54"/>
      <c r="ONR81" s="54"/>
      <c r="ONS81" s="54"/>
      <c r="ONT81" s="54"/>
      <c r="ONU81" s="54"/>
      <c r="ONV81" s="54"/>
      <c r="ONW81" s="54"/>
      <c r="ONX81" s="54"/>
      <c r="ONY81" s="54"/>
      <c r="ONZ81" s="54"/>
      <c r="OOA81" s="54"/>
      <c r="OOB81" s="54"/>
      <c r="OOC81" s="54"/>
      <c r="OOD81" s="54"/>
      <c r="OOE81" s="54"/>
      <c r="OOF81" s="54"/>
      <c r="OOG81" s="54"/>
      <c r="OOH81" s="54"/>
      <c r="OOI81" s="54"/>
      <c r="OOJ81" s="54"/>
      <c r="OOK81" s="54"/>
      <c r="OOL81" s="54"/>
      <c r="OOM81" s="54"/>
      <c r="OON81" s="54"/>
      <c r="OOO81" s="54"/>
      <c r="OOP81" s="54"/>
      <c r="OOQ81" s="54"/>
      <c r="OOR81" s="54"/>
      <c r="OOS81" s="54"/>
      <c r="OOT81" s="54"/>
      <c r="OOU81" s="54"/>
      <c r="OOV81" s="54"/>
      <c r="OOW81" s="54"/>
      <c r="OOX81" s="54"/>
      <c r="OOY81" s="54"/>
      <c r="OOZ81" s="54"/>
      <c r="OPA81" s="54"/>
      <c r="OPB81" s="54"/>
      <c r="OPC81" s="54"/>
      <c r="OPD81" s="54"/>
      <c r="OPE81" s="54"/>
      <c r="OPF81" s="54"/>
      <c r="OPG81" s="54"/>
      <c r="OPH81" s="54"/>
      <c r="OPI81" s="54"/>
      <c r="OPJ81" s="54"/>
      <c r="OPK81" s="54"/>
      <c r="OPL81" s="54"/>
      <c r="OPM81" s="54"/>
      <c r="OPN81" s="54"/>
      <c r="OPO81" s="54"/>
      <c r="OPP81" s="54"/>
      <c r="OPQ81" s="54"/>
      <c r="OPR81" s="54"/>
      <c r="OPS81" s="54"/>
      <c r="OPT81" s="54"/>
      <c r="OPU81" s="54"/>
      <c r="OPV81" s="54"/>
      <c r="OPW81" s="54"/>
      <c r="OPX81" s="54"/>
      <c r="OPY81" s="54"/>
      <c r="OPZ81" s="54"/>
      <c r="OQA81" s="54"/>
      <c r="OQB81" s="54"/>
      <c r="OQC81" s="54"/>
      <c r="OQD81" s="54"/>
      <c r="OQE81" s="54"/>
      <c r="OQF81" s="54"/>
      <c r="OQG81" s="54"/>
      <c r="OQH81" s="54"/>
      <c r="OQI81" s="54"/>
      <c r="OQJ81" s="54"/>
      <c r="OQK81" s="54"/>
      <c r="OQL81" s="54"/>
      <c r="OQM81" s="54"/>
      <c r="OQN81" s="54"/>
      <c r="OQO81" s="54"/>
      <c r="OQP81" s="54"/>
      <c r="OQQ81" s="54"/>
      <c r="OQR81" s="54"/>
      <c r="OQS81" s="54"/>
      <c r="OQT81" s="54"/>
      <c r="OQU81" s="54"/>
      <c r="OQV81" s="54"/>
      <c r="OQW81" s="54"/>
      <c r="OQX81" s="54"/>
      <c r="OQY81" s="54"/>
      <c r="OQZ81" s="54"/>
      <c r="ORA81" s="54"/>
      <c r="ORB81" s="54"/>
      <c r="ORC81" s="54"/>
      <c r="ORD81" s="54"/>
      <c r="ORE81" s="54"/>
      <c r="ORF81" s="54"/>
      <c r="ORG81" s="54"/>
      <c r="ORH81" s="54"/>
      <c r="ORI81" s="54"/>
      <c r="ORJ81" s="54"/>
      <c r="ORK81" s="54"/>
      <c r="ORL81" s="54"/>
      <c r="ORM81" s="54"/>
      <c r="ORN81" s="54"/>
      <c r="ORO81" s="54"/>
      <c r="ORP81" s="54"/>
      <c r="ORQ81" s="54"/>
      <c r="ORR81" s="54"/>
      <c r="ORS81" s="54"/>
      <c r="ORT81" s="54"/>
      <c r="ORU81" s="54"/>
      <c r="ORV81" s="54"/>
      <c r="ORW81" s="54"/>
      <c r="ORX81" s="54"/>
      <c r="ORY81" s="54"/>
      <c r="ORZ81" s="54"/>
      <c r="OSA81" s="54"/>
      <c r="OSB81" s="54"/>
      <c r="OSC81" s="54"/>
      <c r="OSD81" s="54"/>
      <c r="OSE81" s="54"/>
      <c r="OSF81" s="54"/>
      <c r="OSG81" s="54"/>
      <c r="OSH81" s="54"/>
      <c r="OSI81" s="54"/>
      <c r="OSJ81" s="54"/>
      <c r="OSK81" s="54"/>
      <c r="OSL81" s="54"/>
      <c r="OSM81" s="54"/>
      <c r="OSN81" s="54"/>
      <c r="OSO81" s="54"/>
      <c r="OSP81" s="54"/>
      <c r="OSQ81" s="54"/>
      <c r="OSR81" s="54"/>
      <c r="OSS81" s="54"/>
      <c r="OST81" s="54"/>
      <c r="OSU81" s="54"/>
      <c r="OSV81" s="54"/>
      <c r="OSW81" s="54"/>
      <c r="OSX81" s="54"/>
      <c r="OSY81" s="54"/>
      <c r="OSZ81" s="54"/>
      <c r="OTA81" s="54"/>
      <c r="OTB81" s="54"/>
      <c r="OTC81" s="54"/>
      <c r="OTD81" s="54"/>
      <c r="OTE81" s="54"/>
      <c r="OTF81" s="54"/>
      <c r="OTG81" s="54"/>
      <c r="OTH81" s="54"/>
      <c r="OTI81" s="54"/>
      <c r="OTJ81" s="54"/>
      <c r="OTK81" s="54"/>
      <c r="OTL81" s="54"/>
      <c r="OTM81" s="54"/>
      <c r="OTN81" s="54"/>
      <c r="OTO81" s="54"/>
      <c r="OTP81" s="54"/>
      <c r="OTQ81" s="54"/>
      <c r="OTR81" s="54"/>
      <c r="OTS81" s="54"/>
      <c r="OTT81" s="54"/>
      <c r="OTU81" s="54"/>
      <c r="OTV81" s="54"/>
      <c r="OTW81" s="54"/>
      <c r="OTX81" s="54"/>
      <c r="OTY81" s="54"/>
      <c r="OTZ81" s="54"/>
      <c r="OUA81" s="54"/>
      <c r="OUB81" s="54"/>
      <c r="OUC81" s="54"/>
      <c r="OUD81" s="54"/>
      <c r="OUE81" s="54"/>
      <c r="OUF81" s="54"/>
      <c r="OUG81" s="54"/>
      <c r="OUH81" s="54"/>
      <c r="OUI81" s="54"/>
      <c r="OUJ81" s="54"/>
      <c r="OUK81" s="54"/>
      <c r="OUL81" s="54"/>
      <c r="OUM81" s="54"/>
      <c r="OUN81" s="54"/>
      <c r="OUO81" s="54"/>
      <c r="OUP81" s="54"/>
      <c r="OUQ81" s="54"/>
      <c r="OUR81" s="54"/>
      <c r="OUS81" s="54"/>
      <c r="OUT81" s="54"/>
      <c r="OUU81" s="54"/>
      <c r="OUV81" s="54"/>
      <c r="OUW81" s="54"/>
      <c r="OUX81" s="54"/>
      <c r="OUY81" s="54"/>
      <c r="OUZ81" s="54"/>
      <c r="OVA81" s="54"/>
      <c r="OVB81" s="54"/>
      <c r="OVC81" s="54"/>
      <c r="OVD81" s="54"/>
      <c r="OVE81" s="54"/>
      <c r="OVF81" s="54"/>
      <c r="OVG81" s="54"/>
      <c r="OVH81" s="54"/>
      <c r="OVI81" s="54"/>
      <c r="OVJ81" s="54"/>
      <c r="OVK81" s="54"/>
      <c r="OVL81" s="54"/>
      <c r="OVM81" s="54"/>
      <c r="OVN81" s="54"/>
      <c r="OVO81" s="54"/>
      <c r="OVP81" s="54"/>
      <c r="OVQ81" s="54"/>
      <c r="OVR81" s="54"/>
      <c r="OVS81" s="54"/>
      <c r="OVT81" s="54"/>
      <c r="OVU81" s="54"/>
      <c r="OVV81" s="54"/>
      <c r="OVW81" s="54"/>
      <c r="OVX81" s="54"/>
      <c r="OVY81" s="54"/>
      <c r="OVZ81" s="54"/>
      <c r="OWA81" s="54"/>
      <c r="OWB81" s="54"/>
      <c r="OWC81" s="54"/>
      <c r="OWD81" s="54"/>
      <c r="OWE81" s="54"/>
      <c r="OWF81" s="54"/>
      <c r="OWG81" s="54"/>
      <c r="OWH81" s="54"/>
      <c r="OWI81" s="54"/>
      <c r="OWJ81" s="54"/>
      <c r="OWK81" s="54"/>
      <c r="OWL81" s="54"/>
      <c r="OWM81" s="54"/>
      <c r="OWN81" s="54"/>
      <c r="OWO81" s="54"/>
      <c r="OWP81" s="54"/>
      <c r="OWQ81" s="54"/>
      <c r="OWR81" s="54"/>
      <c r="OWS81" s="54"/>
      <c r="OWT81" s="54"/>
      <c r="OWU81" s="54"/>
      <c r="OWV81" s="54"/>
      <c r="OWW81" s="54"/>
      <c r="OWX81" s="54"/>
      <c r="OWY81" s="54"/>
      <c r="OWZ81" s="54"/>
      <c r="OXA81" s="54"/>
      <c r="OXB81" s="54"/>
      <c r="OXC81" s="54"/>
      <c r="OXD81" s="54"/>
      <c r="OXE81" s="54"/>
      <c r="OXF81" s="54"/>
      <c r="OXG81" s="54"/>
      <c r="OXH81" s="54"/>
      <c r="OXI81" s="54"/>
      <c r="OXJ81" s="54"/>
      <c r="OXK81" s="54"/>
      <c r="OXL81" s="54"/>
      <c r="OXM81" s="54"/>
      <c r="OXN81" s="54"/>
      <c r="OXO81" s="54"/>
      <c r="OXP81" s="54"/>
      <c r="OXQ81" s="54"/>
      <c r="OXR81" s="54"/>
      <c r="OXS81" s="54"/>
      <c r="OXT81" s="54"/>
      <c r="OXU81" s="54"/>
      <c r="OXV81" s="54"/>
      <c r="OXW81" s="54"/>
      <c r="OXX81" s="54"/>
      <c r="OXY81" s="54"/>
      <c r="OXZ81" s="54"/>
      <c r="OYA81" s="54"/>
      <c r="OYB81" s="54"/>
      <c r="OYC81" s="54"/>
      <c r="OYD81" s="54"/>
      <c r="OYE81" s="54"/>
      <c r="OYF81" s="54"/>
      <c r="OYG81" s="54"/>
      <c r="OYH81" s="54"/>
      <c r="OYI81" s="54"/>
      <c r="OYJ81" s="54"/>
      <c r="OYK81" s="54"/>
      <c r="OYL81" s="54"/>
      <c r="OYM81" s="54"/>
      <c r="OYN81" s="54"/>
      <c r="OYO81" s="54"/>
      <c r="OYP81" s="54"/>
      <c r="OYQ81" s="54"/>
      <c r="OYR81" s="54"/>
      <c r="OYS81" s="54"/>
      <c r="OYT81" s="54"/>
      <c r="OYU81" s="54"/>
      <c r="OYV81" s="54"/>
      <c r="OYW81" s="54"/>
      <c r="OYX81" s="54"/>
      <c r="OYY81" s="54"/>
      <c r="OYZ81" s="54"/>
      <c r="OZA81" s="54"/>
      <c r="OZB81" s="54"/>
      <c r="OZC81" s="54"/>
      <c r="OZD81" s="54"/>
      <c r="OZE81" s="54"/>
      <c r="OZF81" s="54"/>
      <c r="OZG81" s="54"/>
      <c r="OZH81" s="54"/>
      <c r="OZI81" s="54"/>
      <c r="OZJ81" s="54"/>
      <c r="OZK81" s="54"/>
      <c r="OZL81" s="54"/>
      <c r="OZM81" s="54"/>
      <c r="OZN81" s="54"/>
      <c r="OZO81" s="54"/>
      <c r="OZP81" s="54"/>
      <c r="OZQ81" s="54"/>
      <c r="OZR81" s="54"/>
      <c r="OZS81" s="54"/>
      <c r="OZT81" s="54"/>
      <c r="OZU81" s="54"/>
      <c r="OZV81" s="54"/>
      <c r="OZW81" s="54"/>
      <c r="OZX81" s="54"/>
      <c r="OZY81" s="54"/>
      <c r="OZZ81" s="54"/>
      <c r="PAA81" s="54"/>
      <c r="PAB81" s="54"/>
      <c r="PAC81" s="54"/>
      <c r="PAD81" s="54"/>
      <c r="PAE81" s="54"/>
      <c r="PAF81" s="54"/>
      <c r="PAG81" s="54"/>
      <c r="PAH81" s="54"/>
      <c r="PAI81" s="54"/>
      <c r="PAJ81" s="54"/>
      <c r="PAK81" s="54"/>
      <c r="PAL81" s="54"/>
      <c r="PAM81" s="54"/>
      <c r="PAN81" s="54"/>
      <c r="PAO81" s="54"/>
      <c r="PAP81" s="54"/>
      <c r="PAQ81" s="54"/>
      <c r="PAR81" s="54"/>
      <c r="PAS81" s="54"/>
      <c r="PAT81" s="54"/>
      <c r="PAU81" s="54"/>
      <c r="PAV81" s="54"/>
      <c r="PAW81" s="54"/>
      <c r="PAX81" s="54"/>
      <c r="PAY81" s="54"/>
      <c r="PAZ81" s="54"/>
      <c r="PBA81" s="54"/>
      <c r="PBB81" s="54"/>
      <c r="PBC81" s="54"/>
      <c r="PBD81" s="54"/>
      <c r="PBE81" s="54"/>
      <c r="PBF81" s="54"/>
      <c r="PBG81" s="54"/>
      <c r="PBH81" s="54"/>
      <c r="PBI81" s="54"/>
      <c r="PBJ81" s="54"/>
      <c r="PBK81" s="54"/>
      <c r="PBL81" s="54"/>
      <c r="PBM81" s="54"/>
      <c r="PBN81" s="54"/>
      <c r="PBO81" s="54"/>
      <c r="PBP81" s="54"/>
      <c r="PBQ81" s="54"/>
      <c r="PBR81" s="54"/>
      <c r="PBS81" s="54"/>
      <c r="PBT81" s="54"/>
      <c r="PBU81" s="54"/>
      <c r="PBV81" s="54"/>
      <c r="PBW81" s="54"/>
      <c r="PBX81" s="54"/>
      <c r="PBY81" s="54"/>
      <c r="PBZ81" s="54"/>
      <c r="PCA81" s="54"/>
      <c r="PCB81" s="54"/>
      <c r="PCC81" s="54"/>
      <c r="PCD81" s="54"/>
      <c r="PCE81" s="54"/>
      <c r="PCF81" s="54"/>
      <c r="PCG81" s="54"/>
      <c r="PCH81" s="54"/>
      <c r="PCI81" s="54"/>
      <c r="PCJ81" s="54"/>
      <c r="PCK81" s="54"/>
      <c r="PCL81" s="54"/>
      <c r="PCM81" s="54"/>
      <c r="PCN81" s="54"/>
      <c r="PCO81" s="54"/>
      <c r="PCP81" s="54"/>
      <c r="PCQ81" s="54"/>
      <c r="PCR81" s="54"/>
      <c r="PCS81" s="54"/>
      <c r="PCT81" s="54"/>
      <c r="PCU81" s="54"/>
      <c r="PCV81" s="54"/>
      <c r="PCW81" s="54"/>
      <c r="PCX81" s="54"/>
      <c r="PCY81" s="54"/>
      <c r="PCZ81" s="54"/>
      <c r="PDA81" s="54"/>
      <c r="PDB81" s="54"/>
      <c r="PDC81" s="54"/>
      <c r="PDD81" s="54"/>
      <c r="PDE81" s="54"/>
      <c r="PDF81" s="54"/>
      <c r="PDG81" s="54"/>
      <c r="PDH81" s="54"/>
      <c r="PDI81" s="54"/>
      <c r="PDJ81" s="54"/>
      <c r="PDK81" s="54"/>
      <c r="PDL81" s="54"/>
      <c r="PDM81" s="54"/>
      <c r="PDN81" s="54"/>
      <c r="PDO81" s="54"/>
      <c r="PDP81" s="54"/>
      <c r="PDQ81" s="54"/>
      <c r="PDR81" s="54"/>
      <c r="PDS81" s="54"/>
      <c r="PDT81" s="54"/>
      <c r="PDU81" s="54"/>
      <c r="PDV81" s="54"/>
      <c r="PDW81" s="54"/>
      <c r="PDX81" s="54"/>
      <c r="PDY81" s="54"/>
      <c r="PDZ81" s="54"/>
      <c r="PEA81" s="54"/>
      <c r="PEB81" s="54"/>
      <c r="PEC81" s="54"/>
      <c r="PED81" s="54"/>
      <c r="PEE81" s="54"/>
      <c r="PEF81" s="54"/>
      <c r="PEG81" s="54"/>
      <c r="PEH81" s="54"/>
      <c r="PEI81" s="54"/>
      <c r="PEJ81" s="54"/>
      <c r="PEK81" s="54"/>
      <c r="PEL81" s="54"/>
      <c r="PEM81" s="54"/>
      <c r="PEN81" s="54"/>
      <c r="PEO81" s="54"/>
      <c r="PEP81" s="54"/>
      <c r="PEQ81" s="54"/>
      <c r="PER81" s="54"/>
      <c r="PES81" s="54"/>
      <c r="PET81" s="54"/>
      <c r="PEU81" s="54"/>
      <c r="PEV81" s="54"/>
      <c r="PEW81" s="54"/>
      <c r="PEX81" s="54"/>
      <c r="PEY81" s="54"/>
      <c r="PEZ81" s="54"/>
      <c r="PFA81" s="54"/>
      <c r="PFB81" s="54"/>
      <c r="PFC81" s="54"/>
      <c r="PFD81" s="54"/>
      <c r="PFE81" s="54"/>
      <c r="PFF81" s="54"/>
      <c r="PFG81" s="54"/>
      <c r="PFH81" s="54"/>
      <c r="PFI81" s="54"/>
      <c r="PFJ81" s="54"/>
      <c r="PFK81" s="54"/>
      <c r="PFL81" s="54"/>
      <c r="PFM81" s="54"/>
      <c r="PFN81" s="54"/>
      <c r="PFO81" s="54"/>
      <c r="PFP81" s="54"/>
      <c r="PFQ81" s="54"/>
      <c r="PFR81" s="54"/>
      <c r="PFS81" s="54"/>
      <c r="PFT81" s="54"/>
      <c r="PFU81" s="54"/>
      <c r="PFV81" s="54"/>
      <c r="PFW81" s="54"/>
      <c r="PFX81" s="54"/>
      <c r="PFY81" s="54"/>
      <c r="PFZ81" s="54"/>
      <c r="PGA81" s="54"/>
      <c r="PGB81" s="54"/>
      <c r="PGC81" s="54"/>
      <c r="PGD81" s="54"/>
      <c r="PGE81" s="54"/>
      <c r="PGF81" s="54"/>
      <c r="PGG81" s="54"/>
      <c r="PGH81" s="54"/>
      <c r="PGI81" s="54"/>
      <c r="PGJ81" s="54"/>
      <c r="PGK81" s="54"/>
      <c r="PGL81" s="54"/>
      <c r="PGM81" s="54"/>
      <c r="PGN81" s="54"/>
      <c r="PGO81" s="54"/>
      <c r="PGP81" s="54"/>
      <c r="PGQ81" s="54"/>
      <c r="PGR81" s="54"/>
      <c r="PGS81" s="54"/>
      <c r="PGT81" s="54"/>
      <c r="PGU81" s="54"/>
      <c r="PGV81" s="54"/>
      <c r="PGW81" s="54"/>
      <c r="PGX81" s="54"/>
      <c r="PGY81" s="54"/>
      <c r="PGZ81" s="54"/>
      <c r="PHA81" s="54"/>
      <c r="PHB81" s="54"/>
      <c r="PHC81" s="54"/>
      <c r="PHD81" s="54"/>
      <c r="PHE81" s="54"/>
      <c r="PHF81" s="54"/>
      <c r="PHG81" s="54"/>
      <c r="PHH81" s="54"/>
      <c r="PHI81" s="54"/>
      <c r="PHJ81" s="54"/>
      <c r="PHK81" s="54"/>
      <c r="PHL81" s="54"/>
      <c r="PHM81" s="54"/>
      <c r="PHN81" s="54"/>
      <c r="PHO81" s="54"/>
      <c r="PHP81" s="54"/>
      <c r="PHQ81" s="54"/>
      <c r="PHR81" s="54"/>
      <c r="PHS81" s="54"/>
      <c r="PHT81" s="54"/>
      <c r="PHU81" s="54"/>
      <c r="PHV81" s="54"/>
      <c r="PHW81" s="54"/>
      <c r="PHX81" s="54"/>
      <c r="PHY81" s="54"/>
      <c r="PHZ81" s="54"/>
      <c r="PIA81" s="54"/>
      <c r="PIB81" s="54"/>
      <c r="PIC81" s="54"/>
      <c r="PID81" s="54"/>
      <c r="PIE81" s="54"/>
      <c r="PIF81" s="54"/>
      <c r="PIG81" s="54"/>
      <c r="PIH81" s="54"/>
      <c r="PII81" s="54"/>
      <c r="PIJ81" s="54"/>
      <c r="PIK81" s="54"/>
      <c r="PIL81" s="54"/>
      <c r="PIM81" s="54"/>
      <c r="PIN81" s="54"/>
      <c r="PIO81" s="54"/>
      <c r="PIP81" s="54"/>
      <c r="PIQ81" s="54"/>
      <c r="PIR81" s="54"/>
      <c r="PIS81" s="54"/>
      <c r="PIT81" s="54"/>
      <c r="PIU81" s="54"/>
      <c r="PIV81" s="54"/>
      <c r="PIW81" s="54"/>
      <c r="PIX81" s="54"/>
      <c r="PIY81" s="54"/>
      <c r="PIZ81" s="54"/>
      <c r="PJA81" s="54"/>
      <c r="PJB81" s="54"/>
      <c r="PJC81" s="54"/>
      <c r="PJD81" s="54"/>
      <c r="PJE81" s="54"/>
      <c r="PJF81" s="54"/>
      <c r="PJG81" s="54"/>
      <c r="PJH81" s="54"/>
      <c r="PJI81" s="54"/>
      <c r="PJJ81" s="54"/>
      <c r="PJK81" s="54"/>
      <c r="PJL81" s="54"/>
      <c r="PJM81" s="54"/>
      <c r="PJN81" s="54"/>
      <c r="PJO81" s="54"/>
      <c r="PJP81" s="54"/>
      <c r="PJQ81" s="54"/>
      <c r="PJR81" s="54"/>
      <c r="PJS81" s="54"/>
      <c r="PJT81" s="54"/>
      <c r="PJU81" s="54"/>
      <c r="PJV81" s="54"/>
      <c r="PJW81" s="54"/>
      <c r="PJX81" s="54"/>
      <c r="PJY81" s="54"/>
      <c r="PJZ81" s="54"/>
      <c r="PKA81" s="54"/>
      <c r="PKB81" s="54"/>
      <c r="PKC81" s="54"/>
      <c r="PKD81" s="54"/>
      <c r="PKE81" s="54"/>
      <c r="PKF81" s="54"/>
      <c r="PKG81" s="54"/>
      <c r="PKH81" s="54"/>
      <c r="PKI81" s="54"/>
      <c r="PKJ81" s="54"/>
      <c r="PKK81" s="54"/>
      <c r="PKL81" s="54"/>
      <c r="PKM81" s="54"/>
      <c r="PKN81" s="54"/>
      <c r="PKO81" s="54"/>
      <c r="PKP81" s="54"/>
      <c r="PKQ81" s="54"/>
      <c r="PKR81" s="54"/>
      <c r="PKS81" s="54"/>
      <c r="PKT81" s="54"/>
      <c r="PKU81" s="54"/>
      <c r="PKV81" s="54"/>
      <c r="PKW81" s="54"/>
      <c r="PKX81" s="54"/>
      <c r="PKY81" s="54"/>
      <c r="PKZ81" s="54"/>
      <c r="PLA81" s="54"/>
      <c r="PLB81" s="54"/>
      <c r="PLC81" s="54"/>
      <c r="PLD81" s="54"/>
      <c r="PLE81" s="54"/>
      <c r="PLF81" s="54"/>
      <c r="PLG81" s="54"/>
      <c r="PLH81" s="54"/>
      <c r="PLI81" s="54"/>
      <c r="PLJ81" s="54"/>
      <c r="PLK81" s="54"/>
      <c r="PLL81" s="54"/>
      <c r="PLM81" s="54"/>
      <c r="PLN81" s="54"/>
      <c r="PLO81" s="54"/>
      <c r="PLP81" s="54"/>
      <c r="PLQ81" s="54"/>
      <c r="PLR81" s="54"/>
      <c r="PLS81" s="54"/>
      <c r="PLT81" s="54"/>
      <c r="PLU81" s="54"/>
      <c r="PLV81" s="54"/>
      <c r="PLW81" s="54"/>
      <c r="PLX81" s="54"/>
      <c r="PLY81" s="54"/>
      <c r="PLZ81" s="54"/>
      <c r="PMA81" s="54"/>
      <c r="PMB81" s="54"/>
      <c r="PMC81" s="54"/>
      <c r="PMD81" s="54"/>
      <c r="PME81" s="54"/>
      <c r="PMF81" s="54"/>
      <c r="PMG81" s="54"/>
      <c r="PMH81" s="54"/>
      <c r="PMI81" s="54"/>
      <c r="PMJ81" s="54"/>
      <c r="PMK81" s="54"/>
      <c r="PML81" s="54"/>
      <c r="PMM81" s="54"/>
      <c r="PMN81" s="54"/>
      <c r="PMO81" s="54"/>
      <c r="PMP81" s="54"/>
      <c r="PMQ81" s="54"/>
      <c r="PMR81" s="54"/>
      <c r="PMS81" s="54"/>
      <c r="PMT81" s="54"/>
      <c r="PMU81" s="54"/>
      <c r="PMV81" s="54"/>
      <c r="PMW81" s="54"/>
      <c r="PMX81" s="54"/>
      <c r="PMY81" s="54"/>
      <c r="PMZ81" s="54"/>
      <c r="PNA81" s="54"/>
      <c r="PNB81" s="54"/>
      <c r="PNC81" s="54"/>
      <c r="PND81" s="54"/>
      <c r="PNE81" s="54"/>
      <c r="PNF81" s="54"/>
      <c r="PNG81" s="54"/>
      <c r="PNH81" s="54"/>
      <c r="PNI81" s="54"/>
      <c r="PNJ81" s="54"/>
      <c r="PNK81" s="54"/>
      <c r="PNL81" s="54"/>
      <c r="PNM81" s="54"/>
      <c r="PNN81" s="54"/>
      <c r="PNO81" s="54"/>
      <c r="PNP81" s="54"/>
      <c r="PNQ81" s="54"/>
      <c r="PNR81" s="54"/>
      <c r="PNS81" s="54"/>
      <c r="PNT81" s="54"/>
      <c r="PNU81" s="54"/>
      <c r="PNV81" s="54"/>
      <c r="PNW81" s="54"/>
      <c r="PNX81" s="54"/>
      <c r="PNY81" s="54"/>
      <c r="PNZ81" s="54"/>
      <c r="POA81" s="54"/>
      <c r="POB81" s="54"/>
      <c r="POC81" s="54"/>
      <c r="POD81" s="54"/>
      <c r="POE81" s="54"/>
      <c r="POF81" s="54"/>
      <c r="POG81" s="54"/>
      <c r="POH81" s="54"/>
      <c r="POI81" s="54"/>
      <c r="POJ81" s="54"/>
      <c r="POK81" s="54"/>
      <c r="POL81" s="54"/>
      <c r="POM81" s="54"/>
      <c r="PON81" s="54"/>
      <c r="POO81" s="54"/>
      <c r="POP81" s="54"/>
      <c r="POQ81" s="54"/>
      <c r="POR81" s="54"/>
      <c r="POS81" s="54"/>
      <c r="POT81" s="54"/>
      <c r="POU81" s="54"/>
      <c r="POV81" s="54"/>
      <c r="POW81" s="54"/>
      <c r="POX81" s="54"/>
      <c r="POY81" s="54"/>
      <c r="POZ81" s="54"/>
      <c r="PPA81" s="54"/>
      <c r="PPB81" s="54"/>
      <c r="PPC81" s="54"/>
      <c r="PPD81" s="54"/>
      <c r="PPE81" s="54"/>
      <c r="PPF81" s="54"/>
      <c r="PPG81" s="54"/>
      <c r="PPH81" s="54"/>
      <c r="PPI81" s="54"/>
      <c r="PPJ81" s="54"/>
      <c r="PPK81" s="54"/>
      <c r="PPL81" s="54"/>
      <c r="PPM81" s="54"/>
      <c r="PPN81" s="54"/>
      <c r="PPO81" s="54"/>
      <c r="PPP81" s="54"/>
      <c r="PPQ81" s="54"/>
      <c r="PPR81" s="54"/>
      <c r="PPS81" s="54"/>
      <c r="PPT81" s="54"/>
      <c r="PPU81" s="54"/>
      <c r="PPV81" s="54"/>
      <c r="PPW81" s="54"/>
      <c r="PPX81" s="54"/>
      <c r="PPY81" s="54"/>
      <c r="PPZ81" s="54"/>
      <c r="PQA81" s="54"/>
      <c r="PQB81" s="54"/>
      <c r="PQC81" s="54"/>
      <c r="PQD81" s="54"/>
      <c r="PQE81" s="54"/>
      <c r="PQF81" s="54"/>
      <c r="PQG81" s="54"/>
      <c r="PQH81" s="54"/>
      <c r="PQI81" s="54"/>
      <c r="PQJ81" s="54"/>
      <c r="PQK81" s="54"/>
      <c r="PQL81" s="54"/>
      <c r="PQM81" s="54"/>
      <c r="PQN81" s="54"/>
      <c r="PQO81" s="54"/>
      <c r="PQP81" s="54"/>
      <c r="PQQ81" s="54"/>
      <c r="PQR81" s="54"/>
      <c r="PQS81" s="54"/>
      <c r="PQT81" s="54"/>
      <c r="PQU81" s="54"/>
      <c r="PQV81" s="54"/>
      <c r="PQW81" s="54"/>
      <c r="PQX81" s="54"/>
      <c r="PQY81" s="54"/>
      <c r="PQZ81" s="54"/>
      <c r="PRA81" s="54"/>
      <c r="PRB81" s="54"/>
      <c r="PRC81" s="54"/>
      <c r="PRD81" s="54"/>
      <c r="PRE81" s="54"/>
      <c r="PRF81" s="54"/>
      <c r="PRG81" s="54"/>
      <c r="PRH81" s="54"/>
      <c r="PRI81" s="54"/>
      <c r="PRJ81" s="54"/>
      <c r="PRK81" s="54"/>
      <c r="PRL81" s="54"/>
      <c r="PRM81" s="54"/>
      <c r="PRN81" s="54"/>
      <c r="PRO81" s="54"/>
      <c r="PRP81" s="54"/>
      <c r="PRQ81" s="54"/>
      <c r="PRR81" s="54"/>
      <c r="PRS81" s="54"/>
      <c r="PRT81" s="54"/>
      <c r="PRU81" s="54"/>
      <c r="PRV81" s="54"/>
      <c r="PRW81" s="54"/>
      <c r="PRX81" s="54"/>
      <c r="PRY81" s="54"/>
      <c r="PRZ81" s="54"/>
      <c r="PSA81" s="54"/>
      <c r="PSB81" s="54"/>
      <c r="PSC81" s="54"/>
      <c r="PSD81" s="54"/>
      <c r="PSE81" s="54"/>
      <c r="PSF81" s="54"/>
      <c r="PSG81" s="54"/>
      <c r="PSH81" s="54"/>
      <c r="PSI81" s="54"/>
      <c r="PSJ81" s="54"/>
      <c r="PSK81" s="54"/>
      <c r="PSL81" s="54"/>
      <c r="PSM81" s="54"/>
      <c r="PSN81" s="54"/>
      <c r="PSO81" s="54"/>
      <c r="PSP81" s="54"/>
      <c r="PSQ81" s="54"/>
      <c r="PSR81" s="54"/>
      <c r="PSS81" s="54"/>
      <c r="PST81" s="54"/>
      <c r="PSU81" s="54"/>
      <c r="PSV81" s="54"/>
      <c r="PSW81" s="54"/>
      <c r="PSX81" s="54"/>
      <c r="PSY81" s="54"/>
      <c r="PSZ81" s="54"/>
      <c r="PTA81" s="54"/>
      <c r="PTB81" s="54"/>
      <c r="PTC81" s="54"/>
      <c r="PTD81" s="54"/>
      <c r="PTE81" s="54"/>
      <c r="PTF81" s="54"/>
      <c r="PTG81" s="54"/>
      <c r="PTH81" s="54"/>
      <c r="PTI81" s="54"/>
      <c r="PTJ81" s="54"/>
      <c r="PTK81" s="54"/>
      <c r="PTL81" s="54"/>
      <c r="PTM81" s="54"/>
      <c r="PTN81" s="54"/>
      <c r="PTO81" s="54"/>
      <c r="PTP81" s="54"/>
      <c r="PTQ81" s="54"/>
      <c r="PTR81" s="54"/>
      <c r="PTS81" s="54"/>
      <c r="PTT81" s="54"/>
      <c r="PTU81" s="54"/>
      <c r="PTV81" s="54"/>
      <c r="PTW81" s="54"/>
      <c r="PTX81" s="54"/>
      <c r="PTY81" s="54"/>
      <c r="PTZ81" s="54"/>
      <c r="PUA81" s="54"/>
      <c r="PUB81" s="54"/>
      <c r="PUC81" s="54"/>
      <c r="PUD81" s="54"/>
      <c r="PUE81" s="54"/>
      <c r="PUF81" s="54"/>
      <c r="PUG81" s="54"/>
      <c r="PUH81" s="54"/>
      <c r="PUI81" s="54"/>
      <c r="PUJ81" s="54"/>
      <c r="PUK81" s="54"/>
      <c r="PUL81" s="54"/>
      <c r="PUM81" s="54"/>
      <c r="PUN81" s="54"/>
      <c r="PUO81" s="54"/>
      <c r="PUP81" s="54"/>
      <c r="PUQ81" s="54"/>
      <c r="PUR81" s="54"/>
      <c r="PUS81" s="54"/>
      <c r="PUT81" s="54"/>
      <c r="PUU81" s="54"/>
      <c r="PUV81" s="54"/>
      <c r="PUW81" s="54"/>
      <c r="PUX81" s="54"/>
      <c r="PUY81" s="54"/>
      <c r="PUZ81" s="54"/>
      <c r="PVA81" s="54"/>
      <c r="PVB81" s="54"/>
      <c r="PVC81" s="54"/>
      <c r="PVD81" s="54"/>
      <c r="PVE81" s="54"/>
      <c r="PVF81" s="54"/>
      <c r="PVG81" s="54"/>
      <c r="PVH81" s="54"/>
      <c r="PVI81" s="54"/>
      <c r="PVJ81" s="54"/>
      <c r="PVK81" s="54"/>
      <c r="PVL81" s="54"/>
      <c r="PVM81" s="54"/>
      <c r="PVN81" s="54"/>
      <c r="PVO81" s="54"/>
      <c r="PVP81" s="54"/>
      <c r="PVQ81" s="54"/>
      <c r="PVR81" s="54"/>
      <c r="PVS81" s="54"/>
      <c r="PVT81" s="54"/>
      <c r="PVU81" s="54"/>
      <c r="PVV81" s="54"/>
      <c r="PVW81" s="54"/>
      <c r="PVX81" s="54"/>
      <c r="PVY81" s="54"/>
      <c r="PVZ81" s="54"/>
      <c r="PWA81" s="54"/>
      <c r="PWB81" s="54"/>
      <c r="PWC81" s="54"/>
      <c r="PWD81" s="54"/>
      <c r="PWE81" s="54"/>
      <c r="PWF81" s="54"/>
      <c r="PWG81" s="54"/>
      <c r="PWH81" s="54"/>
      <c r="PWI81" s="54"/>
      <c r="PWJ81" s="54"/>
      <c r="PWK81" s="54"/>
      <c r="PWL81" s="54"/>
      <c r="PWM81" s="54"/>
      <c r="PWN81" s="54"/>
      <c r="PWO81" s="54"/>
      <c r="PWP81" s="54"/>
      <c r="PWQ81" s="54"/>
      <c r="PWR81" s="54"/>
      <c r="PWS81" s="54"/>
      <c r="PWT81" s="54"/>
      <c r="PWU81" s="54"/>
      <c r="PWV81" s="54"/>
      <c r="PWW81" s="54"/>
      <c r="PWX81" s="54"/>
      <c r="PWY81" s="54"/>
      <c r="PWZ81" s="54"/>
      <c r="PXA81" s="54"/>
      <c r="PXB81" s="54"/>
      <c r="PXC81" s="54"/>
      <c r="PXD81" s="54"/>
      <c r="PXE81" s="54"/>
      <c r="PXF81" s="54"/>
      <c r="PXG81" s="54"/>
      <c r="PXH81" s="54"/>
      <c r="PXI81" s="54"/>
      <c r="PXJ81" s="54"/>
      <c r="PXK81" s="54"/>
      <c r="PXL81" s="54"/>
      <c r="PXM81" s="54"/>
      <c r="PXN81" s="54"/>
      <c r="PXO81" s="54"/>
      <c r="PXP81" s="54"/>
      <c r="PXQ81" s="54"/>
      <c r="PXR81" s="54"/>
      <c r="PXS81" s="54"/>
      <c r="PXT81" s="54"/>
      <c r="PXU81" s="54"/>
      <c r="PXV81" s="54"/>
      <c r="PXW81" s="54"/>
      <c r="PXX81" s="54"/>
      <c r="PXY81" s="54"/>
      <c r="PXZ81" s="54"/>
      <c r="PYA81" s="54"/>
      <c r="PYB81" s="54"/>
      <c r="PYC81" s="54"/>
      <c r="PYD81" s="54"/>
      <c r="PYE81" s="54"/>
      <c r="PYF81" s="54"/>
      <c r="PYG81" s="54"/>
      <c r="PYH81" s="54"/>
      <c r="PYI81" s="54"/>
      <c r="PYJ81" s="54"/>
      <c r="PYK81" s="54"/>
      <c r="PYL81" s="54"/>
      <c r="PYM81" s="54"/>
      <c r="PYN81" s="54"/>
      <c r="PYO81" s="54"/>
      <c r="PYP81" s="54"/>
      <c r="PYQ81" s="54"/>
      <c r="PYR81" s="54"/>
      <c r="PYS81" s="54"/>
      <c r="PYT81" s="54"/>
      <c r="PYU81" s="54"/>
      <c r="PYV81" s="54"/>
      <c r="PYW81" s="54"/>
      <c r="PYX81" s="54"/>
      <c r="PYY81" s="54"/>
      <c r="PYZ81" s="54"/>
      <c r="PZA81" s="54"/>
      <c r="PZB81" s="54"/>
      <c r="PZC81" s="54"/>
      <c r="PZD81" s="54"/>
      <c r="PZE81" s="54"/>
      <c r="PZF81" s="54"/>
      <c r="PZG81" s="54"/>
      <c r="PZH81" s="54"/>
      <c r="PZI81" s="54"/>
      <c r="PZJ81" s="54"/>
      <c r="PZK81" s="54"/>
      <c r="PZL81" s="54"/>
      <c r="PZM81" s="54"/>
      <c r="PZN81" s="54"/>
      <c r="PZO81" s="54"/>
      <c r="PZP81" s="54"/>
      <c r="PZQ81" s="54"/>
      <c r="PZR81" s="54"/>
      <c r="PZS81" s="54"/>
      <c r="PZT81" s="54"/>
      <c r="PZU81" s="54"/>
      <c r="PZV81" s="54"/>
      <c r="PZW81" s="54"/>
      <c r="PZX81" s="54"/>
      <c r="PZY81" s="54"/>
      <c r="PZZ81" s="54"/>
      <c r="QAA81" s="54"/>
      <c r="QAB81" s="54"/>
      <c r="QAC81" s="54"/>
      <c r="QAD81" s="54"/>
      <c r="QAE81" s="54"/>
      <c r="QAF81" s="54"/>
      <c r="QAG81" s="54"/>
      <c r="QAH81" s="54"/>
      <c r="QAI81" s="54"/>
      <c r="QAJ81" s="54"/>
      <c r="QAK81" s="54"/>
      <c r="QAL81" s="54"/>
      <c r="QAM81" s="54"/>
      <c r="QAN81" s="54"/>
      <c r="QAO81" s="54"/>
      <c r="QAP81" s="54"/>
      <c r="QAQ81" s="54"/>
      <c r="QAR81" s="54"/>
      <c r="QAS81" s="54"/>
      <c r="QAT81" s="54"/>
      <c r="QAU81" s="54"/>
      <c r="QAV81" s="54"/>
      <c r="QAW81" s="54"/>
      <c r="QAX81" s="54"/>
      <c r="QAY81" s="54"/>
      <c r="QAZ81" s="54"/>
      <c r="QBA81" s="54"/>
      <c r="QBB81" s="54"/>
      <c r="QBC81" s="54"/>
      <c r="QBD81" s="54"/>
      <c r="QBE81" s="54"/>
      <c r="QBF81" s="54"/>
      <c r="QBG81" s="54"/>
      <c r="QBH81" s="54"/>
      <c r="QBI81" s="54"/>
      <c r="QBJ81" s="54"/>
      <c r="QBK81" s="54"/>
      <c r="QBL81" s="54"/>
      <c r="QBM81" s="54"/>
      <c r="QBN81" s="54"/>
      <c r="QBO81" s="54"/>
      <c r="QBP81" s="54"/>
      <c r="QBQ81" s="54"/>
      <c r="QBR81" s="54"/>
      <c r="QBS81" s="54"/>
      <c r="QBT81" s="54"/>
      <c r="QBU81" s="54"/>
      <c r="QBV81" s="54"/>
      <c r="QBW81" s="54"/>
      <c r="QBX81" s="54"/>
      <c r="QBY81" s="54"/>
      <c r="QBZ81" s="54"/>
      <c r="QCA81" s="54"/>
      <c r="QCB81" s="54"/>
      <c r="QCC81" s="54"/>
      <c r="QCD81" s="54"/>
      <c r="QCE81" s="54"/>
      <c r="QCF81" s="54"/>
      <c r="QCG81" s="54"/>
      <c r="QCH81" s="54"/>
      <c r="QCI81" s="54"/>
      <c r="QCJ81" s="54"/>
      <c r="QCK81" s="54"/>
      <c r="QCL81" s="54"/>
      <c r="QCM81" s="54"/>
      <c r="QCN81" s="54"/>
      <c r="QCO81" s="54"/>
      <c r="QCP81" s="54"/>
      <c r="QCQ81" s="54"/>
      <c r="QCR81" s="54"/>
      <c r="QCS81" s="54"/>
      <c r="QCT81" s="54"/>
      <c r="QCU81" s="54"/>
      <c r="QCV81" s="54"/>
      <c r="QCW81" s="54"/>
      <c r="QCX81" s="54"/>
      <c r="QCY81" s="54"/>
      <c r="QCZ81" s="54"/>
      <c r="QDA81" s="54"/>
      <c r="QDB81" s="54"/>
      <c r="QDC81" s="54"/>
      <c r="QDD81" s="54"/>
      <c r="QDE81" s="54"/>
      <c r="QDF81" s="54"/>
      <c r="QDG81" s="54"/>
      <c r="QDH81" s="54"/>
      <c r="QDI81" s="54"/>
      <c r="QDJ81" s="54"/>
      <c r="QDK81" s="54"/>
      <c r="QDL81" s="54"/>
      <c r="QDM81" s="54"/>
      <c r="QDN81" s="54"/>
      <c r="QDO81" s="54"/>
      <c r="QDP81" s="54"/>
      <c r="QDQ81" s="54"/>
      <c r="QDR81" s="54"/>
      <c r="QDS81" s="54"/>
      <c r="QDT81" s="54"/>
      <c r="QDU81" s="54"/>
      <c r="QDV81" s="54"/>
      <c r="QDW81" s="54"/>
      <c r="QDX81" s="54"/>
      <c r="QDY81" s="54"/>
      <c r="QDZ81" s="54"/>
      <c r="QEA81" s="54"/>
      <c r="QEB81" s="54"/>
      <c r="QEC81" s="54"/>
      <c r="QED81" s="54"/>
      <c r="QEE81" s="54"/>
      <c r="QEF81" s="54"/>
      <c r="QEG81" s="54"/>
      <c r="QEH81" s="54"/>
      <c r="QEI81" s="54"/>
      <c r="QEJ81" s="54"/>
      <c r="QEK81" s="54"/>
      <c r="QEL81" s="54"/>
      <c r="QEM81" s="54"/>
      <c r="QEN81" s="54"/>
      <c r="QEO81" s="54"/>
      <c r="QEP81" s="54"/>
      <c r="QEQ81" s="54"/>
      <c r="QER81" s="54"/>
      <c r="QES81" s="54"/>
      <c r="QET81" s="54"/>
      <c r="QEU81" s="54"/>
      <c r="QEV81" s="54"/>
      <c r="QEW81" s="54"/>
      <c r="QEX81" s="54"/>
      <c r="QEY81" s="54"/>
      <c r="QEZ81" s="54"/>
      <c r="QFA81" s="54"/>
      <c r="QFB81" s="54"/>
      <c r="QFC81" s="54"/>
      <c r="QFD81" s="54"/>
      <c r="QFE81" s="54"/>
      <c r="QFF81" s="54"/>
      <c r="QFG81" s="54"/>
      <c r="QFH81" s="54"/>
      <c r="QFI81" s="54"/>
      <c r="QFJ81" s="54"/>
      <c r="QFK81" s="54"/>
      <c r="QFL81" s="54"/>
      <c r="QFM81" s="54"/>
      <c r="QFN81" s="54"/>
      <c r="QFO81" s="54"/>
      <c r="QFP81" s="54"/>
      <c r="QFQ81" s="54"/>
      <c r="QFR81" s="54"/>
      <c r="QFS81" s="54"/>
      <c r="QFT81" s="54"/>
      <c r="QFU81" s="54"/>
      <c r="QFV81" s="54"/>
      <c r="QFW81" s="54"/>
      <c r="QFX81" s="54"/>
      <c r="QFY81" s="54"/>
      <c r="QFZ81" s="54"/>
      <c r="QGA81" s="54"/>
      <c r="QGB81" s="54"/>
      <c r="QGC81" s="54"/>
      <c r="QGD81" s="54"/>
      <c r="QGE81" s="54"/>
      <c r="QGF81" s="54"/>
      <c r="QGG81" s="54"/>
      <c r="QGH81" s="54"/>
      <c r="QGI81" s="54"/>
      <c r="QGJ81" s="54"/>
      <c r="QGK81" s="54"/>
      <c r="QGL81" s="54"/>
      <c r="QGM81" s="54"/>
      <c r="QGN81" s="54"/>
      <c r="QGO81" s="54"/>
      <c r="QGP81" s="54"/>
      <c r="QGQ81" s="54"/>
      <c r="QGR81" s="54"/>
      <c r="QGS81" s="54"/>
      <c r="QGT81" s="54"/>
      <c r="QGU81" s="54"/>
      <c r="QGV81" s="54"/>
      <c r="QGW81" s="54"/>
      <c r="QGX81" s="54"/>
      <c r="QGY81" s="54"/>
      <c r="QGZ81" s="54"/>
      <c r="QHA81" s="54"/>
      <c r="QHB81" s="54"/>
      <c r="QHC81" s="54"/>
      <c r="QHD81" s="54"/>
      <c r="QHE81" s="54"/>
      <c r="QHF81" s="54"/>
      <c r="QHG81" s="54"/>
      <c r="QHH81" s="54"/>
      <c r="QHI81" s="54"/>
      <c r="QHJ81" s="54"/>
      <c r="QHK81" s="54"/>
      <c r="QHL81" s="54"/>
      <c r="QHM81" s="54"/>
      <c r="QHN81" s="54"/>
      <c r="QHO81" s="54"/>
      <c r="QHP81" s="54"/>
      <c r="QHQ81" s="54"/>
      <c r="QHR81" s="54"/>
      <c r="QHS81" s="54"/>
      <c r="QHT81" s="54"/>
      <c r="QHU81" s="54"/>
      <c r="QHV81" s="54"/>
      <c r="QHW81" s="54"/>
      <c r="QHX81" s="54"/>
      <c r="QHY81" s="54"/>
      <c r="QHZ81" s="54"/>
      <c r="QIA81" s="54"/>
      <c r="QIB81" s="54"/>
      <c r="QIC81" s="54"/>
      <c r="QID81" s="54"/>
      <c r="QIE81" s="54"/>
      <c r="QIF81" s="54"/>
      <c r="QIG81" s="54"/>
      <c r="QIH81" s="54"/>
      <c r="QII81" s="54"/>
      <c r="QIJ81" s="54"/>
      <c r="QIK81" s="54"/>
      <c r="QIL81" s="54"/>
      <c r="QIM81" s="54"/>
      <c r="QIN81" s="54"/>
      <c r="QIO81" s="54"/>
      <c r="QIP81" s="54"/>
      <c r="QIQ81" s="54"/>
      <c r="QIR81" s="54"/>
      <c r="QIS81" s="54"/>
      <c r="QIT81" s="54"/>
      <c r="QIU81" s="54"/>
      <c r="QIV81" s="54"/>
      <c r="QIW81" s="54"/>
      <c r="QIX81" s="54"/>
      <c r="QIY81" s="54"/>
      <c r="QIZ81" s="54"/>
      <c r="QJA81" s="54"/>
      <c r="QJB81" s="54"/>
      <c r="QJC81" s="54"/>
      <c r="QJD81" s="54"/>
      <c r="QJE81" s="54"/>
      <c r="QJF81" s="54"/>
      <c r="QJG81" s="54"/>
      <c r="QJH81" s="54"/>
      <c r="QJI81" s="54"/>
      <c r="QJJ81" s="54"/>
      <c r="QJK81" s="54"/>
      <c r="QJL81" s="54"/>
      <c r="QJM81" s="54"/>
      <c r="QJN81" s="54"/>
      <c r="QJO81" s="54"/>
      <c r="QJP81" s="54"/>
      <c r="QJQ81" s="54"/>
      <c r="QJR81" s="54"/>
      <c r="QJS81" s="54"/>
      <c r="QJT81" s="54"/>
      <c r="QJU81" s="54"/>
      <c r="QJV81" s="54"/>
      <c r="QJW81" s="54"/>
      <c r="QJX81" s="54"/>
      <c r="QJY81" s="54"/>
      <c r="QJZ81" s="54"/>
      <c r="QKA81" s="54"/>
      <c r="QKB81" s="54"/>
      <c r="QKC81" s="54"/>
      <c r="QKD81" s="54"/>
      <c r="QKE81" s="54"/>
      <c r="QKF81" s="54"/>
      <c r="QKG81" s="54"/>
      <c r="QKH81" s="54"/>
      <c r="QKI81" s="54"/>
      <c r="QKJ81" s="54"/>
      <c r="QKK81" s="54"/>
      <c r="QKL81" s="54"/>
      <c r="QKM81" s="54"/>
      <c r="QKN81" s="54"/>
      <c r="QKO81" s="54"/>
      <c r="QKP81" s="54"/>
      <c r="QKQ81" s="54"/>
      <c r="QKR81" s="54"/>
      <c r="QKS81" s="54"/>
      <c r="QKT81" s="54"/>
      <c r="QKU81" s="54"/>
      <c r="QKV81" s="54"/>
      <c r="QKW81" s="54"/>
      <c r="QKX81" s="54"/>
      <c r="QKY81" s="54"/>
      <c r="QKZ81" s="54"/>
      <c r="QLA81" s="54"/>
      <c r="QLB81" s="54"/>
      <c r="QLC81" s="54"/>
      <c r="QLD81" s="54"/>
      <c r="QLE81" s="54"/>
      <c r="QLF81" s="54"/>
      <c r="QLG81" s="54"/>
      <c r="QLH81" s="54"/>
      <c r="QLI81" s="54"/>
      <c r="QLJ81" s="54"/>
      <c r="QLK81" s="54"/>
      <c r="QLL81" s="54"/>
      <c r="QLM81" s="54"/>
      <c r="QLN81" s="54"/>
      <c r="QLO81" s="54"/>
      <c r="QLP81" s="54"/>
      <c r="QLQ81" s="54"/>
      <c r="QLR81" s="54"/>
      <c r="QLS81" s="54"/>
      <c r="QLT81" s="54"/>
      <c r="QLU81" s="54"/>
      <c r="QLV81" s="54"/>
      <c r="QLW81" s="54"/>
      <c r="QLX81" s="54"/>
      <c r="QLY81" s="54"/>
      <c r="QLZ81" s="54"/>
      <c r="QMA81" s="54"/>
      <c r="QMB81" s="54"/>
      <c r="QMC81" s="54"/>
      <c r="QMD81" s="54"/>
      <c r="QME81" s="54"/>
      <c r="QMF81" s="54"/>
      <c r="QMG81" s="54"/>
      <c r="QMH81" s="54"/>
      <c r="QMI81" s="54"/>
      <c r="QMJ81" s="54"/>
      <c r="QMK81" s="54"/>
      <c r="QML81" s="54"/>
      <c r="QMM81" s="54"/>
      <c r="QMN81" s="54"/>
      <c r="QMO81" s="54"/>
      <c r="QMP81" s="54"/>
      <c r="QMQ81" s="54"/>
      <c r="QMR81" s="54"/>
      <c r="QMS81" s="54"/>
      <c r="QMT81" s="54"/>
      <c r="QMU81" s="54"/>
      <c r="QMV81" s="54"/>
      <c r="QMW81" s="54"/>
      <c r="QMX81" s="54"/>
      <c r="QMY81" s="54"/>
      <c r="QMZ81" s="54"/>
      <c r="QNA81" s="54"/>
      <c r="QNB81" s="54"/>
      <c r="QNC81" s="54"/>
      <c r="QND81" s="54"/>
      <c r="QNE81" s="54"/>
      <c r="QNF81" s="54"/>
      <c r="QNG81" s="54"/>
      <c r="QNH81" s="54"/>
      <c r="QNI81" s="54"/>
      <c r="QNJ81" s="54"/>
      <c r="QNK81" s="54"/>
      <c r="QNL81" s="54"/>
      <c r="QNM81" s="54"/>
      <c r="QNN81" s="54"/>
      <c r="QNO81" s="54"/>
      <c r="QNP81" s="54"/>
      <c r="QNQ81" s="54"/>
      <c r="QNR81" s="54"/>
      <c r="QNS81" s="54"/>
      <c r="QNT81" s="54"/>
      <c r="QNU81" s="54"/>
      <c r="QNV81" s="54"/>
      <c r="QNW81" s="54"/>
      <c r="QNX81" s="54"/>
      <c r="QNY81" s="54"/>
      <c r="QNZ81" s="54"/>
      <c r="QOA81" s="54"/>
      <c r="QOB81" s="54"/>
      <c r="QOC81" s="54"/>
      <c r="QOD81" s="54"/>
      <c r="QOE81" s="54"/>
      <c r="QOF81" s="54"/>
      <c r="QOG81" s="54"/>
      <c r="QOH81" s="54"/>
      <c r="QOI81" s="54"/>
      <c r="QOJ81" s="54"/>
      <c r="QOK81" s="54"/>
      <c r="QOL81" s="54"/>
      <c r="QOM81" s="54"/>
      <c r="QON81" s="54"/>
      <c r="QOO81" s="54"/>
      <c r="QOP81" s="54"/>
      <c r="QOQ81" s="54"/>
      <c r="QOR81" s="54"/>
      <c r="QOS81" s="54"/>
      <c r="QOT81" s="54"/>
      <c r="QOU81" s="54"/>
      <c r="QOV81" s="54"/>
      <c r="QOW81" s="54"/>
      <c r="QOX81" s="54"/>
      <c r="QOY81" s="54"/>
      <c r="QOZ81" s="54"/>
      <c r="QPA81" s="54"/>
      <c r="QPB81" s="54"/>
      <c r="QPC81" s="54"/>
      <c r="QPD81" s="54"/>
      <c r="QPE81" s="54"/>
      <c r="QPF81" s="54"/>
      <c r="QPG81" s="54"/>
      <c r="QPH81" s="54"/>
      <c r="QPI81" s="54"/>
      <c r="QPJ81" s="54"/>
      <c r="QPK81" s="54"/>
      <c r="QPL81" s="54"/>
      <c r="QPM81" s="54"/>
      <c r="QPN81" s="54"/>
      <c r="QPO81" s="54"/>
      <c r="QPP81" s="54"/>
      <c r="QPQ81" s="54"/>
      <c r="QPR81" s="54"/>
      <c r="QPS81" s="54"/>
      <c r="QPT81" s="54"/>
      <c r="QPU81" s="54"/>
      <c r="QPV81" s="54"/>
      <c r="QPW81" s="54"/>
      <c r="QPX81" s="54"/>
      <c r="QPY81" s="54"/>
      <c r="QPZ81" s="54"/>
      <c r="QQA81" s="54"/>
      <c r="QQB81" s="54"/>
      <c r="QQC81" s="54"/>
      <c r="QQD81" s="54"/>
      <c r="QQE81" s="54"/>
      <c r="QQF81" s="54"/>
      <c r="QQG81" s="54"/>
      <c r="QQH81" s="54"/>
      <c r="QQI81" s="54"/>
      <c r="QQJ81" s="54"/>
      <c r="QQK81" s="54"/>
      <c r="QQL81" s="54"/>
      <c r="QQM81" s="54"/>
      <c r="QQN81" s="54"/>
      <c r="QQO81" s="54"/>
      <c r="QQP81" s="54"/>
      <c r="QQQ81" s="54"/>
      <c r="QQR81" s="54"/>
      <c r="QQS81" s="54"/>
      <c r="QQT81" s="54"/>
      <c r="QQU81" s="54"/>
      <c r="QQV81" s="54"/>
      <c r="QQW81" s="54"/>
      <c r="QQX81" s="54"/>
      <c r="QQY81" s="54"/>
      <c r="QQZ81" s="54"/>
      <c r="QRA81" s="54"/>
      <c r="QRB81" s="54"/>
      <c r="QRC81" s="54"/>
      <c r="QRD81" s="54"/>
      <c r="QRE81" s="54"/>
      <c r="QRF81" s="54"/>
      <c r="QRG81" s="54"/>
      <c r="QRH81" s="54"/>
      <c r="QRI81" s="54"/>
      <c r="QRJ81" s="54"/>
      <c r="QRK81" s="54"/>
      <c r="QRL81" s="54"/>
      <c r="QRM81" s="54"/>
      <c r="QRN81" s="54"/>
      <c r="QRO81" s="54"/>
      <c r="QRP81" s="54"/>
      <c r="QRQ81" s="54"/>
      <c r="QRR81" s="54"/>
      <c r="QRS81" s="54"/>
      <c r="QRT81" s="54"/>
      <c r="QRU81" s="54"/>
      <c r="QRV81" s="54"/>
      <c r="QRW81" s="54"/>
      <c r="QRX81" s="54"/>
      <c r="QRY81" s="54"/>
      <c r="QRZ81" s="54"/>
      <c r="QSA81" s="54"/>
      <c r="QSB81" s="54"/>
      <c r="QSC81" s="54"/>
      <c r="QSD81" s="54"/>
      <c r="QSE81" s="54"/>
      <c r="QSF81" s="54"/>
      <c r="QSG81" s="54"/>
      <c r="QSH81" s="54"/>
      <c r="QSI81" s="54"/>
      <c r="QSJ81" s="54"/>
      <c r="QSK81" s="54"/>
      <c r="QSL81" s="54"/>
      <c r="QSM81" s="54"/>
      <c r="QSN81" s="54"/>
      <c r="QSO81" s="54"/>
      <c r="QSP81" s="54"/>
      <c r="QSQ81" s="54"/>
      <c r="QSR81" s="54"/>
      <c r="QSS81" s="54"/>
      <c r="QST81" s="54"/>
      <c r="QSU81" s="54"/>
      <c r="QSV81" s="54"/>
      <c r="QSW81" s="54"/>
      <c r="QSX81" s="54"/>
      <c r="QSY81" s="54"/>
      <c r="QSZ81" s="54"/>
      <c r="QTA81" s="54"/>
      <c r="QTB81" s="54"/>
      <c r="QTC81" s="54"/>
      <c r="QTD81" s="54"/>
      <c r="QTE81" s="54"/>
      <c r="QTF81" s="54"/>
      <c r="QTG81" s="54"/>
      <c r="QTH81" s="54"/>
      <c r="QTI81" s="54"/>
      <c r="QTJ81" s="54"/>
      <c r="QTK81" s="54"/>
      <c r="QTL81" s="54"/>
      <c r="QTM81" s="54"/>
      <c r="QTN81" s="54"/>
      <c r="QTO81" s="54"/>
      <c r="QTP81" s="54"/>
      <c r="QTQ81" s="54"/>
      <c r="QTR81" s="54"/>
      <c r="QTS81" s="54"/>
      <c r="QTT81" s="54"/>
      <c r="QTU81" s="54"/>
      <c r="QTV81" s="54"/>
      <c r="QTW81" s="54"/>
      <c r="QTX81" s="54"/>
      <c r="QTY81" s="54"/>
      <c r="QTZ81" s="54"/>
      <c r="QUA81" s="54"/>
      <c r="QUB81" s="54"/>
      <c r="QUC81" s="54"/>
      <c r="QUD81" s="54"/>
      <c r="QUE81" s="54"/>
      <c r="QUF81" s="54"/>
      <c r="QUG81" s="54"/>
      <c r="QUH81" s="54"/>
      <c r="QUI81" s="54"/>
      <c r="QUJ81" s="54"/>
      <c r="QUK81" s="54"/>
      <c r="QUL81" s="54"/>
      <c r="QUM81" s="54"/>
      <c r="QUN81" s="54"/>
      <c r="QUO81" s="54"/>
      <c r="QUP81" s="54"/>
      <c r="QUQ81" s="54"/>
      <c r="QUR81" s="54"/>
      <c r="QUS81" s="54"/>
      <c r="QUT81" s="54"/>
      <c r="QUU81" s="54"/>
      <c r="QUV81" s="54"/>
      <c r="QUW81" s="54"/>
      <c r="QUX81" s="54"/>
      <c r="QUY81" s="54"/>
      <c r="QUZ81" s="54"/>
      <c r="QVA81" s="54"/>
      <c r="QVB81" s="54"/>
      <c r="QVC81" s="54"/>
      <c r="QVD81" s="54"/>
      <c r="QVE81" s="54"/>
      <c r="QVF81" s="54"/>
      <c r="QVG81" s="54"/>
      <c r="QVH81" s="54"/>
      <c r="QVI81" s="54"/>
      <c r="QVJ81" s="54"/>
      <c r="QVK81" s="54"/>
      <c r="QVL81" s="54"/>
      <c r="QVM81" s="54"/>
      <c r="QVN81" s="54"/>
      <c r="QVO81" s="54"/>
      <c r="QVP81" s="54"/>
      <c r="QVQ81" s="54"/>
      <c r="QVR81" s="54"/>
      <c r="QVS81" s="54"/>
      <c r="QVT81" s="54"/>
      <c r="QVU81" s="54"/>
      <c r="QVV81" s="54"/>
      <c r="QVW81" s="54"/>
      <c r="QVX81" s="54"/>
      <c r="QVY81" s="54"/>
      <c r="QVZ81" s="54"/>
      <c r="QWA81" s="54"/>
      <c r="QWB81" s="54"/>
      <c r="QWC81" s="54"/>
      <c r="QWD81" s="54"/>
      <c r="QWE81" s="54"/>
      <c r="QWF81" s="54"/>
      <c r="QWG81" s="54"/>
      <c r="QWH81" s="54"/>
      <c r="QWI81" s="54"/>
      <c r="QWJ81" s="54"/>
      <c r="QWK81" s="54"/>
      <c r="QWL81" s="54"/>
      <c r="QWM81" s="54"/>
      <c r="QWN81" s="54"/>
      <c r="QWO81" s="54"/>
      <c r="QWP81" s="54"/>
      <c r="QWQ81" s="54"/>
      <c r="QWR81" s="54"/>
      <c r="QWS81" s="54"/>
      <c r="QWT81" s="54"/>
      <c r="QWU81" s="54"/>
      <c r="QWV81" s="54"/>
      <c r="QWW81" s="54"/>
      <c r="QWX81" s="54"/>
      <c r="QWY81" s="54"/>
      <c r="QWZ81" s="54"/>
      <c r="QXA81" s="54"/>
      <c r="QXB81" s="54"/>
      <c r="QXC81" s="54"/>
      <c r="QXD81" s="54"/>
      <c r="QXE81" s="54"/>
      <c r="QXF81" s="54"/>
      <c r="QXG81" s="54"/>
      <c r="QXH81" s="54"/>
      <c r="QXI81" s="54"/>
      <c r="QXJ81" s="54"/>
      <c r="QXK81" s="54"/>
      <c r="QXL81" s="54"/>
      <c r="QXM81" s="54"/>
      <c r="QXN81" s="54"/>
      <c r="QXO81" s="54"/>
      <c r="QXP81" s="54"/>
      <c r="QXQ81" s="54"/>
      <c r="QXR81" s="54"/>
      <c r="QXS81" s="54"/>
      <c r="QXT81" s="54"/>
      <c r="QXU81" s="54"/>
      <c r="QXV81" s="54"/>
      <c r="QXW81" s="54"/>
      <c r="QXX81" s="54"/>
      <c r="QXY81" s="54"/>
      <c r="QXZ81" s="54"/>
      <c r="QYA81" s="54"/>
      <c r="QYB81" s="54"/>
      <c r="QYC81" s="54"/>
      <c r="QYD81" s="54"/>
      <c r="QYE81" s="54"/>
      <c r="QYF81" s="54"/>
      <c r="QYG81" s="54"/>
      <c r="QYH81" s="54"/>
      <c r="QYI81" s="54"/>
      <c r="QYJ81" s="54"/>
      <c r="QYK81" s="54"/>
      <c r="QYL81" s="54"/>
      <c r="QYM81" s="54"/>
      <c r="QYN81" s="54"/>
      <c r="QYO81" s="54"/>
      <c r="QYP81" s="54"/>
      <c r="QYQ81" s="54"/>
      <c r="QYR81" s="54"/>
      <c r="QYS81" s="54"/>
      <c r="QYT81" s="54"/>
      <c r="QYU81" s="54"/>
      <c r="QYV81" s="54"/>
      <c r="QYW81" s="54"/>
      <c r="QYX81" s="54"/>
      <c r="QYY81" s="54"/>
      <c r="QYZ81" s="54"/>
      <c r="QZA81" s="54"/>
      <c r="QZB81" s="54"/>
      <c r="QZC81" s="54"/>
      <c r="QZD81" s="54"/>
      <c r="QZE81" s="54"/>
      <c r="QZF81" s="54"/>
      <c r="QZG81" s="54"/>
      <c r="QZH81" s="54"/>
      <c r="QZI81" s="54"/>
      <c r="QZJ81" s="54"/>
      <c r="QZK81" s="54"/>
      <c r="QZL81" s="54"/>
      <c r="QZM81" s="54"/>
      <c r="QZN81" s="54"/>
      <c r="QZO81" s="54"/>
      <c r="QZP81" s="54"/>
      <c r="QZQ81" s="54"/>
      <c r="QZR81" s="54"/>
      <c r="QZS81" s="54"/>
      <c r="QZT81" s="54"/>
      <c r="QZU81" s="54"/>
      <c r="QZV81" s="54"/>
      <c r="QZW81" s="54"/>
      <c r="QZX81" s="54"/>
      <c r="QZY81" s="54"/>
      <c r="QZZ81" s="54"/>
      <c r="RAA81" s="54"/>
      <c r="RAB81" s="54"/>
      <c r="RAC81" s="54"/>
      <c r="RAD81" s="54"/>
      <c r="RAE81" s="54"/>
      <c r="RAF81" s="54"/>
      <c r="RAG81" s="54"/>
      <c r="RAH81" s="54"/>
      <c r="RAI81" s="54"/>
      <c r="RAJ81" s="54"/>
      <c r="RAK81" s="54"/>
      <c r="RAL81" s="54"/>
      <c r="RAM81" s="54"/>
      <c r="RAN81" s="54"/>
      <c r="RAO81" s="54"/>
      <c r="RAP81" s="54"/>
      <c r="RAQ81" s="54"/>
      <c r="RAR81" s="54"/>
      <c r="RAS81" s="54"/>
      <c r="RAT81" s="54"/>
      <c r="RAU81" s="54"/>
      <c r="RAV81" s="54"/>
      <c r="RAW81" s="54"/>
      <c r="RAX81" s="54"/>
      <c r="RAY81" s="54"/>
      <c r="RAZ81" s="54"/>
      <c r="RBA81" s="54"/>
      <c r="RBB81" s="54"/>
      <c r="RBC81" s="54"/>
      <c r="RBD81" s="54"/>
      <c r="RBE81" s="54"/>
      <c r="RBF81" s="54"/>
      <c r="RBG81" s="54"/>
      <c r="RBH81" s="54"/>
      <c r="RBI81" s="54"/>
      <c r="RBJ81" s="54"/>
      <c r="RBK81" s="54"/>
      <c r="RBL81" s="54"/>
      <c r="RBM81" s="54"/>
      <c r="RBN81" s="54"/>
      <c r="RBO81" s="54"/>
      <c r="RBP81" s="54"/>
      <c r="RBQ81" s="54"/>
      <c r="RBR81" s="54"/>
      <c r="RBS81" s="54"/>
      <c r="RBT81" s="54"/>
      <c r="RBU81" s="54"/>
      <c r="RBV81" s="54"/>
      <c r="RBW81" s="54"/>
      <c r="RBX81" s="54"/>
      <c r="RBY81" s="54"/>
      <c r="RBZ81" s="54"/>
      <c r="RCA81" s="54"/>
      <c r="RCB81" s="54"/>
      <c r="RCC81" s="54"/>
      <c r="RCD81" s="54"/>
      <c r="RCE81" s="54"/>
      <c r="RCF81" s="54"/>
      <c r="RCG81" s="54"/>
      <c r="RCH81" s="54"/>
      <c r="RCI81" s="54"/>
      <c r="RCJ81" s="54"/>
      <c r="RCK81" s="54"/>
      <c r="RCL81" s="54"/>
      <c r="RCM81" s="54"/>
      <c r="RCN81" s="54"/>
      <c r="RCO81" s="54"/>
      <c r="RCP81" s="54"/>
      <c r="RCQ81" s="54"/>
      <c r="RCR81" s="54"/>
      <c r="RCS81" s="54"/>
      <c r="RCT81" s="54"/>
      <c r="RCU81" s="54"/>
      <c r="RCV81" s="54"/>
      <c r="RCW81" s="54"/>
      <c r="RCX81" s="54"/>
      <c r="RCY81" s="54"/>
      <c r="RCZ81" s="54"/>
      <c r="RDA81" s="54"/>
      <c r="RDB81" s="54"/>
      <c r="RDC81" s="54"/>
      <c r="RDD81" s="54"/>
      <c r="RDE81" s="54"/>
      <c r="RDF81" s="54"/>
      <c r="RDG81" s="54"/>
      <c r="RDH81" s="54"/>
      <c r="RDI81" s="54"/>
      <c r="RDJ81" s="54"/>
      <c r="RDK81" s="54"/>
      <c r="RDL81" s="54"/>
      <c r="RDM81" s="54"/>
      <c r="RDN81" s="54"/>
      <c r="RDO81" s="54"/>
      <c r="RDP81" s="54"/>
      <c r="RDQ81" s="54"/>
      <c r="RDR81" s="54"/>
      <c r="RDS81" s="54"/>
      <c r="RDT81" s="54"/>
      <c r="RDU81" s="54"/>
      <c r="RDV81" s="54"/>
      <c r="RDW81" s="54"/>
      <c r="RDX81" s="54"/>
      <c r="RDY81" s="54"/>
      <c r="RDZ81" s="54"/>
      <c r="REA81" s="54"/>
      <c r="REB81" s="54"/>
      <c r="REC81" s="54"/>
      <c r="RED81" s="54"/>
      <c r="REE81" s="54"/>
      <c r="REF81" s="54"/>
      <c r="REG81" s="54"/>
      <c r="REH81" s="54"/>
      <c r="REI81" s="54"/>
      <c r="REJ81" s="54"/>
      <c r="REK81" s="54"/>
      <c r="REL81" s="54"/>
      <c r="REM81" s="54"/>
      <c r="REN81" s="54"/>
      <c r="REO81" s="54"/>
      <c r="REP81" s="54"/>
      <c r="REQ81" s="54"/>
      <c r="RER81" s="54"/>
      <c r="RES81" s="54"/>
      <c r="RET81" s="54"/>
      <c r="REU81" s="54"/>
      <c r="REV81" s="54"/>
      <c r="REW81" s="54"/>
      <c r="REX81" s="54"/>
      <c r="REY81" s="54"/>
      <c r="REZ81" s="54"/>
      <c r="RFA81" s="54"/>
      <c r="RFB81" s="54"/>
      <c r="RFC81" s="54"/>
      <c r="RFD81" s="54"/>
      <c r="RFE81" s="54"/>
      <c r="RFF81" s="54"/>
      <c r="RFG81" s="54"/>
      <c r="RFH81" s="54"/>
      <c r="RFI81" s="54"/>
      <c r="RFJ81" s="54"/>
      <c r="RFK81" s="54"/>
      <c r="RFL81" s="54"/>
      <c r="RFM81" s="54"/>
      <c r="RFN81" s="54"/>
      <c r="RFO81" s="54"/>
      <c r="RFP81" s="54"/>
      <c r="RFQ81" s="54"/>
      <c r="RFR81" s="54"/>
      <c r="RFS81" s="54"/>
      <c r="RFT81" s="54"/>
      <c r="RFU81" s="54"/>
      <c r="RFV81" s="54"/>
      <c r="RFW81" s="54"/>
      <c r="RFX81" s="54"/>
      <c r="RFY81" s="54"/>
      <c r="RFZ81" s="54"/>
      <c r="RGA81" s="54"/>
      <c r="RGB81" s="54"/>
      <c r="RGC81" s="54"/>
      <c r="RGD81" s="54"/>
      <c r="RGE81" s="54"/>
      <c r="RGF81" s="54"/>
      <c r="RGG81" s="54"/>
      <c r="RGH81" s="54"/>
      <c r="RGI81" s="54"/>
      <c r="RGJ81" s="54"/>
      <c r="RGK81" s="54"/>
      <c r="RGL81" s="54"/>
      <c r="RGM81" s="54"/>
      <c r="RGN81" s="54"/>
      <c r="RGO81" s="54"/>
      <c r="RGP81" s="54"/>
      <c r="RGQ81" s="54"/>
      <c r="RGR81" s="54"/>
      <c r="RGS81" s="54"/>
      <c r="RGT81" s="54"/>
      <c r="RGU81" s="54"/>
      <c r="RGV81" s="54"/>
      <c r="RGW81" s="54"/>
      <c r="RGX81" s="54"/>
      <c r="RGY81" s="54"/>
      <c r="RGZ81" s="54"/>
      <c r="RHA81" s="54"/>
      <c r="RHB81" s="54"/>
      <c r="RHC81" s="54"/>
      <c r="RHD81" s="54"/>
      <c r="RHE81" s="54"/>
      <c r="RHF81" s="54"/>
      <c r="RHG81" s="54"/>
      <c r="RHH81" s="54"/>
      <c r="RHI81" s="54"/>
      <c r="RHJ81" s="54"/>
      <c r="RHK81" s="54"/>
      <c r="RHL81" s="54"/>
      <c r="RHM81" s="54"/>
      <c r="RHN81" s="54"/>
      <c r="RHO81" s="54"/>
      <c r="RHP81" s="54"/>
      <c r="RHQ81" s="54"/>
      <c r="RHR81" s="54"/>
      <c r="RHS81" s="54"/>
      <c r="RHT81" s="54"/>
      <c r="RHU81" s="54"/>
      <c r="RHV81" s="54"/>
      <c r="RHW81" s="54"/>
      <c r="RHX81" s="54"/>
      <c r="RHY81" s="54"/>
      <c r="RHZ81" s="54"/>
      <c r="RIA81" s="54"/>
      <c r="RIB81" s="54"/>
      <c r="RIC81" s="54"/>
      <c r="RID81" s="54"/>
      <c r="RIE81" s="54"/>
      <c r="RIF81" s="54"/>
      <c r="RIG81" s="54"/>
      <c r="RIH81" s="54"/>
      <c r="RII81" s="54"/>
      <c r="RIJ81" s="54"/>
      <c r="RIK81" s="54"/>
      <c r="RIL81" s="54"/>
      <c r="RIM81" s="54"/>
      <c r="RIN81" s="54"/>
      <c r="RIO81" s="54"/>
      <c r="RIP81" s="54"/>
      <c r="RIQ81" s="54"/>
      <c r="RIR81" s="54"/>
      <c r="RIS81" s="54"/>
      <c r="RIT81" s="54"/>
      <c r="RIU81" s="54"/>
      <c r="RIV81" s="54"/>
      <c r="RIW81" s="54"/>
      <c r="RIX81" s="54"/>
      <c r="RIY81" s="54"/>
      <c r="RIZ81" s="54"/>
      <c r="RJA81" s="54"/>
      <c r="RJB81" s="54"/>
      <c r="RJC81" s="54"/>
      <c r="RJD81" s="54"/>
      <c r="RJE81" s="54"/>
      <c r="RJF81" s="54"/>
      <c r="RJG81" s="54"/>
      <c r="RJH81" s="54"/>
      <c r="RJI81" s="54"/>
      <c r="RJJ81" s="54"/>
      <c r="RJK81" s="54"/>
      <c r="RJL81" s="54"/>
      <c r="RJM81" s="54"/>
      <c r="RJN81" s="54"/>
      <c r="RJO81" s="54"/>
      <c r="RJP81" s="54"/>
      <c r="RJQ81" s="54"/>
      <c r="RJR81" s="54"/>
      <c r="RJS81" s="54"/>
      <c r="RJT81" s="54"/>
      <c r="RJU81" s="54"/>
      <c r="RJV81" s="54"/>
      <c r="RJW81" s="54"/>
      <c r="RJX81" s="54"/>
      <c r="RJY81" s="54"/>
      <c r="RJZ81" s="54"/>
      <c r="RKA81" s="54"/>
      <c r="RKB81" s="54"/>
      <c r="RKC81" s="54"/>
      <c r="RKD81" s="54"/>
      <c r="RKE81" s="54"/>
      <c r="RKF81" s="54"/>
      <c r="RKG81" s="54"/>
      <c r="RKH81" s="54"/>
      <c r="RKI81" s="54"/>
      <c r="RKJ81" s="54"/>
      <c r="RKK81" s="54"/>
      <c r="RKL81" s="54"/>
      <c r="RKM81" s="54"/>
      <c r="RKN81" s="54"/>
      <c r="RKO81" s="54"/>
      <c r="RKP81" s="54"/>
      <c r="RKQ81" s="54"/>
      <c r="RKR81" s="54"/>
      <c r="RKS81" s="54"/>
      <c r="RKT81" s="54"/>
      <c r="RKU81" s="54"/>
      <c r="RKV81" s="54"/>
      <c r="RKW81" s="54"/>
      <c r="RKX81" s="54"/>
      <c r="RKY81" s="54"/>
      <c r="RKZ81" s="54"/>
      <c r="RLA81" s="54"/>
      <c r="RLB81" s="54"/>
      <c r="RLC81" s="54"/>
      <c r="RLD81" s="54"/>
      <c r="RLE81" s="54"/>
      <c r="RLF81" s="54"/>
      <c r="RLG81" s="54"/>
      <c r="RLH81" s="54"/>
      <c r="RLI81" s="54"/>
      <c r="RLJ81" s="54"/>
      <c r="RLK81" s="54"/>
      <c r="RLL81" s="54"/>
      <c r="RLM81" s="54"/>
      <c r="RLN81" s="54"/>
      <c r="RLO81" s="54"/>
      <c r="RLP81" s="54"/>
      <c r="RLQ81" s="54"/>
      <c r="RLR81" s="54"/>
      <c r="RLS81" s="54"/>
      <c r="RLT81" s="54"/>
      <c r="RLU81" s="54"/>
      <c r="RLV81" s="54"/>
      <c r="RLW81" s="54"/>
      <c r="RLX81" s="54"/>
      <c r="RLY81" s="54"/>
      <c r="RLZ81" s="54"/>
      <c r="RMA81" s="54"/>
      <c r="RMB81" s="54"/>
      <c r="RMC81" s="54"/>
      <c r="RMD81" s="54"/>
      <c r="RME81" s="54"/>
      <c r="RMF81" s="54"/>
      <c r="RMG81" s="54"/>
      <c r="RMH81" s="54"/>
      <c r="RMI81" s="54"/>
      <c r="RMJ81" s="54"/>
      <c r="RMK81" s="54"/>
      <c r="RML81" s="54"/>
      <c r="RMM81" s="54"/>
      <c r="RMN81" s="54"/>
      <c r="RMO81" s="54"/>
      <c r="RMP81" s="54"/>
      <c r="RMQ81" s="54"/>
      <c r="RMR81" s="54"/>
      <c r="RMS81" s="54"/>
      <c r="RMT81" s="54"/>
      <c r="RMU81" s="54"/>
      <c r="RMV81" s="54"/>
      <c r="RMW81" s="54"/>
      <c r="RMX81" s="54"/>
      <c r="RMY81" s="54"/>
      <c r="RMZ81" s="54"/>
      <c r="RNA81" s="54"/>
      <c r="RNB81" s="54"/>
      <c r="RNC81" s="54"/>
      <c r="RND81" s="54"/>
      <c r="RNE81" s="54"/>
      <c r="RNF81" s="54"/>
      <c r="RNG81" s="54"/>
      <c r="RNH81" s="54"/>
      <c r="RNI81" s="54"/>
      <c r="RNJ81" s="54"/>
      <c r="RNK81" s="54"/>
      <c r="RNL81" s="54"/>
      <c r="RNM81" s="54"/>
      <c r="RNN81" s="54"/>
      <c r="RNO81" s="54"/>
      <c r="RNP81" s="54"/>
      <c r="RNQ81" s="54"/>
      <c r="RNR81" s="54"/>
      <c r="RNS81" s="54"/>
      <c r="RNT81" s="54"/>
      <c r="RNU81" s="54"/>
      <c r="RNV81" s="54"/>
      <c r="RNW81" s="54"/>
      <c r="RNX81" s="54"/>
      <c r="RNY81" s="54"/>
      <c r="RNZ81" s="54"/>
      <c r="ROA81" s="54"/>
      <c r="ROB81" s="54"/>
      <c r="ROC81" s="54"/>
      <c r="ROD81" s="54"/>
      <c r="ROE81" s="54"/>
      <c r="ROF81" s="54"/>
      <c r="ROG81" s="54"/>
      <c r="ROH81" s="54"/>
      <c r="ROI81" s="54"/>
      <c r="ROJ81" s="54"/>
      <c r="ROK81" s="54"/>
      <c r="ROL81" s="54"/>
      <c r="ROM81" s="54"/>
      <c r="RON81" s="54"/>
      <c r="ROO81" s="54"/>
      <c r="ROP81" s="54"/>
      <c r="ROQ81" s="54"/>
      <c r="ROR81" s="54"/>
      <c r="ROS81" s="54"/>
      <c r="ROT81" s="54"/>
      <c r="ROU81" s="54"/>
      <c r="ROV81" s="54"/>
      <c r="ROW81" s="54"/>
      <c r="ROX81" s="54"/>
      <c r="ROY81" s="54"/>
      <c r="ROZ81" s="54"/>
      <c r="RPA81" s="54"/>
      <c r="RPB81" s="54"/>
      <c r="RPC81" s="54"/>
      <c r="RPD81" s="54"/>
      <c r="RPE81" s="54"/>
      <c r="RPF81" s="54"/>
      <c r="RPG81" s="54"/>
      <c r="RPH81" s="54"/>
      <c r="RPI81" s="54"/>
      <c r="RPJ81" s="54"/>
      <c r="RPK81" s="54"/>
      <c r="RPL81" s="54"/>
      <c r="RPM81" s="54"/>
      <c r="RPN81" s="54"/>
      <c r="RPO81" s="54"/>
      <c r="RPP81" s="54"/>
      <c r="RPQ81" s="54"/>
      <c r="RPR81" s="54"/>
      <c r="RPS81" s="54"/>
      <c r="RPT81" s="54"/>
      <c r="RPU81" s="54"/>
      <c r="RPV81" s="54"/>
      <c r="RPW81" s="54"/>
      <c r="RPX81" s="54"/>
      <c r="RPY81" s="54"/>
      <c r="RPZ81" s="54"/>
      <c r="RQA81" s="54"/>
      <c r="RQB81" s="54"/>
      <c r="RQC81" s="54"/>
      <c r="RQD81" s="54"/>
      <c r="RQE81" s="54"/>
      <c r="RQF81" s="54"/>
      <c r="RQG81" s="54"/>
      <c r="RQH81" s="54"/>
      <c r="RQI81" s="54"/>
      <c r="RQJ81" s="54"/>
      <c r="RQK81" s="54"/>
      <c r="RQL81" s="54"/>
      <c r="RQM81" s="54"/>
      <c r="RQN81" s="54"/>
      <c r="RQO81" s="54"/>
      <c r="RQP81" s="54"/>
      <c r="RQQ81" s="54"/>
      <c r="RQR81" s="54"/>
      <c r="RQS81" s="54"/>
      <c r="RQT81" s="54"/>
      <c r="RQU81" s="54"/>
      <c r="RQV81" s="54"/>
      <c r="RQW81" s="54"/>
      <c r="RQX81" s="54"/>
      <c r="RQY81" s="54"/>
      <c r="RQZ81" s="54"/>
      <c r="RRA81" s="54"/>
      <c r="RRB81" s="54"/>
      <c r="RRC81" s="54"/>
      <c r="RRD81" s="54"/>
      <c r="RRE81" s="54"/>
      <c r="RRF81" s="54"/>
      <c r="RRG81" s="54"/>
      <c r="RRH81" s="54"/>
      <c r="RRI81" s="54"/>
      <c r="RRJ81" s="54"/>
      <c r="RRK81" s="54"/>
      <c r="RRL81" s="54"/>
      <c r="RRM81" s="54"/>
      <c r="RRN81" s="54"/>
      <c r="RRO81" s="54"/>
      <c r="RRP81" s="54"/>
      <c r="RRQ81" s="54"/>
      <c r="RRR81" s="54"/>
      <c r="RRS81" s="54"/>
      <c r="RRT81" s="54"/>
      <c r="RRU81" s="54"/>
      <c r="RRV81" s="54"/>
      <c r="RRW81" s="54"/>
      <c r="RRX81" s="54"/>
      <c r="RRY81" s="54"/>
      <c r="RRZ81" s="54"/>
      <c r="RSA81" s="54"/>
      <c r="RSB81" s="54"/>
      <c r="RSC81" s="54"/>
      <c r="RSD81" s="54"/>
      <c r="RSE81" s="54"/>
      <c r="RSF81" s="54"/>
      <c r="RSG81" s="54"/>
      <c r="RSH81" s="54"/>
      <c r="RSI81" s="54"/>
      <c r="RSJ81" s="54"/>
      <c r="RSK81" s="54"/>
      <c r="RSL81" s="54"/>
      <c r="RSM81" s="54"/>
      <c r="RSN81" s="54"/>
      <c r="RSO81" s="54"/>
      <c r="RSP81" s="54"/>
      <c r="RSQ81" s="54"/>
      <c r="RSR81" s="54"/>
      <c r="RSS81" s="54"/>
      <c r="RST81" s="54"/>
      <c r="RSU81" s="54"/>
      <c r="RSV81" s="54"/>
      <c r="RSW81" s="54"/>
      <c r="RSX81" s="54"/>
      <c r="RSY81" s="54"/>
      <c r="RSZ81" s="54"/>
      <c r="RTA81" s="54"/>
      <c r="RTB81" s="54"/>
      <c r="RTC81" s="54"/>
      <c r="RTD81" s="54"/>
      <c r="RTE81" s="54"/>
      <c r="RTF81" s="54"/>
      <c r="RTG81" s="54"/>
      <c r="RTH81" s="54"/>
      <c r="RTI81" s="54"/>
      <c r="RTJ81" s="54"/>
      <c r="RTK81" s="54"/>
      <c r="RTL81" s="54"/>
      <c r="RTM81" s="54"/>
      <c r="RTN81" s="54"/>
      <c r="RTO81" s="54"/>
      <c r="RTP81" s="54"/>
      <c r="RTQ81" s="54"/>
      <c r="RTR81" s="54"/>
      <c r="RTS81" s="54"/>
      <c r="RTT81" s="54"/>
      <c r="RTU81" s="54"/>
      <c r="RTV81" s="54"/>
      <c r="RTW81" s="54"/>
      <c r="RTX81" s="54"/>
      <c r="RTY81" s="54"/>
      <c r="RTZ81" s="54"/>
      <c r="RUA81" s="54"/>
      <c r="RUB81" s="54"/>
      <c r="RUC81" s="54"/>
      <c r="RUD81" s="54"/>
      <c r="RUE81" s="54"/>
      <c r="RUF81" s="54"/>
      <c r="RUG81" s="54"/>
      <c r="RUH81" s="54"/>
      <c r="RUI81" s="54"/>
      <c r="RUJ81" s="54"/>
      <c r="RUK81" s="54"/>
      <c r="RUL81" s="54"/>
      <c r="RUM81" s="54"/>
      <c r="RUN81" s="54"/>
      <c r="RUO81" s="54"/>
      <c r="RUP81" s="54"/>
      <c r="RUQ81" s="54"/>
      <c r="RUR81" s="54"/>
      <c r="RUS81" s="54"/>
      <c r="RUT81" s="54"/>
      <c r="RUU81" s="54"/>
      <c r="RUV81" s="54"/>
      <c r="RUW81" s="54"/>
      <c r="RUX81" s="54"/>
      <c r="RUY81" s="54"/>
      <c r="RUZ81" s="54"/>
      <c r="RVA81" s="54"/>
      <c r="RVB81" s="54"/>
      <c r="RVC81" s="54"/>
      <c r="RVD81" s="54"/>
      <c r="RVE81" s="54"/>
      <c r="RVF81" s="54"/>
      <c r="RVG81" s="54"/>
      <c r="RVH81" s="54"/>
      <c r="RVI81" s="54"/>
      <c r="RVJ81" s="54"/>
      <c r="RVK81" s="54"/>
      <c r="RVL81" s="54"/>
      <c r="RVM81" s="54"/>
      <c r="RVN81" s="54"/>
      <c r="RVO81" s="54"/>
      <c r="RVP81" s="54"/>
      <c r="RVQ81" s="54"/>
      <c r="RVR81" s="54"/>
      <c r="RVS81" s="54"/>
      <c r="RVT81" s="54"/>
      <c r="RVU81" s="54"/>
      <c r="RVV81" s="54"/>
      <c r="RVW81" s="54"/>
      <c r="RVX81" s="54"/>
      <c r="RVY81" s="54"/>
      <c r="RVZ81" s="54"/>
      <c r="RWA81" s="54"/>
      <c r="RWB81" s="54"/>
      <c r="RWC81" s="54"/>
      <c r="RWD81" s="54"/>
      <c r="RWE81" s="54"/>
      <c r="RWF81" s="54"/>
      <c r="RWG81" s="54"/>
      <c r="RWH81" s="54"/>
      <c r="RWI81" s="54"/>
      <c r="RWJ81" s="54"/>
      <c r="RWK81" s="54"/>
      <c r="RWL81" s="54"/>
      <c r="RWM81" s="54"/>
      <c r="RWN81" s="54"/>
      <c r="RWO81" s="54"/>
      <c r="RWP81" s="54"/>
      <c r="RWQ81" s="54"/>
      <c r="RWR81" s="54"/>
      <c r="RWS81" s="54"/>
      <c r="RWT81" s="54"/>
      <c r="RWU81" s="54"/>
      <c r="RWV81" s="54"/>
      <c r="RWW81" s="54"/>
      <c r="RWX81" s="54"/>
      <c r="RWY81" s="54"/>
      <c r="RWZ81" s="54"/>
      <c r="RXA81" s="54"/>
      <c r="RXB81" s="54"/>
      <c r="RXC81" s="54"/>
      <c r="RXD81" s="54"/>
      <c r="RXE81" s="54"/>
      <c r="RXF81" s="54"/>
      <c r="RXG81" s="54"/>
      <c r="RXH81" s="54"/>
      <c r="RXI81" s="54"/>
      <c r="RXJ81" s="54"/>
      <c r="RXK81" s="54"/>
      <c r="RXL81" s="54"/>
      <c r="RXM81" s="54"/>
      <c r="RXN81" s="54"/>
      <c r="RXO81" s="54"/>
      <c r="RXP81" s="54"/>
      <c r="RXQ81" s="54"/>
      <c r="RXR81" s="54"/>
      <c r="RXS81" s="54"/>
      <c r="RXT81" s="54"/>
      <c r="RXU81" s="54"/>
      <c r="RXV81" s="54"/>
      <c r="RXW81" s="54"/>
      <c r="RXX81" s="54"/>
      <c r="RXY81" s="54"/>
      <c r="RXZ81" s="54"/>
      <c r="RYA81" s="54"/>
      <c r="RYB81" s="54"/>
      <c r="RYC81" s="54"/>
      <c r="RYD81" s="54"/>
      <c r="RYE81" s="54"/>
      <c r="RYF81" s="54"/>
      <c r="RYG81" s="54"/>
      <c r="RYH81" s="54"/>
      <c r="RYI81" s="54"/>
      <c r="RYJ81" s="54"/>
      <c r="RYK81" s="54"/>
      <c r="RYL81" s="54"/>
      <c r="RYM81" s="54"/>
      <c r="RYN81" s="54"/>
      <c r="RYO81" s="54"/>
      <c r="RYP81" s="54"/>
      <c r="RYQ81" s="54"/>
      <c r="RYR81" s="54"/>
      <c r="RYS81" s="54"/>
      <c r="RYT81" s="54"/>
      <c r="RYU81" s="54"/>
      <c r="RYV81" s="54"/>
      <c r="RYW81" s="54"/>
      <c r="RYX81" s="54"/>
      <c r="RYY81" s="54"/>
      <c r="RYZ81" s="54"/>
      <c r="RZA81" s="54"/>
      <c r="RZB81" s="54"/>
      <c r="RZC81" s="54"/>
      <c r="RZD81" s="54"/>
      <c r="RZE81" s="54"/>
      <c r="RZF81" s="54"/>
      <c r="RZG81" s="54"/>
      <c r="RZH81" s="54"/>
      <c r="RZI81" s="54"/>
      <c r="RZJ81" s="54"/>
      <c r="RZK81" s="54"/>
      <c r="RZL81" s="54"/>
      <c r="RZM81" s="54"/>
      <c r="RZN81" s="54"/>
      <c r="RZO81" s="54"/>
      <c r="RZP81" s="54"/>
      <c r="RZQ81" s="54"/>
      <c r="RZR81" s="54"/>
      <c r="RZS81" s="54"/>
      <c r="RZT81" s="54"/>
      <c r="RZU81" s="54"/>
      <c r="RZV81" s="54"/>
      <c r="RZW81" s="54"/>
      <c r="RZX81" s="54"/>
      <c r="RZY81" s="54"/>
      <c r="RZZ81" s="54"/>
      <c r="SAA81" s="54"/>
      <c r="SAB81" s="54"/>
      <c r="SAC81" s="54"/>
      <c r="SAD81" s="54"/>
      <c r="SAE81" s="54"/>
      <c r="SAF81" s="54"/>
      <c r="SAG81" s="54"/>
      <c r="SAH81" s="54"/>
      <c r="SAI81" s="54"/>
      <c r="SAJ81" s="54"/>
      <c r="SAK81" s="54"/>
      <c r="SAL81" s="54"/>
      <c r="SAM81" s="54"/>
      <c r="SAN81" s="54"/>
      <c r="SAO81" s="54"/>
      <c r="SAP81" s="54"/>
      <c r="SAQ81" s="54"/>
      <c r="SAR81" s="54"/>
      <c r="SAS81" s="54"/>
      <c r="SAT81" s="54"/>
      <c r="SAU81" s="54"/>
      <c r="SAV81" s="54"/>
      <c r="SAW81" s="54"/>
      <c r="SAX81" s="54"/>
      <c r="SAY81" s="54"/>
      <c r="SAZ81" s="54"/>
      <c r="SBA81" s="54"/>
      <c r="SBB81" s="54"/>
      <c r="SBC81" s="54"/>
      <c r="SBD81" s="54"/>
      <c r="SBE81" s="54"/>
      <c r="SBF81" s="54"/>
      <c r="SBG81" s="54"/>
      <c r="SBH81" s="54"/>
      <c r="SBI81" s="54"/>
      <c r="SBJ81" s="54"/>
      <c r="SBK81" s="54"/>
      <c r="SBL81" s="54"/>
      <c r="SBM81" s="54"/>
      <c r="SBN81" s="54"/>
      <c r="SBO81" s="54"/>
      <c r="SBP81" s="54"/>
      <c r="SBQ81" s="54"/>
      <c r="SBR81" s="54"/>
      <c r="SBS81" s="54"/>
      <c r="SBT81" s="54"/>
      <c r="SBU81" s="54"/>
      <c r="SBV81" s="54"/>
      <c r="SBW81" s="54"/>
      <c r="SBX81" s="54"/>
      <c r="SBY81" s="54"/>
      <c r="SBZ81" s="54"/>
      <c r="SCA81" s="54"/>
      <c r="SCB81" s="54"/>
      <c r="SCC81" s="54"/>
      <c r="SCD81" s="54"/>
      <c r="SCE81" s="54"/>
      <c r="SCF81" s="54"/>
      <c r="SCG81" s="54"/>
      <c r="SCH81" s="54"/>
      <c r="SCI81" s="54"/>
      <c r="SCJ81" s="54"/>
      <c r="SCK81" s="54"/>
      <c r="SCL81" s="54"/>
      <c r="SCM81" s="54"/>
      <c r="SCN81" s="54"/>
      <c r="SCO81" s="54"/>
      <c r="SCP81" s="54"/>
      <c r="SCQ81" s="54"/>
      <c r="SCR81" s="54"/>
      <c r="SCS81" s="54"/>
      <c r="SCT81" s="54"/>
      <c r="SCU81" s="54"/>
      <c r="SCV81" s="54"/>
      <c r="SCW81" s="54"/>
      <c r="SCX81" s="54"/>
      <c r="SCY81" s="54"/>
      <c r="SCZ81" s="54"/>
      <c r="SDA81" s="54"/>
      <c r="SDB81" s="54"/>
      <c r="SDC81" s="54"/>
      <c r="SDD81" s="54"/>
      <c r="SDE81" s="54"/>
      <c r="SDF81" s="54"/>
      <c r="SDG81" s="54"/>
      <c r="SDH81" s="54"/>
      <c r="SDI81" s="54"/>
      <c r="SDJ81" s="54"/>
      <c r="SDK81" s="54"/>
      <c r="SDL81" s="54"/>
      <c r="SDM81" s="54"/>
      <c r="SDN81" s="54"/>
      <c r="SDO81" s="54"/>
      <c r="SDP81" s="54"/>
      <c r="SDQ81" s="54"/>
      <c r="SDR81" s="54"/>
      <c r="SDS81" s="54"/>
      <c r="SDT81" s="54"/>
      <c r="SDU81" s="54"/>
      <c r="SDV81" s="54"/>
      <c r="SDW81" s="54"/>
      <c r="SDX81" s="54"/>
      <c r="SDY81" s="54"/>
      <c r="SDZ81" s="54"/>
      <c r="SEA81" s="54"/>
      <c r="SEB81" s="54"/>
      <c r="SEC81" s="54"/>
      <c r="SED81" s="54"/>
      <c r="SEE81" s="54"/>
      <c r="SEF81" s="54"/>
      <c r="SEG81" s="54"/>
      <c r="SEH81" s="54"/>
      <c r="SEI81" s="54"/>
      <c r="SEJ81" s="54"/>
      <c r="SEK81" s="54"/>
      <c r="SEL81" s="54"/>
      <c r="SEM81" s="54"/>
      <c r="SEN81" s="54"/>
      <c r="SEO81" s="54"/>
      <c r="SEP81" s="54"/>
      <c r="SEQ81" s="54"/>
      <c r="SER81" s="54"/>
      <c r="SES81" s="54"/>
      <c r="SET81" s="54"/>
      <c r="SEU81" s="54"/>
      <c r="SEV81" s="54"/>
      <c r="SEW81" s="54"/>
      <c r="SEX81" s="54"/>
      <c r="SEY81" s="54"/>
      <c r="SEZ81" s="54"/>
      <c r="SFA81" s="54"/>
      <c r="SFB81" s="54"/>
      <c r="SFC81" s="54"/>
      <c r="SFD81" s="54"/>
      <c r="SFE81" s="54"/>
      <c r="SFF81" s="54"/>
      <c r="SFG81" s="54"/>
      <c r="SFH81" s="54"/>
      <c r="SFI81" s="54"/>
      <c r="SFJ81" s="54"/>
      <c r="SFK81" s="54"/>
      <c r="SFL81" s="54"/>
      <c r="SFM81" s="54"/>
      <c r="SFN81" s="54"/>
      <c r="SFO81" s="54"/>
      <c r="SFP81" s="54"/>
      <c r="SFQ81" s="54"/>
      <c r="SFR81" s="54"/>
      <c r="SFS81" s="54"/>
      <c r="SFT81" s="54"/>
      <c r="SFU81" s="54"/>
      <c r="SFV81" s="54"/>
      <c r="SFW81" s="54"/>
      <c r="SFX81" s="54"/>
      <c r="SFY81" s="54"/>
      <c r="SFZ81" s="54"/>
      <c r="SGA81" s="54"/>
      <c r="SGB81" s="54"/>
      <c r="SGC81" s="54"/>
      <c r="SGD81" s="54"/>
      <c r="SGE81" s="54"/>
      <c r="SGF81" s="54"/>
      <c r="SGG81" s="54"/>
      <c r="SGH81" s="54"/>
      <c r="SGI81" s="54"/>
      <c r="SGJ81" s="54"/>
      <c r="SGK81" s="54"/>
      <c r="SGL81" s="54"/>
      <c r="SGM81" s="54"/>
      <c r="SGN81" s="54"/>
      <c r="SGO81" s="54"/>
      <c r="SGP81" s="54"/>
      <c r="SGQ81" s="54"/>
      <c r="SGR81" s="54"/>
      <c r="SGS81" s="54"/>
      <c r="SGT81" s="54"/>
      <c r="SGU81" s="54"/>
      <c r="SGV81" s="54"/>
      <c r="SGW81" s="54"/>
      <c r="SGX81" s="54"/>
      <c r="SGY81" s="54"/>
      <c r="SGZ81" s="54"/>
      <c r="SHA81" s="54"/>
      <c r="SHB81" s="54"/>
      <c r="SHC81" s="54"/>
      <c r="SHD81" s="54"/>
      <c r="SHE81" s="54"/>
      <c r="SHF81" s="54"/>
      <c r="SHG81" s="54"/>
      <c r="SHH81" s="54"/>
      <c r="SHI81" s="54"/>
      <c r="SHJ81" s="54"/>
      <c r="SHK81" s="54"/>
      <c r="SHL81" s="54"/>
      <c r="SHM81" s="54"/>
      <c r="SHN81" s="54"/>
      <c r="SHO81" s="54"/>
      <c r="SHP81" s="54"/>
      <c r="SHQ81" s="54"/>
      <c r="SHR81" s="54"/>
      <c r="SHS81" s="54"/>
      <c r="SHT81" s="54"/>
      <c r="SHU81" s="54"/>
      <c r="SHV81" s="54"/>
      <c r="SHW81" s="54"/>
      <c r="SHX81" s="54"/>
      <c r="SHY81" s="54"/>
      <c r="SHZ81" s="54"/>
      <c r="SIA81" s="54"/>
      <c r="SIB81" s="54"/>
      <c r="SIC81" s="54"/>
      <c r="SID81" s="54"/>
      <c r="SIE81" s="54"/>
      <c r="SIF81" s="54"/>
      <c r="SIG81" s="54"/>
      <c r="SIH81" s="54"/>
      <c r="SII81" s="54"/>
      <c r="SIJ81" s="54"/>
      <c r="SIK81" s="54"/>
      <c r="SIL81" s="54"/>
      <c r="SIM81" s="54"/>
      <c r="SIN81" s="54"/>
      <c r="SIO81" s="54"/>
      <c r="SIP81" s="54"/>
      <c r="SIQ81" s="54"/>
      <c r="SIR81" s="54"/>
      <c r="SIS81" s="54"/>
      <c r="SIT81" s="54"/>
      <c r="SIU81" s="54"/>
      <c r="SIV81" s="54"/>
      <c r="SIW81" s="54"/>
      <c r="SIX81" s="54"/>
      <c r="SIY81" s="54"/>
      <c r="SIZ81" s="54"/>
      <c r="SJA81" s="54"/>
      <c r="SJB81" s="54"/>
      <c r="SJC81" s="54"/>
      <c r="SJD81" s="54"/>
      <c r="SJE81" s="54"/>
      <c r="SJF81" s="54"/>
      <c r="SJG81" s="54"/>
      <c r="SJH81" s="54"/>
      <c r="SJI81" s="54"/>
      <c r="SJJ81" s="54"/>
      <c r="SJK81" s="54"/>
      <c r="SJL81" s="54"/>
      <c r="SJM81" s="54"/>
      <c r="SJN81" s="54"/>
      <c r="SJO81" s="54"/>
      <c r="SJP81" s="54"/>
      <c r="SJQ81" s="54"/>
      <c r="SJR81" s="54"/>
      <c r="SJS81" s="54"/>
      <c r="SJT81" s="54"/>
      <c r="SJU81" s="54"/>
      <c r="SJV81" s="54"/>
      <c r="SJW81" s="54"/>
      <c r="SJX81" s="54"/>
      <c r="SJY81" s="54"/>
      <c r="SJZ81" s="54"/>
      <c r="SKA81" s="54"/>
      <c r="SKB81" s="54"/>
      <c r="SKC81" s="54"/>
      <c r="SKD81" s="54"/>
      <c r="SKE81" s="54"/>
      <c r="SKF81" s="54"/>
      <c r="SKG81" s="54"/>
      <c r="SKH81" s="54"/>
      <c r="SKI81" s="54"/>
      <c r="SKJ81" s="54"/>
      <c r="SKK81" s="54"/>
      <c r="SKL81" s="54"/>
      <c r="SKM81" s="54"/>
      <c r="SKN81" s="54"/>
      <c r="SKO81" s="54"/>
      <c r="SKP81" s="54"/>
      <c r="SKQ81" s="54"/>
      <c r="SKR81" s="54"/>
      <c r="SKS81" s="54"/>
      <c r="SKT81" s="54"/>
      <c r="SKU81" s="54"/>
      <c r="SKV81" s="54"/>
      <c r="SKW81" s="54"/>
      <c r="SKX81" s="54"/>
      <c r="SKY81" s="54"/>
      <c r="SKZ81" s="54"/>
      <c r="SLA81" s="54"/>
      <c r="SLB81" s="54"/>
      <c r="SLC81" s="54"/>
      <c r="SLD81" s="54"/>
      <c r="SLE81" s="54"/>
      <c r="SLF81" s="54"/>
      <c r="SLG81" s="54"/>
      <c r="SLH81" s="54"/>
      <c r="SLI81" s="54"/>
      <c r="SLJ81" s="54"/>
      <c r="SLK81" s="54"/>
      <c r="SLL81" s="54"/>
      <c r="SLM81" s="54"/>
      <c r="SLN81" s="54"/>
      <c r="SLO81" s="54"/>
      <c r="SLP81" s="54"/>
      <c r="SLQ81" s="54"/>
      <c r="SLR81" s="54"/>
      <c r="SLS81" s="54"/>
      <c r="SLT81" s="54"/>
      <c r="SLU81" s="54"/>
      <c r="SLV81" s="54"/>
      <c r="SLW81" s="54"/>
      <c r="SLX81" s="54"/>
      <c r="SLY81" s="54"/>
      <c r="SLZ81" s="54"/>
      <c r="SMA81" s="54"/>
      <c r="SMB81" s="54"/>
      <c r="SMC81" s="54"/>
      <c r="SMD81" s="54"/>
      <c r="SME81" s="54"/>
      <c r="SMF81" s="54"/>
      <c r="SMG81" s="54"/>
      <c r="SMH81" s="54"/>
      <c r="SMI81" s="54"/>
      <c r="SMJ81" s="54"/>
      <c r="SMK81" s="54"/>
      <c r="SML81" s="54"/>
      <c r="SMM81" s="54"/>
      <c r="SMN81" s="54"/>
      <c r="SMO81" s="54"/>
      <c r="SMP81" s="54"/>
      <c r="SMQ81" s="54"/>
      <c r="SMR81" s="54"/>
      <c r="SMS81" s="54"/>
      <c r="SMT81" s="54"/>
      <c r="SMU81" s="54"/>
      <c r="SMV81" s="54"/>
      <c r="SMW81" s="54"/>
      <c r="SMX81" s="54"/>
      <c r="SMY81" s="54"/>
      <c r="SMZ81" s="54"/>
      <c r="SNA81" s="54"/>
      <c r="SNB81" s="54"/>
      <c r="SNC81" s="54"/>
      <c r="SND81" s="54"/>
      <c r="SNE81" s="54"/>
      <c r="SNF81" s="54"/>
      <c r="SNG81" s="54"/>
      <c r="SNH81" s="54"/>
      <c r="SNI81" s="54"/>
      <c r="SNJ81" s="54"/>
      <c r="SNK81" s="54"/>
      <c r="SNL81" s="54"/>
      <c r="SNM81" s="54"/>
      <c r="SNN81" s="54"/>
      <c r="SNO81" s="54"/>
      <c r="SNP81" s="54"/>
      <c r="SNQ81" s="54"/>
      <c r="SNR81" s="54"/>
      <c r="SNS81" s="54"/>
      <c r="SNT81" s="54"/>
      <c r="SNU81" s="54"/>
      <c r="SNV81" s="54"/>
      <c r="SNW81" s="54"/>
      <c r="SNX81" s="54"/>
      <c r="SNY81" s="54"/>
      <c r="SNZ81" s="54"/>
      <c r="SOA81" s="54"/>
      <c r="SOB81" s="54"/>
      <c r="SOC81" s="54"/>
      <c r="SOD81" s="54"/>
      <c r="SOE81" s="54"/>
      <c r="SOF81" s="54"/>
      <c r="SOG81" s="54"/>
      <c r="SOH81" s="54"/>
      <c r="SOI81" s="54"/>
      <c r="SOJ81" s="54"/>
      <c r="SOK81" s="54"/>
      <c r="SOL81" s="54"/>
      <c r="SOM81" s="54"/>
      <c r="SON81" s="54"/>
      <c r="SOO81" s="54"/>
      <c r="SOP81" s="54"/>
      <c r="SOQ81" s="54"/>
      <c r="SOR81" s="54"/>
      <c r="SOS81" s="54"/>
      <c r="SOT81" s="54"/>
      <c r="SOU81" s="54"/>
      <c r="SOV81" s="54"/>
      <c r="SOW81" s="54"/>
      <c r="SOX81" s="54"/>
      <c r="SOY81" s="54"/>
      <c r="SOZ81" s="54"/>
      <c r="SPA81" s="54"/>
      <c r="SPB81" s="54"/>
      <c r="SPC81" s="54"/>
      <c r="SPD81" s="54"/>
      <c r="SPE81" s="54"/>
      <c r="SPF81" s="54"/>
      <c r="SPG81" s="54"/>
      <c r="SPH81" s="54"/>
      <c r="SPI81" s="54"/>
      <c r="SPJ81" s="54"/>
      <c r="SPK81" s="54"/>
      <c r="SPL81" s="54"/>
      <c r="SPM81" s="54"/>
      <c r="SPN81" s="54"/>
      <c r="SPO81" s="54"/>
      <c r="SPP81" s="54"/>
      <c r="SPQ81" s="54"/>
      <c r="SPR81" s="54"/>
      <c r="SPS81" s="54"/>
      <c r="SPT81" s="54"/>
      <c r="SPU81" s="54"/>
      <c r="SPV81" s="54"/>
      <c r="SPW81" s="54"/>
      <c r="SPX81" s="54"/>
      <c r="SPY81" s="54"/>
      <c r="SPZ81" s="54"/>
      <c r="SQA81" s="54"/>
      <c r="SQB81" s="54"/>
      <c r="SQC81" s="54"/>
      <c r="SQD81" s="54"/>
      <c r="SQE81" s="54"/>
      <c r="SQF81" s="54"/>
      <c r="SQG81" s="54"/>
      <c r="SQH81" s="54"/>
      <c r="SQI81" s="54"/>
      <c r="SQJ81" s="54"/>
      <c r="SQK81" s="54"/>
      <c r="SQL81" s="54"/>
      <c r="SQM81" s="54"/>
      <c r="SQN81" s="54"/>
      <c r="SQO81" s="54"/>
      <c r="SQP81" s="54"/>
      <c r="SQQ81" s="54"/>
      <c r="SQR81" s="54"/>
      <c r="SQS81" s="54"/>
      <c r="SQT81" s="54"/>
      <c r="SQU81" s="54"/>
      <c r="SQV81" s="54"/>
      <c r="SQW81" s="54"/>
      <c r="SQX81" s="54"/>
      <c r="SQY81" s="54"/>
      <c r="SQZ81" s="54"/>
      <c r="SRA81" s="54"/>
      <c r="SRB81" s="54"/>
      <c r="SRC81" s="54"/>
      <c r="SRD81" s="54"/>
      <c r="SRE81" s="54"/>
      <c r="SRF81" s="54"/>
      <c r="SRG81" s="54"/>
      <c r="SRH81" s="54"/>
      <c r="SRI81" s="54"/>
      <c r="SRJ81" s="54"/>
      <c r="SRK81" s="54"/>
      <c r="SRL81" s="54"/>
      <c r="SRM81" s="54"/>
      <c r="SRN81" s="54"/>
      <c r="SRO81" s="54"/>
      <c r="SRP81" s="54"/>
      <c r="SRQ81" s="54"/>
      <c r="SRR81" s="54"/>
      <c r="SRS81" s="54"/>
      <c r="SRT81" s="54"/>
      <c r="SRU81" s="54"/>
      <c r="SRV81" s="54"/>
      <c r="SRW81" s="54"/>
      <c r="SRX81" s="54"/>
      <c r="SRY81" s="54"/>
      <c r="SRZ81" s="54"/>
      <c r="SSA81" s="54"/>
      <c r="SSB81" s="54"/>
      <c r="SSC81" s="54"/>
      <c r="SSD81" s="54"/>
      <c r="SSE81" s="54"/>
      <c r="SSF81" s="54"/>
      <c r="SSG81" s="54"/>
      <c r="SSH81" s="54"/>
      <c r="SSI81" s="54"/>
      <c r="SSJ81" s="54"/>
      <c r="SSK81" s="54"/>
      <c r="SSL81" s="54"/>
      <c r="SSM81" s="54"/>
      <c r="SSN81" s="54"/>
      <c r="SSO81" s="54"/>
      <c r="SSP81" s="54"/>
      <c r="SSQ81" s="54"/>
      <c r="SSR81" s="54"/>
      <c r="SSS81" s="54"/>
      <c r="SST81" s="54"/>
      <c r="SSU81" s="54"/>
      <c r="SSV81" s="54"/>
      <c r="SSW81" s="54"/>
      <c r="SSX81" s="54"/>
      <c r="SSY81" s="54"/>
      <c r="SSZ81" s="54"/>
      <c r="STA81" s="54"/>
      <c r="STB81" s="54"/>
      <c r="STC81" s="54"/>
      <c r="STD81" s="54"/>
      <c r="STE81" s="54"/>
      <c r="STF81" s="54"/>
      <c r="STG81" s="54"/>
      <c r="STH81" s="54"/>
      <c r="STI81" s="54"/>
      <c r="STJ81" s="54"/>
      <c r="STK81" s="54"/>
      <c r="STL81" s="54"/>
      <c r="STM81" s="54"/>
      <c r="STN81" s="54"/>
      <c r="STO81" s="54"/>
      <c r="STP81" s="54"/>
      <c r="STQ81" s="54"/>
      <c r="STR81" s="54"/>
      <c r="STS81" s="54"/>
      <c r="STT81" s="54"/>
      <c r="STU81" s="54"/>
      <c r="STV81" s="54"/>
      <c r="STW81" s="54"/>
      <c r="STX81" s="54"/>
      <c r="STY81" s="54"/>
      <c r="STZ81" s="54"/>
      <c r="SUA81" s="54"/>
      <c r="SUB81" s="54"/>
      <c r="SUC81" s="54"/>
      <c r="SUD81" s="54"/>
      <c r="SUE81" s="54"/>
      <c r="SUF81" s="54"/>
      <c r="SUG81" s="54"/>
      <c r="SUH81" s="54"/>
      <c r="SUI81" s="54"/>
      <c r="SUJ81" s="54"/>
      <c r="SUK81" s="54"/>
      <c r="SUL81" s="54"/>
      <c r="SUM81" s="54"/>
      <c r="SUN81" s="54"/>
      <c r="SUO81" s="54"/>
      <c r="SUP81" s="54"/>
      <c r="SUQ81" s="54"/>
      <c r="SUR81" s="54"/>
      <c r="SUS81" s="54"/>
      <c r="SUT81" s="54"/>
      <c r="SUU81" s="54"/>
      <c r="SUV81" s="54"/>
      <c r="SUW81" s="54"/>
      <c r="SUX81" s="54"/>
      <c r="SUY81" s="54"/>
      <c r="SUZ81" s="54"/>
      <c r="SVA81" s="54"/>
      <c r="SVB81" s="54"/>
      <c r="SVC81" s="54"/>
      <c r="SVD81" s="54"/>
      <c r="SVE81" s="54"/>
      <c r="SVF81" s="54"/>
      <c r="SVG81" s="54"/>
      <c r="SVH81" s="54"/>
      <c r="SVI81" s="54"/>
      <c r="SVJ81" s="54"/>
      <c r="SVK81" s="54"/>
      <c r="SVL81" s="54"/>
      <c r="SVM81" s="54"/>
      <c r="SVN81" s="54"/>
      <c r="SVO81" s="54"/>
      <c r="SVP81" s="54"/>
      <c r="SVQ81" s="54"/>
      <c r="SVR81" s="54"/>
      <c r="SVS81" s="54"/>
      <c r="SVT81" s="54"/>
      <c r="SVU81" s="54"/>
      <c r="SVV81" s="54"/>
      <c r="SVW81" s="54"/>
      <c r="SVX81" s="54"/>
      <c r="SVY81" s="54"/>
      <c r="SVZ81" s="54"/>
      <c r="SWA81" s="54"/>
      <c r="SWB81" s="54"/>
      <c r="SWC81" s="54"/>
      <c r="SWD81" s="54"/>
      <c r="SWE81" s="54"/>
      <c r="SWF81" s="54"/>
      <c r="SWG81" s="54"/>
      <c r="SWH81" s="54"/>
      <c r="SWI81" s="54"/>
      <c r="SWJ81" s="54"/>
      <c r="SWK81" s="54"/>
      <c r="SWL81" s="54"/>
      <c r="SWM81" s="54"/>
      <c r="SWN81" s="54"/>
      <c r="SWO81" s="54"/>
      <c r="SWP81" s="54"/>
      <c r="SWQ81" s="54"/>
      <c r="SWR81" s="54"/>
      <c r="SWS81" s="54"/>
      <c r="SWT81" s="54"/>
      <c r="SWU81" s="54"/>
      <c r="SWV81" s="54"/>
      <c r="SWW81" s="54"/>
      <c r="SWX81" s="54"/>
      <c r="SWY81" s="54"/>
      <c r="SWZ81" s="54"/>
      <c r="SXA81" s="54"/>
      <c r="SXB81" s="54"/>
      <c r="SXC81" s="54"/>
      <c r="SXD81" s="54"/>
      <c r="SXE81" s="54"/>
      <c r="SXF81" s="54"/>
      <c r="SXG81" s="54"/>
      <c r="SXH81" s="54"/>
      <c r="SXI81" s="54"/>
      <c r="SXJ81" s="54"/>
      <c r="SXK81" s="54"/>
      <c r="SXL81" s="54"/>
      <c r="SXM81" s="54"/>
      <c r="SXN81" s="54"/>
      <c r="SXO81" s="54"/>
      <c r="SXP81" s="54"/>
      <c r="SXQ81" s="54"/>
      <c r="SXR81" s="54"/>
      <c r="SXS81" s="54"/>
      <c r="SXT81" s="54"/>
      <c r="SXU81" s="54"/>
      <c r="SXV81" s="54"/>
      <c r="SXW81" s="54"/>
      <c r="SXX81" s="54"/>
      <c r="SXY81" s="54"/>
      <c r="SXZ81" s="54"/>
      <c r="SYA81" s="54"/>
      <c r="SYB81" s="54"/>
      <c r="SYC81" s="54"/>
      <c r="SYD81" s="54"/>
      <c r="SYE81" s="54"/>
      <c r="SYF81" s="54"/>
      <c r="SYG81" s="54"/>
      <c r="SYH81" s="54"/>
      <c r="SYI81" s="54"/>
      <c r="SYJ81" s="54"/>
      <c r="SYK81" s="54"/>
      <c r="SYL81" s="54"/>
      <c r="SYM81" s="54"/>
      <c r="SYN81" s="54"/>
      <c r="SYO81" s="54"/>
      <c r="SYP81" s="54"/>
      <c r="SYQ81" s="54"/>
      <c r="SYR81" s="54"/>
      <c r="SYS81" s="54"/>
      <c r="SYT81" s="54"/>
      <c r="SYU81" s="54"/>
      <c r="SYV81" s="54"/>
      <c r="SYW81" s="54"/>
      <c r="SYX81" s="54"/>
      <c r="SYY81" s="54"/>
      <c r="SYZ81" s="54"/>
      <c r="SZA81" s="54"/>
      <c r="SZB81" s="54"/>
      <c r="SZC81" s="54"/>
      <c r="SZD81" s="54"/>
      <c r="SZE81" s="54"/>
      <c r="SZF81" s="54"/>
      <c r="SZG81" s="54"/>
      <c r="SZH81" s="54"/>
      <c r="SZI81" s="54"/>
      <c r="SZJ81" s="54"/>
      <c r="SZK81" s="54"/>
      <c r="SZL81" s="54"/>
      <c r="SZM81" s="54"/>
      <c r="SZN81" s="54"/>
      <c r="SZO81" s="54"/>
      <c r="SZP81" s="54"/>
      <c r="SZQ81" s="54"/>
      <c r="SZR81" s="54"/>
      <c r="SZS81" s="54"/>
      <c r="SZT81" s="54"/>
      <c r="SZU81" s="54"/>
      <c r="SZV81" s="54"/>
      <c r="SZW81" s="54"/>
      <c r="SZX81" s="54"/>
      <c r="SZY81" s="54"/>
      <c r="SZZ81" s="54"/>
      <c r="TAA81" s="54"/>
      <c r="TAB81" s="54"/>
      <c r="TAC81" s="54"/>
      <c r="TAD81" s="54"/>
      <c r="TAE81" s="54"/>
      <c r="TAF81" s="54"/>
      <c r="TAG81" s="54"/>
      <c r="TAH81" s="54"/>
      <c r="TAI81" s="54"/>
      <c r="TAJ81" s="54"/>
      <c r="TAK81" s="54"/>
      <c r="TAL81" s="54"/>
      <c r="TAM81" s="54"/>
      <c r="TAN81" s="54"/>
      <c r="TAO81" s="54"/>
      <c r="TAP81" s="54"/>
      <c r="TAQ81" s="54"/>
      <c r="TAR81" s="54"/>
      <c r="TAS81" s="54"/>
      <c r="TAT81" s="54"/>
      <c r="TAU81" s="54"/>
      <c r="TAV81" s="54"/>
      <c r="TAW81" s="54"/>
      <c r="TAX81" s="54"/>
      <c r="TAY81" s="54"/>
      <c r="TAZ81" s="54"/>
      <c r="TBA81" s="54"/>
      <c r="TBB81" s="54"/>
      <c r="TBC81" s="54"/>
      <c r="TBD81" s="54"/>
      <c r="TBE81" s="54"/>
      <c r="TBF81" s="54"/>
      <c r="TBG81" s="54"/>
      <c r="TBH81" s="54"/>
      <c r="TBI81" s="54"/>
      <c r="TBJ81" s="54"/>
      <c r="TBK81" s="54"/>
      <c r="TBL81" s="54"/>
      <c r="TBM81" s="54"/>
      <c r="TBN81" s="54"/>
      <c r="TBO81" s="54"/>
      <c r="TBP81" s="54"/>
      <c r="TBQ81" s="54"/>
      <c r="TBR81" s="54"/>
      <c r="TBS81" s="54"/>
      <c r="TBT81" s="54"/>
      <c r="TBU81" s="54"/>
      <c r="TBV81" s="54"/>
      <c r="TBW81" s="54"/>
      <c r="TBX81" s="54"/>
      <c r="TBY81" s="54"/>
      <c r="TBZ81" s="54"/>
      <c r="TCA81" s="54"/>
      <c r="TCB81" s="54"/>
      <c r="TCC81" s="54"/>
      <c r="TCD81" s="54"/>
      <c r="TCE81" s="54"/>
      <c r="TCF81" s="54"/>
      <c r="TCG81" s="54"/>
      <c r="TCH81" s="54"/>
      <c r="TCI81" s="54"/>
      <c r="TCJ81" s="54"/>
      <c r="TCK81" s="54"/>
      <c r="TCL81" s="54"/>
      <c r="TCM81" s="54"/>
      <c r="TCN81" s="54"/>
      <c r="TCO81" s="54"/>
      <c r="TCP81" s="54"/>
      <c r="TCQ81" s="54"/>
      <c r="TCR81" s="54"/>
      <c r="TCS81" s="54"/>
      <c r="TCT81" s="54"/>
      <c r="TCU81" s="54"/>
      <c r="TCV81" s="54"/>
      <c r="TCW81" s="54"/>
      <c r="TCX81" s="54"/>
      <c r="TCY81" s="54"/>
      <c r="TCZ81" s="54"/>
      <c r="TDA81" s="54"/>
      <c r="TDB81" s="54"/>
      <c r="TDC81" s="54"/>
      <c r="TDD81" s="54"/>
      <c r="TDE81" s="54"/>
      <c r="TDF81" s="54"/>
      <c r="TDG81" s="54"/>
      <c r="TDH81" s="54"/>
      <c r="TDI81" s="54"/>
      <c r="TDJ81" s="54"/>
      <c r="TDK81" s="54"/>
      <c r="TDL81" s="54"/>
      <c r="TDM81" s="54"/>
      <c r="TDN81" s="54"/>
      <c r="TDO81" s="54"/>
      <c r="TDP81" s="54"/>
      <c r="TDQ81" s="54"/>
      <c r="TDR81" s="54"/>
      <c r="TDS81" s="54"/>
      <c r="TDT81" s="54"/>
      <c r="TDU81" s="54"/>
      <c r="TDV81" s="54"/>
      <c r="TDW81" s="54"/>
      <c r="TDX81" s="54"/>
      <c r="TDY81" s="54"/>
      <c r="TDZ81" s="54"/>
      <c r="TEA81" s="54"/>
      <c r="TEB81" s="54"/>
      <c r="TEC81" s="54"/>
      <c r="TED81" s="54"/>
      <c r="TEE81" s="54"/>
      <c r="TEF81" s="54"/>
      <c r="TEG81" s="54"/>
      <c r="TEH81" s="54"/>
      <c r="TEI81" s="54"/>
      <c r="TEJ81" s="54"/>
      <c r="TEK81" s="54"/>
      <c r="TEL81" s="54"/>
      <c r="TEM81" s="54"/>
      <c r="TEN81" s="54"/>
      <c r="TEO81" s="54"/>
      <c r="TEP81" s="54"/>
      <c r="TEQ81" s="54"/>
      <c r="TER81" s="54"/>
      <c r="TES81" s="54"/>
      <c r="TET81" s="54"/>
      <c r="TEU81" s="54"/>
      <c r="TEV81" s="54"/>
      <c r="TEW81" s="54"/>
      <c r="TEX81" s="54"/>
      <c r="TEY81" s="54"/>
      <c r="TEZ81" s="54"/>
      <c r="TFA81" s="54"/>
      <c r="TFB81" s="54"/>
      <c r="TFC81" s="54"/>
      <c r="TFD81" s="54"/>
      <c r="TFE81" s="54"/>
      <c r="TFF81" s="54"/>
      <c r="TFG81" s="54"/>
      <c r="TFH81" s="54"/>
      <c r="TFI81" s="54"/>
      <c r="TFJ81" s="54"/>
      <c r="TFK81" s="54"/>
      <c r="TFL81" s="54"/>
      <c r="TFM81" s="54"/>
      <c r="TFN81" s="54"/>
      <c r="TFO81" s="54"/>
      <c r="TFP81" s="54"/>
      <c r="TFQ81" s="54"/>
      <c r="TFR81" s="54"/>
      <c r="TFS81" s="54"/>
      <c r="TFT81" s="54"/>
      <c r="TFU81" s="54"/>
      <c r="TFV81" s="54"/>
      <c r="TFW81" s="54"/>
      <c r="TFX81" s="54"/>
      <c r="TFY81" s="54"/>
      <c r="TFZ81" s="54"/>
      <c r="TGA81" s="54"/>
      <c r="TGB81" s="54"/>
      <c r="TGC81" s="54"/>
      <c r="TGD81" s="54"/>
      <c r="TGE81" s="54"/>
      <c r="TGF81" s="54"/>
      <c r="TGG81" s="54"/>
      <c r="TGH81" s="54"/>
      <c r="TGI81" s="54"/>
      <c r="TGJ81" s="54"/>
      <c r="TGK81" s="54"/>
      <c r="TGL81" s="54"/>
      <c r="TGM81" s="54"/>
      <c r="TGN81" s="54"/>
      <c r="TGO81" s="54"/>
      <c r="TGP81" s="54"/>
      <c r="TGQ81" s="54"/>
      <c r="TGR81" s="54"/>
      <c r="TGS81" s="54"/>
      <c r="TGT81" s="54"/>
      <c r="TGU81" s="54"/>
      <c r="TGV81" s="54"/>
      <c r="TGW81" s="54"/>
      <c r="TGX81" s="54"/>
      <c r="TGY81" s="54"/>
      <c r="TGZ81" s="54"/>
      <c r="THA81" s="54"/>
      <c r="THB81" s="54"/>
      <c r="THC81" s="54"/>
      <c r="THD81" s="54"/>
      <c r="THE81" s="54"/>
      <c r="THF81" s="54"/>
      <c r="THG81" s="54"/>
      <c r="THH81" s="54"/>
      <c r="THI81" s="54"/>
      <c r="THJ81" s="54"/>
      <c r="THK81" s="54"/>
      <c r="THL81" s="54"/>
      <c r="THM81" s="54"/>
      <c r="THN81" s="54"/>
      <c r="THO81" s="54"/>
      <c r="THP81" s="54"/>
      <c r="THQ81" s="54"/>
      <c r="THR81" s="54"/>
      <c r="THS81" s="54"/>
      <c r="THT81" s="54"/>
      <c r="THU81" s="54"/>
      <c r="THV81" s="54"/>
      <c r="THW81" s="54"/>
      <c r="THX81" s="54"/>
      <c r="THY81" s="54"/>
      <c r="THZ81" s="54"/>
      <c r="TIA81" s="54"/>
      <c r="TIB81" s="54"/>
      <c r="TIC81" s="54"/>
      <c r="TID81" s="54"/>
      <c r="TIE81" s="54"/>
      <c r="TIF81" s="54"/>
      <c r="TIG81" s="54"/>
      <c r="TIH81" s="54"/>
      <c r="TII81" s="54"/>
      <c r="TIJ81" s="54"/>
      <c r="TIK81" s="54"/>
      <c r="TIL81" s="54"/>
      <c r="TIM81" s="54"/>
      <c r="TIN81" s="54"/>
      <c r="TIO81" s="54"/>
      <c r="TIP81" s="54"/>
      <c r="TIQ81" s="54"/>
      <c r="TIR81" s="54"/>
      <c r="TIS81" s="54"/>
      <c r="TIT81" s="54"/>
      <c r="TIU81" s="54"/>
      <c r="TIV81" s="54"/>
      <c r="TIW81" s="54"/>
      <c r="TIX81" s="54"/>
      <c r="TIY81" s="54"/>
      <c r="TIZ81" s="54"/>
      <c r="TJA81" s="54"/>
      <c r="TJB81" s="54"/>
      <c r="TJC81" s="54"/>
      <c r="TJD81" s="54"/>
      <c r="TJE81" s="54"/>
      <c r="TJF81" s="54"/>
      <c r="TJG81" s="54"/>
      <c r="TJH81" s="54"/>
      <c r="TJI81" s="54"/>
      <c r="TJJ81" s="54"/>
      <c r="TJK81" s="54"/>
      <c r="TJL81" s="54"/>
      <c r="TJM81" s="54"/>
      <c r="TJN81" s="54"/>
      <c r="TJO81" s="54"/>
      <c r="TJP81" s="54"/>
      <c r="TJQ81" s="54"/>
      <c r="TJR81" s="54"/>
      <c r="TJS81" s="54"/>
      <c r="TJT81" s="54"/>
      <c r="TJU81" s="54"/>
      <c r="TJV81" s="54"/>
      <c r="TJW81" s="54"/>
      <c r="TJX81" s="54"/>
      <c r="TJY81" s="54"/>
      <c r="TJZ81" s="54"/>
      <c r="TKA81" s="54"/>
      <c r="TKB81" s="54"/>
      <c r="TKC81" s="54"/>
      <c r="TKD81" s="54"/>
      <c r="TKE81" s="54"/>
      <c r="TKF81" s="54"/>
      <c r="TKG81" s="54"/>
      <c r="TKH81" s="54"/>
      <c r="TKI81" s="54"/>
      <c r="TKJ81" s="54"/>
      <c r="TKK81" s="54"/>
      <c r="TKL81" s="54"/>
      <c r="TKM81" s="54"/>
      <c r="TKN81" s="54"/>
      <c r="TKO81" s="54"/>
      <c r="TKP81" s="54"/>
      <c r="TKQ81" s="54"/>
      <c r="TKR81" s="54"/>
      <c r="TKS81" s="54"/>
      <c r="TKT81" s="54"/>
      <c r="TKU81" s="54"/>
      <c r="TKV81" s="54"/>
      <c r="TKW81" s="54"/>
      <c r="TKX81" s="54"/>
      <c r="TKY81" s="54"/>
      <c r="TKZ81" s="54"/>
      <c r="TLA81" s="54"/>
      <c r="TLB81" s="54"/>
      <c r="TLC81" s="54"/>
      <c r="TLD81" s="54"/>
      <c r="TLE81" s="54"/>
      <c r="TLF81" s="54"/>
      <c r="TLG81" s="54"/>
      <c r="TLH81" s="54"/>
      <c r="TLI81" s="54"/>
      <c r="TLJ81" s="54"/>
      <c r="TLK81" s="54"/>
      <c r="TLL81" s="54"/>
      <c r="TLM81" s="54"/>
      <c r="TLN81" s="54"/>
      <c r="TLO81" s="54"/>
      <c r="TLP81" s="54"/>
      <c r="TLQ81" s="54"/>
      <c r="TLR81" s="54"/>
      <c r="TLS81" s="54"/>
      <c r="TLT81" s="54"/>
      <c r="TLU81" s="54"/>
      <c r="TLV81" s="54"/>
      <c r="TLW81" s="54"/>
      <c r="TLX81" s="54"/>
      <c r="TLY81" s="54"/>
      <c r="TLZ81" s="54"/>
      <c r="TMA81" s="54"/>
      <c r="TMB81" s="54"/>
      <c r="TMC81" s="54"/>
      <c r="TMD81" s="54"/>
      <c r="TME81" s="54"/>
      <c r="TMF81" s="54"/>
      <c r="TMG81" s="54"/>
      <c r="TMH81" s="54"/>
      <c r="TMI81" s="54"/>
      <c r="TMJ81" s="54"/>
      <c r="TMK81" s="54"/>
      <c r="TML81" s="54"/>
      <c r="TMM81" s="54"/>
      <c r="TMN81" s="54"/>
      <c r="TMO81" s="54"/>
      <c r="TMP81" s="54"/>
      <c r="TMQ81" s="54"/>
      <c r="TMR81" s="54"/>
      <c r="TMS81" s="54"/>
      <c r="TMT81" s="54"/>
      <c r="TMU81" s="54"/>
      <c r="TMV81" s="54"/>
      <c r="TMW81" s="54"/>
      <c r="TMX81" s="54"/>
      <c r="TMY81" s="54"/>
      <c r="TMZ81" s="54"/>
      <c r="TNA81" s="54"/>
      <c r="TNB81" s="54"/>
      <c r="TNC81" s="54"/>
      <c r="TND81" s="54"/>
      <c r="TNE81" s="54"/>
      <c r="TNF81" s="54"/>
      <c r="TNG81" s="54"/>
      <c r="TNH81" s="54"/>
      <c r="TNI81" s="54"/>
      <c r="TNJ81" s="54"/>
      <c r="TNK81" s="54"/>
      <c r="TNL81" s="54"/>
      <c r="TNM81" s="54"/>
      <c r="TNN81" s="54"/>
      <c r="TNO81" s="54"/>
      <c r="TNP81" s="54"/>
      <c r="TNQ81" s="54"/>
      <c r="TNR81" s="54"/>
      <c r="TNS81" s="54"/>
      <c r="TNT81" s="54"/>
      <c r="TNU81" s="54"/>
      <c r="TNV81" s="54"/>
      <c r="TNW81" s="54"/>
      <c r="TNX81" s="54"/>
      <c r="TNY81" s="54"/>
      <c r="TNZ81" s="54"/>
      <c r="TOA81" s="54"/>
      <c r="TOB81" s="54"/>
      <c r="TOC81" s="54"/>
      <c r="TOD81" s="54"/>
      <c r="TOE81" s="54"/>
      <c r="TOF81" s="54"/>
      <c r="TOG81" s="54"/>
      <c r="TOH81" s="54"/>
      <c r="TOI81" s="54"/>
      <c r="TOJ81" s="54"/>
      <c r="TOK81" s="54"/>
      <c r="TOL81" s="54"/>
      <c r="TOM81" s="54"/>
      <c r="TON81" s="54"/>
      <c r="TOO81" s="54"/>
      <c r="TOP81" s="54"/>
      <c r="TOQ81" s="54"/>
      <c r="TOR81" s="54"/>
      <c r="TOS81" s="54"/>
      <c r="TOT81" s="54"/>
      <c r="TOU81" s="54"/>
      <c r="TOV81" s="54"/>
      <c r="TOW81" s="54"/>
      <c r="TOX81" s="54"/>
      <c r="TOY81" s="54"/>
      <c r="TOZ81" s="54"/>
      <c r="TPA81" s="54"/>
      <c r="TPB81" s="54"/>
      <c r="TPC81" s="54"/>
      <c r="TPD81" s="54"/>
      <c r="TPE81" s="54"/>
      <c r="TPF81" s="54"/>
      <c r="TPG81" s="54"/>
      <c r="TPH81" s="54"/>
      <c r="TPI81" s="54"/>
      <c r="TPJ81" s="54"/>
      <c r="TPK81" s="54"/>
      <c r="TPL81" s="54"/>
      <c r="TPM81" s="54"/>
      <c r="TPN81" s="54"/>
      <c r="TPO81" s="54"/>
      <c r="TPP81" s="54"/>
      <c r="TPQ81" s="54"/>
      <c r="TPR81" s="54"/>
      <c r="TPS81" s="54"/>
      <c r="TPT81" s="54"/>
      <c r="TPU81" s="54"/>
      <c r="TPV81" s="54"/>
      <c r="TPW81" s="54"/>
      <c r="TPX81" s="54"/>
      <c r="TPY81" s="54"/>
      <c r="TPZ81" s="54"/>
      <c r="TQA81" s="54"/>
      <c r="TQB81" s="54"/>
      <c r="TQC81" s="54"/>
      <c r="TQD81" s="54"/>
      <c r="TQE81" s="54"/>
      <c r="TQF81" s="54"/>
      <c r="TQG81" s="54"/>
      <c r="TQH81" s="54"/>
      <c r="TQI81" s="54"/>
      <c r="TQJ81" s="54"/>
      <c r="TQK81" s="54"/>
      <c r="TQL81" s="54"/>
      <c r="TQM81" s="54"/>
      <c r="TQN81" s="54"/>
      <c r="TQO81" s="54"/>
      <c r="TQP81" s="54"/>
      <c r="TQQ81" s="54"/>
      <c r="TQR81" s="54"/>
      <c r="TQS81" s="54"/>
      <c r="TQT81" s="54"/>
      <c r="TQU81" s="54"/>
      <c r="TQV81" s="54"/>
      <c r="TQW81" s="54"/>
      <c r="TQX81" s="54"/>
      <c r="TQY81" s="54"/>
      <c r="TQZ81" s="54"/>
      <c r="TRA81" s="54"/>
      <c r="TRB81" s="54"/>
      <c r="TRC81" s="54"/>
      <c r="TRD81" s="54"/>
      <c r="TRE81" s="54"/>
      <c r="TRF81" s="54"/>
      <c r="TRG81" s="54"/>
      <c r="TRH81" s="54"/>
      <c r="TRI81" s="54"/>
      <c r="TRJ81" s="54"/>
      <c r="TRK81" s="54"/>
      <c r="TRL81" s="54"/>
      <c r="TRM81" s="54"/>
      <c r="TRN81" s="54"/>
      <c r="TRO81" s="54"/>
      <c r="TRP81" s="54"/>
      <c r="TRQ81" s="54"/>
      <c r="TRR81" s="54"/>
      <c r="TRS81" s="54"/>
      <c r="TRT81" s="54"/>
      <c r="TRU81" s="54"/>
      <c r="TRV81" s="54"/>
      <c r="TRW81" s="54"/>
      <c r="TRX81" s="54"/>
      <c r="TRY81" s="54"/>
      <c r="TRZ81" s="54"/>
      <c r="TSA81" s="54"/>
      <c r="TSB81" s="54"/>
      <c r="TSC81" s="54"/>
      <c r="TSD81" s="54"/>
      <c r="TSE81" s="54"/>
      <c r="TSF81" s="54"/>
      <c r="TSG81" s="54"/>
      <c r="TSH81" s="54"/>
      <c r="TSI81" s="54"/>
      <c r="TSJ81" s="54"/>
      <c r="TSK81" s="54"/>
      <c r="TSL81" s="54"/>
      <c r="TSM81" s="54"/>
      <c r="TSN81" s="54"/>
      <c r="TSO81" s="54"/>
      <c r="TSP81" s="54"/>
      <c r="TSQ81" s="54"/>
      <c r="TSR81" s="54"/>
      <c r="TSS81" s="54"/>
      <c r="TST81" s="54"/>
      <c r="TSU81" s="54"/>
      <c r="TSV81" s="54"/>
      <c r="TSW81" s="54"/>
      <c r="TSX81" s="54"/>
      <c r="TSY81" s="54"/>
      <c r="TSZ81" s="54"/>
      <c r="TTA81" s="54"/>
      <c r="TTB81" s="54"/>
      <c r="TTC81" s="54"/>
      <c r="TTD81" s="54"/>
      <c r="TTE81" s="54"/>
      <c r="TTF81" s="54"/>
      <c r="TTG81" s="54"/>
      <c r="TTH81" s="54"/>
      <c r="TTI81" s="54"/>
      <c r="TTJ81" s="54"/>
      <c r="TTK81" s="54"/>
      <c r="TTL81" s="54"/>
      <c r="TTM81" s="54"/>
      <c r="TTN81" s="54"/>
      <c r="TTO81" s="54"/>
      <c r="TTP81" s="54"/>
      <c r="TTQ81" s="54"/>
      <c r="TTR81" s="54"/>
      <c r="TTS81" s="54"/>
      <c r="TTT81" s="54"/>
      <c r="TTU81" s="54"/>
      <c r="TTV81" s="54"/>
      <c r="TTW81" s="54"/>
      <c r="TTX81" s="54"/>
      <c r="TTY81" s="54"/>
      <c r="TTZ81" s="54"/>
      <c r="TUA81" s="54"/>
      <c r="TUB81" s="54"/>
      <c r="TUC81" s="54"/>
      <c r="TUD81" s="54"/>
      <c r="TUE81" s="54"/>
      <c r="TUF81" s="54"/>
      <c r="TUG81" s="54"/>
      <c r="TUH81" s="54"/>
      <c r="TUI81" s="54"/>
      <c r="TUJ81" s="54"/>
      <c r="TUK81" s="54"/>
      <c r="TUL81" s="54"/>
      <c r="TUM81" s="54"/>
      <c r="TUN81" s="54"/>
      <c r="TUO81" s="54"/>
      <c r="TUP81" s="54"/>
      <c r="TUQ81" s="54"/>
      <c r="TUR81" s="54"/>
      <c r="TUS81" s="54"/>
      <c r="TUT81" s="54"/>
      <c r="TUU81" s="54"/>
      <c r="TUV81" s="54"/>
      <c r="TUW81" s="54"/>
      <c r="TUX81" s="54"/>
      <c r="TUY81" s="54"/>
      <c r="TUZ81" s="54"/>
      <c r="TVA81" s="54"/>
      <c r="TVB81" s="54"/>
      <c r="TVC81" s="54"/>
      <c r="TVD81" s="54"/>
      <c r="TVE81" s="54"/>
      <c r="TVF81" s="54"/>
      <c r="TVG81" s="54"/>
      <c r="TVH81" s="54"/>
      <c r="TVI81" s="54"/>
      <c r="TVJ81" s="54"/>
      <c r="TVK81" s="54"/>
      <c r="TVL81" s="54"/>
      <c r="TVM81" s="54"/>
      <c r="TVN81" s="54"/>
      <c r="TVO81" s="54"/>
      <c r="TVP81" s="54"/>
      <c r="TVQ81" s="54"/>
      <c r="TVR81" s="54"/>
      <c r="TVS81" s="54"/>
      <c r="TVT81" s="54"/>
      <c r="TVU81" s="54"/>
      <c r="TVV81" s="54"/>
      <c r="TVW81" s="54"/>
      <c r="TVX81" s="54"/>
      <c r="TVY81" s="54"/>
      <c r="TVZ81" s="54"/>
      <c r="TWA81" s="54"/>
      <c r="TWB81" s="54"/>
      <c r="TWC81" s="54"/>
      <c r="TWD81" s="54"/>
      <c r="TWE81" s="54"/>
      <c r="TWF81" s="54"/>
      <c r="TWG81" s="54"/>
      <c r="TWH81" s="54"/>
      <c r="TWI81" s="54"/>
      <c r="TWJ81" s="54"/>
      <c r="TWK81" s="54"/>
      <c r="TWL81" s="54"/>
      <c r="TWM81" s="54"/>
      <c r="TWN81" s="54"/>
      <c r="TWO81" s="54"/>
      <c r="TWP81" s="54"/>
      <c r="TWQ81" s="54"/>
      <c r="TWR81" s="54"/>
      <c r="TWS81" s="54"/>
      <c r="TWT81" s="54"/>
      <c r="TWU81" s="54"/>
      <c r="TWV81" s="54"/>
      <c r="TWW81" s="54"/>
      <c r="TWX81" s="54"/>
      <c r="TWY81" s="54"/>
      <c r="TWZ81" s="54"/>
      <c r="TXA81" s="54"/>
      <c r="TXB81" s="54"/>
      <c r="TXC81" s="54"/>
      <c r="TXD81" s="54"/>
      <c r="TXE81" s="54"/>
      <c r="TXF81" s="54"/>
      <c r="TXG81" s="54"/>
      <c r="TXH81" s="54"/>
      <c r="TXI81" s="54"/>
      <c r="TXJ81" s="54"/>
      <c r="TXK81" s="54"/>
      <c r="TXL81" s="54"/>
      <c r="TXM81" s="54"/>
      <c r="TXN81" s="54"/>
      <c r="TXO81" s="54"/>
      <c r="TXP81" s="54"/>
      <c r="TXQ81" s="54"/>
      <c r="TXR81" s="54"/>
      <c r="TXS81" s="54"/>
      <c r="TXT81" s="54"/>
      <c r="TXU81" s="54"/>
      <c r="TXV81" s="54"/>
      <c r="TXW81" s="54"/>
      <c r="TXX81" s="54"/>
      <c r="TXY81" s="54"/>
      <c r="TXZ81" s="54"/>
      <c r="TYA81" s="54"/>
      <c r="TYB81" s="54"/>
      <c r="TYC81" s="54"/>
      <c r="TYD81" s="54"/>
      <c r="TYE81" s="54"/>
      <c r="TYF81" s="54"/>
      <c r="TYG81" s="54"/>
      <c r="TYH81" s="54"/>
      <c r="TYI81" s="54"/>
      <c r="TYJ81" s="54"/>
      <c r="TYK81" s="54"/>
      <c r="TYL81" s="54"/>
      <c r="TYM81" s="54"/>
      <c r="TYN81" s="54"/>
      <c r="TYO81" s="54"/>
      <c r="TYP81" s="54"/>
      <c r="TYQ81" s="54"/>
      <c r="TYR81" s="54"/>
      <c r="TYS81" s="54"/>
      <c r="TYT81" s="54"/>
      <c r="TYU81" s="54"/>
      <c r="TYV81" s="54"/>
      <c r="TYW81" s="54"/>
      <c r="TYX81" s="54"/>
      <c r="TYY81" s="54"/>
      <c r="TYZ81" s="54"/>
      <c r="TZA81" s="54"/>
      <c r="TZB81" s="54"/>
      <c r="TZC81" s="54"/>
      <c r="TZD81" s="54"/>
      <c r="TZE81" s="54"/>
      <c r="TZF81" s="54"/>
      <c r="TZG81" s="54"/>
      <c r="TZH81" s="54"/>
      <c r="TZI81" s="54"/>
      <c r="TZJ81" s="54"/>
      <c r="TZK81" s="54"/>
      <c r="TZL81" s="54"/>
      <c r="TZM81" s="54"/>
      <c r="TZN81" s="54"/>
      <c r="TZO81" s="54"/>
      <c r="TZP81" s="54"/>
      <c r="TZQ81" s="54"/>
      <c r="TZR81" s="54"/>
      <c r="TZS81" s="54"/>
      <c r="TZT81" s="54"/>
      <c r="TZU81" s="54"/>
      <c r="TZV81" s="54"/>
      <c r="TZW81" s="54"/>
      <c r="TZX81" s="54"/>
      <c r="TZY81" s="54"/>
      <c r="TZZ81" s="54"/>
      <c r="UAA81" s="54"/>
      <c r="UAB81" s="54"/>
      <c r="UAC81" s="54"/>
      <c r="UAD81" s="54"/>
      <c r="UAE81" s="54"/>
      <c r="UAF81" s="54"/>
      <c r="UAG81" s="54"/>
      <c r="UAH81" s="54"/>
      <c r="UAI81" s="54"/>
      <c r="UAJ81" s="54"/>
      <c r="UAK81" s="54"/>
      <c r="UAL81" s="54"/>
      <c r="UAM81" s="54"/>
      <c r="UAN81" s="54"/>
      <c r="UAO81" s="54"/>
      <c r="UAP81" s="54"/>
      <c r="UAQ81" s="54"/>
      <c r="UAR81" s="54"/>
      <c r="UAS81" s="54"/>
      <c r="UAT81" s="54"/>
      <c r="UAU81" s="54"/>
      <c r="UAV81" s="54"/>
      <c r="UAW81" s="54"/>
      <c r="UAX81" s="54"/>
      <c r="UAY81" s="54"/>
      <c r="UAZ81" s="54"/>
      <c r="UBA81" s="54"/>
      <c r="UBB81" s="54"/>
      <c r="UBC81" s="54"/>
      <c r="UBD81" s="54"/>
      <c r="UBE81" s="54"/>
      <c r="UBF81" s="54"/>
      <c r="UBG81" s="54"/>
      <c r="UBH81" s="54"/>
      <c r="UBI81" s="54"/>
      <c r="UBJ81" s="54"/>
      <c r="UBK81" s="54"/>
      <c r="UBL81" s="54"/>
      <c r="UBM81" s="54"/>
      <c r="UBN81" s="54"/>
      <c r="UBO81" s="54"/>
      <c r="UBP81" s="54"/>
      <c r="UBQ81" s="54"/>
      <c r="UBR81" s="54"/>
      <c r="UBS81" s="54"/>
      <c r="UBT81" s="54"/>
      <c r="UBU81" s="54"/>
      <c r="UBV81" s="54"/>
      <c r="UBW81" s="54"/>
      <c r="UBX81" s="54"/>
      <c r="UBY81" s="54"/>
      <c r="UBZ81" s="54"/>
      <c r="UCA81" s="54"/>
      <c r="UCB81" s="54"/>
      <c r="UCC81" s="54"/>
      <c r="UCD81" s="54"/>
      <c r="UCE81" s="54"/>
      <c r="UCF81" s="54"/>
      <c r="UCG81" s="54"/>
      <c r="UCH81" s="54"/>
      <c r="UCI81" s="54"/>
      <c r="UCJ81" s="54"/>
      <c r="UCK81" s="54"/>
      <c r="UCL81" s="54"/>
      <c r="UCM81" s="54"/>
      <c r="UCN81" s="54"/>
      <c r="UCO81" s="54"/>
      <c r="UCP81" s="54"/>
      <c r="UCQ81" s="54"/>
      <c r="UCR81" s="54"/>
      <c r="UCS81" s="54"/>
      <c r="UCT81" s="54"/>
      <c r="UCU81" s="54"/>
      <c r="UCV81" s="54"/>
      <c r="UCW81" s="54"/>
      <c r="UCX81" s="54"/>
      <c r="UCY81" s="54"/>
      <c r="UCZ81" s="54"/>
      <c r="UDA81" s="54"/>
      <c r="UDB81" s="54"/>
      <c r="UDC81" s="54"/>
      <c r="UDD81" s="54"/>
      <c r="UDE81" s="54"/>
      <c r="UDF81" s="54"/>
      <c r="UDG81" s="54"/>
      <c r="UDH81" s="54"/>
      <c r="UDI81" s="54"/>
      <c r="UDJ81" s="54"/>
      <c r="UDK81" s="54"/>
      <c r="UDL81" s="54"/>
      <c r="UDM81" s="54"/>
      <c r="UDN81" s="54"/>
      <c r="UDO81" s="54"/>
      <c r="UDP81" s="54"/>
      <c r="UDQ81" s="54"/>
      <c r="UDR81" s="54"/>
      <c r="UDS81" s="54"/>
      <c r="UDT81" s="54"/>
      <c r="UDU81" s="54"/>
      <c r="UDV81" s="54"/>
      <c r="UDW81" s="54"/>
      <c r="UDX81" s="54"/>
      <c r="UDY81" s="54"/>
      <c r="UDZ81" s="54"/>
      <c r="UEA81" s="54"/>
      <c r="UEB81" s="54"/>
      <c r="UEC81" s="54"/>
      <c r="UED81" s="54"/>
      <c r="UEE81" s="54"/>
      <c r="UEF81" s="54"/>
      <c r="UEG81" s="54"/>
      <c r="UEH81" s="54"/>
      <c r="UEI81" s="54"/>
      <c r="UEJ81" s="54"/>
      <c r="UEK81" s="54"/>
      <c r="UEL81" s="54"/>
      <c r="UEM81" s="54"/>
      <c r="UEN81" s="54"/>
      <c r="UEO81" s="54"/>
      <c r="UEP81" s="54"/>
      <c r="UEQ81" s="54"/>
      <c r="UER81" s="54"/>
      <c r="UES81" s="54"/>
      <c r="UET81" s="54"/>
      <c r="UEU81" s="54"/>
      <c r="UEV81" s="54"/>
      <c r="UEW81" s="54"/>
      <c r="UEX81" s="54"/>
      <c r="UEY81" s="54"/>
      <c r="UEZ81" s="54"/>
      <c r="UFA81" s="54"/>
      <c r="UFB81" s="54"/>
      <c r="UFC81" s="54"/>
      <c r="UFD81" s="54"/>
      <c r="UFE81" s="54"/>
      <c r="UFF81" s="54"/>
      <c r="UFG81" s="54"/>
      <c r="UFH81" s="54"/>
      <c r="UFI81" s="54"/>
      <c r="UFJ81" s="54"/>
      <c r="UFK81" s="54"/>
      <c r="UFL81" s="54"/>
      <c r="UFM81" s="54"/>
      <c r="UFN81" s="54"/>
      <c r="UFO81" s="54"/>
      <c r="UFP81" s="54"/>
      <c r="UFQ81" s="54"/>
      <c r="UFR81" s="54"/>
      <c r="UFS81" s="54"/>
      <c r="UFT81" s="54"/>
      <c r="UFU81" s="54"/>
      <c r="UFV81" s="54"/>
      <c r="UFW81" s="54"/>
      <c r="UFX81" s="54"/>
      <c r="UFY81" s="54"/>
      <c r="UFZ81" s="54"/>
      <c r="UGA81" s="54"/>
      <c r="UGB81" s="54"/>
      <c r="UGC81" s="54"/>
      <c r="UGD81" s="54"/>
      <c r="UGE81" s="54"/>
      <c r="UGF81" s="54"/>
      <c r="UGG81" s="54"/>
      <c r="UGH81" s="54"/>
      <c r="UGI81" s="54"/>
      <c r="UGJ81" s="54"/>
      <c r="UGK81" s="54"/>
      <c r="UGL81" s="54"/>
      <c r="UGM81" s="54"/>
      <c r="UGN81" s="54"/>
      <c r="UGO81" s="54"/>
      <c r="UGP81" s="54"/>
      <c r="UGQ81" s="54"/>
      <c r="UGR81" s="54"/>
      <c r="UGS81" s="54"/>
      <c r="UGT81" s="54"/>
      <c r="UGU81" s="54"/>
      <c r="UGV81" s="54"/>
      <c r="UGW81" s="54"/>
      <c r="UGX81" s="54"/>
      <c r="UGY81" s="54"/>
      <c r="UGZ81" s="54"/>
      <c r="UHA81" s="54"/>
      <c r="UHB81" s="54"/>
      <c r="UHC81" s="54"/>
      <c r="UHD81" s="54"/>
      <c r="UHE81" s="54"/>
      <c r="UHF81" s="54"/>
      <c r="UHG81" s="54"/>
      <c r="UHH81" s="54"/>
      <c r="UHI81" s="54"/>
      <c r="UHJ81" s="54"/>
      <c r="UHK81" s="54"/>
      <c r="UHL81" s="54"/>
      <c r="UHM81" s="54"/>
      <c r="UHN81" s="54"/>
      <c r="UHO81" s="54"/>
      <c r="UHP81" s="54"/>
      <c r="UHQ81" s="54"/>
      <c r="UHR81" s="54"/>
      <c r="UHS81" s="54"/>
      <c r="UHT81" s="54"/>
      <c r="UHU81" s="54"/>
      <c r="UHV81" s="54"/>
      <c r="UHW81" s="54"/>
      <c r="UHX81" s="54"/>
      <c r="UHY81" s="54"/>
      <c r="UHZ81" s="54"/>
      <c r="UIA81" s="54"/>
      <c r="UIB81" s="54"/>
      <c r="UIC81" s="54"/>
      <c r="UID81" s="54"/>
      <c r="UIE81" s="54"/>
      <c r="UIF81" s="54"/>
      <c r="UIG81" s="54"/>
      <c r="UIH81" s="54"/>
      <c r="UII81" s="54"/>
      <c r="UIJ81" s="54"/>
      <c r="UIK81" s="54"/>
      <c r="UIL81" s="54"/>
      <c r="UIM81" s="54"/>
      <c r="UIN81" s="54"/>
      <c r="UIO81" s="54"/>
      <c r="UIP81" s="54"/>
      <c r="UIQ81" s="54"/>
      <c r="UIR81" s="54"/>
      <c r="UIS81" s="54"/>
      <c r="UIT81" s="54"/>
      <c r="UIU81" s="54"/>
      <c r="UIV81" s="54"/>
      <c r="UIW81" s="54"/>
      <c r="UIX81" s="54"/>
      <c r="UIY81" s="54"/>
      <c r="UIZ81" s="54"/>
      <c r="UJA81" s="54"/>
      <c r="UJB81" s="54"/>
      <c r="UJC81" s="54"/>
      <c r="UJD81" s="54"/>
      <c r="UJE81" s="54"/>
      <c r="UJF81" s="54"/>
      <c r="UJG81" s="54"/>
      <c r="UJH81" s="54"/>
      <c r="UJI81" s="54"/>
      <c r="UJJ81" s="54"/>
      <c r="UJK81" s="54"/>
      <c r="UJL81" s="54"/>
      <c r="UJM81" s="54"/>
      <c r="UJN81" s="54"/>
      <c r="UJO81" s="54"/>
      <c r="UJP81" s="54"/>
      <c r="UJQ81" s="54"/>
      <c r="UJR81" s="54"/>
      <c r="UJS81" s="54"/>
      <c r="UJT81" s="54"/>
      <c r="UJU81" s="54"/>
      <c r="UJV81" s="54"/>
      <c r="UJW81" s="54"/>
      <c r="UJX81" s="54"/>
      <c r="UJY81" s="54"/>
      <c r="UJZ81" s="54"/>
      <c r="UKA81" s="54"/>
      <c r="UKB81" s="54"/>
      <c r="UKC81" s="54"/>
      <c r="UKD81" s="54"/>
      <c r="UKE81" s="54"/>
      <c r="UKF81" s="54"/>
      <c r="UKG81" s="54"/>
      <c r="UKH81" s="54"/>
      <c r="UKI81" s="54"/>
      <c r="UKJ81" s="54"/>
      <c r="UKK81" s="54"/>
      <c r="UKL81" s="54"/>
      <c r="UKM81" s="54"/>
      <c r="UKN81" s="54"/>
      <c r="UKO81" s="54"/>
      <c r="UKP81" s="54"/>
      <c r="UKQ81" s="54"/>
      <c r="UKR81" s="54"/>
      <c r="UKS81" s="54"/>
      <c r="UKT81" s="54"/>
      <c r="UKU81" s="54"/>
      <c r="UKV81" s="54"/>
      <c r="UKW81" s="54"/>
      <c r="UKX81" s="54"/>
      <c r="UKY81" s="54"/>
      <c r="UKZ81" s="54"/>
      <c r="ULA81" s="54"/>
      <c r="ULB81" s="54"/>
      <c r="ULC81" s="54"/>
      <c r="ULD81" s="54"/>
      <c r="ULE81" s="54"/>
      <c r="ULF81" s="54"/>
      <c r="ULG81" s="54"/>
      <c r="ULH81" s="54"/>
      <c r="ULI81" s="54"/>
      <c r="ULJ81" s="54"/>
      <c r="ULK81" s="54"/>
      <c r="ULL81" s="54"/>
      <c r="ULM81" s="54"/>
      <c r="ULN81" s="54"/>
      <c r="ULO81" s="54"/>
      <c r="ULP81" s="54"/>
      <c r="ULQ81" s="54"/>
      <c r="ULR81" s="54"/>
      <c r="ULS81" s="54"/>
      <c r="ULT81" s="54"/>
      <c r="ULU81" s="54"/>
      <c r="ULV81" s="54"/>
      <c r="ULW81" s="54"/>
      <c r="ULX81" s="54"/>
      <c r="ULY81" s="54"/>
      <c r="ULZ81" s="54"/>
      <c r="UMA81" s="54"/>
      <c r="UMB81" s="54"/>
      <c r="UMC81" s="54"/>
      <c r="UMD81" s="54"/>
      <c r="UME81" s="54"/>
      <c r="UMF81" s="54"/>
      <c r="UMG81" s="54"/>
      <c r="UMH81" s="54"/>
      <c r="UMI81" s="54"/>
      <c r="UMJ81" s="54"/>
      <c r="UMK81" s="54"/>
      <c r="UML81" s="54"/>
      <c r="UMM81" s="54"/>
      <c r="UMN81" s="54"/>
      <c r="UMO81" s="54"/>
      <c r="UMP81" s="54"/>
      <c r="UMQ81" s="54"/>
      <c r="UMR81" s="54"/>
      <c r="UMS81" s="54"/>
      <c r="UMT81" s="54"/>
      <c r="UMU81" s="54"/>
      <c r="UMV81" s="54"/>
      <c r="UMW81" s="54"/>
      <c r="UMX81" s="54"/>
      <c r="UMY81" s="54"/>
      <c r="UMZ81" s="54"/>
      <c r="UNA81" s="54"/>
      <c r="UNB81" s="54"/>
      <c r="UNC81" s="54"/>
      <c r="UND81" s="54"/>
      <c r="UNE81" s="54"/>
      <c r="UNF81" s="54"/>
      <c r="UNG81" s="54"/>
      <c r="UNH81" s="54"/>
      <c r="UNI81" s="54"/>
      <c r="UNJ81" s="54"/>
      <c r="UNK81" s="54"/>
      <c r="UNL81" s="54"/>
      <c r="UNM81" s="54"/>
      <c r="UNN81" s="54"/>
      <c r="UNO81" s="54"/>
      <c r="UNP81" s="54"/>
      <c r="UNQ81" s="54"/>
      <c r="UNR81" s="54"/>
      <c r="UNS81" s="54"/>
      <c r="UNT81" s="54"/>
      <c r="UNU81" s="54"/>
      <c r="UNV81" s="54"/>
      <c r="UNW81" s="54"/>
      <c r="UNX81" s="54"/>
      <c r="UNY81" s="54"/>
      <c r="UNZ81" s="54"/>
      <c r="UOA81" s="54"/>
      <c r="UOB81" s="54"/>
      <c r="UOC81" s="54"/>
      <c r="UOD81" s="54"/>
      <c r="UOE81" s="54"/>
      <c r="UOF81" s="54"/>
      <c r="UOG81" s="54"/>
      <c r="UOH81" s="54"/>
      <c r="UOI81" s="54"/>
      <c r="UOJ81" s="54"/>
      <c r="UOK81" s="54"/>
      <c r="UOL81" s="54"/>
      <c r="UOM81" s="54"/>
      <c r="UON81" s="54"/>
      <c r="UOO81" s="54"/>
      <c r="UOP81" s="54"/>
      <c r="UOQ81" s="54"/>
      <c r="UOR81" s="54"/>
      <c r="UOS81" s="54"/>
      <c r="UOT81" s="54"/>
      <c r="UOU81" s="54"/>
      <c r="UOV81" s="54"/>
      <c r="UOW81" s="54"/>
      <c r="UOX81" s="54"/>
      <c r="UOY81" s="54"/>
      <c r="UOZ81" s="54"/>
      <c r="UPA81" s="54"/>
      <c r="UPB81" s="54"/>
      <c r="UPC81" s="54"/>
      <c r="UPD81" s="54"/>
      <c r="UPE81" s="54"/>
      <c r="UPF81" s="54"/>
      <c r="UPG81" s="54"/>
      <c r="UPH81" s="54"/>
      <c r="UPI81" s="54"/>
      <c r="UPJ81" s="54"/>
      <c r="UPK81" s="54"/>
      <c r="UPL81" s="54"/>
      <c r="UPM81" s="54"/>
      <c r="UPN81" s="54"/>
      <c r="UPO81" s="54"/>
      <c r="UPP81" s="54"/>
      <c r="UPQ81" s="54"/>
      <c r="UPR81" s="54"/>
      <c r="UPS81" s="54"/>
      <c r="UPT81" s="54"/>
      <c r="UPU81" s="54"/>
      <c r="UPV81" s="54"/>
      <c r="UPW81" s="54"/>
      <c r="UPX81" s="54"/>
      <c r="UPY81" s="54"/>
      <c r="UPZ81" s="54"/>
      <c r="UQA81" s="54"/>
      <c r="UQB81" s="54"/>
      <c r="UQC81" s="54"/>
      <c r="UQD81" s="54"/>
      <c r="UQE81" s="54"/>
      <c r="UQF81" s="54"/>
      <c r="UQG81" s="54"/>
      <c r="UQH81" s="54"/>
      <c r="UQI81" s="54"/>
      <c r="UQJ81" s="54"/>
      <c r="UQK81" s="54"/>
      <c r="UQL81" s="54"/>
      <c r="UQM81" s="54"/>
      <c r="UQN81" s="54"/>
      <c r="UQO81" s="54"/>
      <c r="UQP81" s="54"/>
      <c r="UQQ81" s="54"/>
      <c r="UQR81" s="54"/>
      <c r="UQS81" s="54"/>
      <c r="UQT81" s="54"/>
      <c r="UQU81" s="54"/>
      <c r="UQV81" s="54"/>
      <c r="UQW81" s="54"/>
      <c r="UQX81" s="54"/>
      <c r="UQY81" s="54"/>
      <c r="UQZ81" s="54"/>
      <c r="URA81" s="54"/>
      <c r="URB81" s="54"/>
      <c r="URC81" s="54"/>
      <c r="URD81" s="54"/>
      <c r="URE81" s="54"/>
      <c r="URF81" s="54"/>
      <c r="URG81" s="54"/>
      <c r="URH81" s="54"/>
      <c r="URI81" s="54"/>
      <c r="URJ81" s="54"/>
      <c r="URK81" s="54"/>
      <c r="URL81" s="54"/>
      <c r="URM81" s="54"/>
      <c r="URN81" s="54"/>
      <c r="URO81" s="54"/>
      <c r="URP81" s="54"/>
      <c r="URQ81" s="54"/>
      <c r="URR81" s="54"/>
      <c r="URS81" s="54"/>
      <c r="URT81" s="54"/>
      <c r="URU81" s="54"/>
      <c r="URV81" s="54"/>
      <c r="URW81" s="54"/>
      <c r="URX81" s="54"/>
      <c r="URY81" s="54"/>
      <c r="URZ81" s="54"/>
      <c r="USA81" s="54"/>
      <c r="USB81" s="54"/>
      <c r="USC81" s="54"/>
      <c r="USD81" s="54"/>
      <c r="USE81" s="54"/>
      <c r="USF81" s="54"/>
      <c r="USG81" s="54"/>
      <c r="USH81" s="54"/>
      <c r="USI81" s="54"/>
      <c r="USJ81" s="54"/>
      <c r="USK81" s="54"/>
      <c r="USL81" s="54"/>
      <c r="USM81" s="54"/>
      <c r="USN81" s="54"/>
      <c r="USO81" s="54"/>
      <c r="USP81" s="54"/>
      <c r="USQ81" s="54"/>
      <c r="USR81" s="54"/>
      <c r="USS81" s="54"/>
      <c r="UST81" s="54"/>
      <c r="USU81" s="54"/>
      <c r="USV81" s="54"/>
      <c r="USW81" s="54"/>
      <c r="USX81" s="54"/>
      <c r="USY81" s="54"/>
      <c r="USZ81" s="54"/>
      <c r="UTA81" s="54"/>
      <c r="UTB81" s="54"/>
      <c r="UTC81" s="54"/>
      <c r="UTD81" s="54"/>
      <c r="UTE81" s="54"/>
      <c r="UTF81" s="54"/>
      <c r="UTG81" s="54"/>
      <c r="UTH81" s="54"/>
      <c r="UTI81" s="54"/>
      <c r="UTJ81" s="54"/>
      <c r="UTK81" s="54"/>
      <c r="UTL81" s="54"/>
      <c r="UTM81" s="54"/>
      <c r="UTN81" s="54"/>
      <c r="UTO81" s="54"/>
      <c r="UTP81" s="54"/>
      <c r="UTQ81" s="54"/>
      <c r="UTR81" s="54"/>
      <c r="UTS81" s="54"/>
      <c r="UTT81" s="54"/>
      <c r="UTU81" s="54"/>
      <c r="UTV81" s="54"/>
      <c r="UTW81" s="54"/>
      <c r="UTX81" s="54"/>
      <c r="UTY81" s="54"/>
      <c r="UTZ81" s="54"/>
      <c r="UUA81" s="54"/>
      <c r="UUB81" s="54"/>
      <c r="UUC81" s="54"/>
      <c r="UUD81" s="54"/>
      <c r="UUE81" s="54"/>
      <c r="UUF81" s="54"/>
      <c r="UUG81" s="54"/>
      <c r="UUH81" s="54"/>
      <c r="UUI81" s="54"/>
      <c r="UUJ81" s="54"/>
      <c r="UUK81" s="54"/>
      <c r="UUL81" s="54"/>
      <c r="UUM81" s="54"/>
      <c r="UUN81" s="54"/>
      <c r="UUO81" s="54"/>
      <c r="UUP81" s="54"/>
      <c r="UUQ81" s="54"/>
      <c r="UUR81" s="54"/>
      <c r="UUS81" s="54"/>
      <c r="UUT81" s="54"/>
      <c r="UUU81" s="54"/>
      <c r="UUV81" s="54"/>
      <c r="UUW81" s="54"/>
      <c r="UUX81" s="54"/>
      <c r="UUY81" s="54"/>
      <c r="UUZ81" s="54"/>
      <c r="UVA81" s="54"/>
      <c r="UVB81" s="54"/>
      <c r="UVC81" s="54"/>
      <c r="UVD81" s="54"/>
      <c r="UVE81" s="54"/>
      <c r="UVF81" s="54"/>
      <c r="UVG81" s="54"/>
      <c r="UVH81" s="54"/>
      <c r="UVI81" s="54"/>
      <c r="UVJ81" s="54"/>
      <c r="UVK81" s="54"/>
      <c r="UVL81" s="54"/>
      <c r="UVM81" s="54"/>
      <c r="UVN81" s="54"/>
      <c r="UVO81" s="54"/>
      <c r="UVP81" s="54"/>
      <c r="UVQ81" s="54"/>
      <c r="UVR81" s="54"/>
      <c r="UVS81" s="54"/>
      <c r="UVT81" s="54"/>
      <c r="UVU81" s="54"/>
      <c r="UVV81" s="54"/>
      <c r="UVW81" s="54"/>
      <c r="UVX81" s="54"/>
      <c r="UVY81" s="54"/>
      <c r="UVZ81" s="54"/>
      <c r="UWA81" s="54"/>
      <c r="UWB81" s="54"/>
      <c r="UWC81" s="54"/>
      <c r="UWD81" s="54"/>
      <c r="UWE81" s="54"/>
      <c r="UWF81" s="54"/>
      <c r="UWG81" s="54"/>
      <c r="UWH81" s="54"/>
      <c r="UWI81" s="54"/>
      <c r="UWJ81" s="54"/>
      <c r="UWK81" s="54"/>
      <c r="UWL81" s="54"/>
      <c r="UWM81" s="54"/>
      <c r="UWN81" s="54"/>
      <c r="UWO81" s="54"/>
      <c r="UWP81" s="54"/>
      <c r="UWQ81" s="54"/>
      <c r="UWR81" s="54"/>
      <c r="UWS81" s="54"/>
      <c r="UWT81" s="54"/>
      <c r="UWU81" s="54"/>
      <c r="UWV81" s="54"/>
      <c r="UWW81" s="54"/>
      <c r="UWX81" s="54"/>
      <c r="UWY81" s="54"/>
      <c r="UWZ81" s="54"/>
      <c r="UXA81" s="54"/>
      <c r="UXB81" s="54"/>
      <c r="UXC81" s="54"/>
      <c r="UXD81" s="54"/>
      <c r="UXE81" s="54"/>
      <c r="UXF81" s="54"/>
      <c r="UXG81" s="54"/>
      <c r="UXH81" s="54"/>
      <c r="UXI81" s="54"/>
      <c r="UXJ81" s="54"/>
      <c r="UXK81" s="54"/>
      <c r="UXL81" s="54"/>
      <c r="UXM81" s="54"/>
      <c r="UXN81" s="54"/>
      <c r="UXO81" s="54"/>
      <c r="UXP81" s="54"/>
      <c r="UXQ81" s="54"/>
      <c r="UXR81" s="54"/>
      <c r="UXS81" s="54"/>
      <c r="UXT81" s="54"/>
      <c r="UXU81" s="54"/>
      <c r="UXV81" s="54"/>
      <c r="UXW81" s="54"/>
      <c r="UXX81" s="54"/>
      <c r="UXY81" s="54"/>
      <c r="UXZ81" s="54"/>
      <c r="UYA81" s="54"/>
      <c r="UYB81" s="54"/>
      <c r="UYC81" s="54"/>
      <c r="UYD81" s="54"/>
      <c r="UYE81" s="54"/>
      <c r="UYF81" s="54"/>
      <c r="UYG81" s="54"/>
      <c r="UYH81" s="54"/>
      <c r="UYI81" s="54"/>
      <c r="UYJ81" s="54"/>
      <c r="UYK81" s="54"/>
      <c r="UYL81" s="54"/>
      <c r="UYM81" s="54"/>
      <c r="UYN81" s="54"/>
      <c r="UYO81" s="54"/>
      <c r="UYP81" s="54"/>
      <c r="UYQ81" s="54"/>
      <c r="UYR81" s="54"/>
      <c r="UYS81" s="54"/>
      <c r="UYT81" s="54"/>
      <c r="UYU81" s="54"/>
      <c r="UYV81" s="54"/>
      <c r="UYW81" s="54"/>
      <c r="UYX81" s="54"/>
      <c r="UYY81" s="54"/>
      <c r="UYZ81" s="54"/>
      <c r="UZA81" s="54"/>
      <c r="UZB81" s="54"/>
      <c r="UZC81" s="54"/>
      <c r="UZD81" s="54"/>
      <c r="UZE81" s="54"/>
      <c r="UZF81" s="54"/>
      <c r="UZG81" s="54"/>
      <c r="UZH81" s="54"/>
      <c r="UZI81" s="54"/>
      <c r="UZJ81" s="54"/>
      <c r="UZK81" s="54"/>
      <c r="UZL81" s="54"/>
      <c r="UZM81" s="54"/>
      <c r="UZN81" s="54"/>
      <c r="UZO81" s="54"/>
      <c r="UZP81" s="54"/>
      <c r="UZQ81" s="54"/>
      <c r="UZR81" s="54"/>
      <c r="UZS81" s="54"/>
      <c r="UZT81" s="54"/>
      <c r="UZU81" s="54"/>
      <c r="UZV81" s="54"/>
      <c r="UZW81" s="54"/>
      <c r="UZX81" s="54"/>
      <c r="UZY81" s="54"/>
      <c r="UZZ81" s="54"/>
      <c r="VAA81" s="54"/>
      <c r="VAB81" s="54"/>
      <c r="VAC81" s="54"/>
      <c r="VAD81" s="54"/>
      <c r="VAE81" s="54"/>
      <c r="VAF81" s="54"/>
      <c r="VAG81" s="54"/>
      <c r="VAH81" s="54"/>
      <c r="VAI81" s="54"/>
      <c r="VAJ81" s="54"/>
      <c r="VAK81" s="54"/>
      <c r="VAL81" s="54"/>
      <c r="VAM81" s="54"/>
      <c r="VAN81" s="54"/>
      <c r="VAO81" s="54"/>
      <c r="VAP81" s="54"/>
      <c r="VAQ81" s="54"/>
      <c r="VAR81" s="54"/>
      <c r="VAS81" s="54"/>
      <c r="VAT81" s="54"/>
      <c r="VAU81" s="54"/>
      <c r="VAV81" s="54"/>
      <c r="VAW81" s="54"/>
      <c r="VAX81" s="54"/>
      <c r="VAY81" s="54"/>
      <c r="VAZ81" s="54"/>
      <c r="VBA81" s="54"/>
      <c r="VBB81" s="54"/>
      <c r="VBC81" s="54"/>
      <c r="VBD81" s="54"/>
      <c r="VBE81" s="54"/>
      <c r="VBF81" s="54"/>
      <c r="VBG81" s="54"/>
      <c r="VBH81" s="54"/>
      <c r="VBI81" s="54"/>
      <c r="VBJ81" s="54"/>
      <c r="VBK81" s="54"/>
      <c r="VBL81" s="54"/>
      <c r="VBM81" s="54"/>
      <c r="VBN81" s="54"/>
      <c r="VBO81" s="54"/>
      <c r="VBP81" s="54"/>
      <c r="VBQ81" s="54"/>
      <c r="VBR81" s="54"/>
      <c r="VBS81" s="54"/>
      <c r="VBT81" s="54"/>
      <c r="VBU81" s="54"/>
      <c r="VBV81" s="54"/>
      <c r="VBW81" s="54"/>
      <c r="VBX81" s="54"/>
      <c r="VBY81" s="54"/>
      <c r="VBZ81" s="54"/>
      <c r="VCA81" s="54"/>
      <c r="VCB81" s="54"/>
      <c r="VCC81" s="54"/>
      <c r="VCD81" s="54"/>
      <c r="VCE81" s="54"/>
      <c r="VCF81" s="54"/>
      <c r="VCG81" s="54"/>
      <c r="VCH81" s="54"/>
      <c r="VCI81" s="54"/>
      <c r="VCJ81" s="54"/>
      <c r="VCK81" s="54"/>
      <c r="VCL81" s="54"/>
      <c r="VCM81" s="54"/>
      <c r="VCN81" s="54"/>
      <c r="VCO81" s="54"/>
      <c r="VCP81" s="54"/>
      <c r="VCQ81" s="54"/>
      <c r="VCR81" s="54"/>
      <c r="VCS81" s="54"/>
      <c r="VCT81" s="54"/>
      <c r="VCU81" s="54"/>
      <c r="VCV81" s="54"/>
      <c r="VCW81" s="54"/>
      <c r="VCX81" s="54"/>
      <c r="VCY81" s="54"/>
      <c r="VCZ81" s="54"/>
      <c r="VDA81" s="54"/>
      <c r="VDB81" s="54"/>
      <c r="VDC81" s="54"/>
      <c r="VDD81" s="54"/>
      <c r="VDE81" s="54"/>
      <c r="VDF81" s="54"/>
      <c r="VDG81" s="54"/>
      <c r="VDH81" s="54"/>
      <c r="VDI81" s="54"/>
      <c r="VDJ81" s="54"/>
      <c r="VDK81" s="54"/>
      <c r="VDL81" s="54"/>
      <c r="VDM81" s="54"/>
      <c r="VDN81" s="54"/>
      <c r="VDO81" s="54"/>
      <c r="VDP81" s="54"/>
      <c r="VDQ81" s="54"/>
      <c r="VDR81" s="54"/>
      <c r="VDS81" s="54"/>
      <c r="VDT81" s="54"/>
      <c r="VDU81" s="54"/>
      <c r="VDV81" s="54"/>
      <c r="VDW81" s="54"/>
      <c r="VDX81" s="54"/>
      <c r="VDY81" s="54"/>
      <c r="VDZ81" s="54"/>
      <c r="VEA81" s="54"/>
      <c r="VEB81" s="54"/>
      <c r="VEC81" s="54"/>
      <c r="VED81" s="54"/>
      <c r="VEE81" s="54"/>
      <c r="VEF81" s="54"/>
      <c r="VEG81" s="54"/>
      <c r="VEH81" s="54"/>
      <c r="VEI81" s="54"/>
      <c r="VEJ81" s="54"/>
      <c r="VEK81" s="54"/>
      <c r="VEL81" s="54"/>
      <c r="VEM81" s="54"/>
      <c r="VEN81" s="54"/>
      <c r="VEO81" s="54"/>
      <c r="VEP81" s="54"/>
      <c r="VEQ81" s="54"/>
      <c r="VER81" s="54"/>
      <c r="VES81" s="54"/>
      <c r="VET81" s="54"/>
      <c r="VEU81" s="54"/>
      <c r="VEV81" s="54"/>
      <c r="VEW81" s="54"/>
      <c r="VEX81" s="54"/>
      <c r="VEY81" s="54"/>
      <c r="VEZ81" s="54"/>
      <c r="VFA81" s="54"/>
      <c r="VFB81" s="54"/>
      <c r="VFC81" s="54"/>
      <c r="VFD81" s="54"/>
      <c r="VFE81" s="54"/>
      <c r="VFF81" s="54"/>
      <c r="VFG81" s="54"/>
      <c r="VFH81" s="54"/>
      <c r="VFI81" s="54"/>
      <c r="VFJ81" s="54"/>
      <c r="VFK81" s="54"/>
      <c r="VFL81" s="54"/>
      <c r="VFM81" s="54"/>
      <c r="VFN81" s="54"/>
      <c r="VFO81" s="54"/>
      <c r="VFP81" s="54"/>
      <c r="VFQ81" s="54"/>
      <c r="VFR81" s="54"/>
      <c r="VFS81" s="54"/>
      <c r="VFT81" s="54"/>
      <c r="VFU81" s="54"/>
      <c r="VFV81" s="54"/>
      <c r="VFW81" s="54"/>
      <c r="VFX81" s="54"/>
      <c r="VFY81" s="54"/>
      <c r="VFZ81" s="54"/>
      <c r="VGA81" s="54"/>
      <c r="VGB81" s="54"/>
      <c r="VGC81" s="54"/>
      <c r="VGD81" s="54"/>
      <c r="VGE81" s="54"/>
      <c r="VGF81" s="54"/>
      <c r="VGG81" s="54"/>
      <c r="VGH81" s="54"/>
      <c r="VGI81" s="54"/>
      <c r="VGJ81" s="54"/>
      <c r="VGK81" s="54"/>
      <c r="VGL81" s="54"/>
      <c r="VGM81" s="54"/>
      <c r="VGN81" s="54"/>
      <c r="VGO81" s="54"/>
      <c r="VGP81" s="54"/>
      <c r="VGQ81" s="54"/>
      <c r="VGR81" s="54"/>
      <c r="VGS81" s="54"/>
      <c r="VGT81" s="54"/>
      <c r="VGU81" s="54"/>
      <c r="VGV81" s="54"/>
      <c r="VGW81" s="54"/>
      <c r="VGX81" s="54"/>
      <c r="VGY81" s="54"/>
      <c r="VGZ81" s="54"/>
      <c r="VHA81" s="54"/>
      <c r="VHB81" s="54"/>
      <c r="VHC81" s="54"/>
      <c r="VHD81" s="54"/>
      <c r="VHE81" s="54"/>
      <c r="VHF81" s="54"/>
      <c r="VHG81" s="54"/>
      <c r="VHH81" s="54"/>
      <c r="VHI81" s="54"/>
      <c r="VHJ81" s="54"/>
      <c r="VHK81" s="54"/>
      <c r="VHL81" s="54"/>
      <c r="VHM81" s="54"/>
      <c r="VHN81" s="54"/>
      <c r="VHO81" s="54"/>
      <c r="VHP81" s="54"/>
      <c r="VHQ81" s="54"/>
      <c r="VHR81" s="54"/>
      <c r="VHS81" s="54"/>
      <c r="VHT81" s="54"/>
      <c r="VHU81" s="54"/>
      <c r="VHV81" s="54"/>
      <c r="VHW81" s="54"/>
      <c r="VHX81" s="54"/>
      <c r="VHY81" s="54"/>
      <c r="VHZ81" s="54"/>
      <c r="VIA81" s="54"/>
      <c r="VIB81" s="54"/>
      <c r="VIC81" s="54"/>
      <c r="VID81" s="54"/>
      <c r="VIE81" s="54"/>
      <c r="VIF81" s="54"/>
      <c r="VIG81" s="54"/>
      <c r="VIH81" s="54"/>
      <c r="VII81" s="54"/>
      <c r="VIJ81" s="54"/>
      <c r="VIK81" s="54"/>
      <c r="VIL81" s="54"/>
      <c r="VIM81" s="54"/>
      <c r="VIN81" s="54"/>
      <c r="VIO81" s="54"/>
      <c r="VIP81" s="54"/>
      <c r="VIQ81" s="54"/>
      <c r="VIR81" s="54"/>
      <c r="VIS81" s="54"/>
      <c r="VIT81" s="54"/>
      <c r="VIU81" s="54"/>
      <c r="VIV81" s="54"/>
      <c r="VIW81" s="54"/>
      <c r="VIX81" s="54"/>
      <c r="VIY81" s="54"/>
      <c r="VIZ81" s="54"/>
      <c r="VJA81" s="54"/>
      <c r="VJB81" s="54"/>
      <c r="VJC81" s="54"/>
      <c r="VJD81" s="54"/>
      <c r="VJE81" s="54"/>
      <c r="VJF81" s="54"/>
      <c r="VJG81" s="54"/>
      <c r="VJH81" s="54"/>
      <c r="VJI81" s="54"/>
      <c r="VJJ81" s="54"/>
      <c r="VJK81" s="54"/>
      <c r="VJL81" s="54"/>
      <c r="VJM81" s="54"/>
      <c r="VJN81" s="54"/>
      <c r="VJO81" s="54"/>
      <c r="VJP81" s="54"/>
      <c r="VJQ81" s="54"/>
      <c r="VJR81" s="54"/>
      <c r="VJS81" s="54"/>
      <c r="VJT81" s="54"/>
      <c r="VJU81" s="54"/>
      <c r="VJV81" s="54"/>
      <c r="VJW81" s="54"/>
      <c r="VJX81" s="54"/>
      <c r="VJY81" s="54"/>
      <c r="VJZ81" s="54"/>
      <c r="VKA81" s="54"/>
      <c r="VKB81" s="54"/>
      <c r="VKC81" s="54"/>
      <c r="VKD81" s="54"/>
      <c r="VKE81" s="54"/>
      <c r="VKF81" s="54"/>
      <c r="VKG81" s="54"/>
      <c r="VKH81" s="54"/>
      <c r="VKI81" s="54"/>
      <c r="VKJ81" s="54"/>
      <c r="VKK81" s="54"/>
      <c r="VKL81" s="54"/>
      <c r="VKM81" s="54"/>
      <c r="VKN81" s="54"/>
      <c r="VKO81" s="54"/>
      <c r="VKP81" s="54"/>
      <c r="VKQ81" s="54"/>
      <c r="VKR81" s="54"/>
      <c r="VKS81" s="54"/>
      <c r="VKT81" s="54"/>
      <c r="VKU81" s="54"/>
      <c r="VKV81" s="54"/>
      <c r="VKW81" s="54"/>
      <c r="VKX81" s="54"/>
      <c r="VKY81" s="54"/>
      <c r="VKZ81" s="54"/>
      <c r="VLA81" s="54"/>
      <c r="VLB81" s="54"/>
      <c r="VLC81" s="54"/>
      <c r="VLD81" s="54"/>
      <c r="VLE81" s="54"/>
      <c r="VLF81" s="54"/>
      <c r="VLG81" s="54"/>
      <c r="VLH81" s="54"/>
      <c r="VLI81" s="54"/>
      <c r="VLJ81" s="54"/>
      <c r="VLK81" s="54"/>
      <c r="VLL81" s="54"/>
      <c r="VLM81" s="54"/>
      <c r="VLN81" s="54"/>
      <c r="VLO81" s="54"/>
      <c r="VLP81" s="54"/>
      <c r="VLQ81" s="54"/>
      <c r="VLR81" s="54"/>
      <c r="VLS81" s="54"/>
      <c r="VLT81" s="54"/>
      <c r="VLU81" s="54"/>
      <c r="VLV81" s="54"/>
      <c r="VLW81" s="54"/>
      <c r="VLX81" s="54"/>
      <c r="VLY81" s="54"/>
      <c r="VLZ81" s="54"/>
      <c r="VMA81" s="54"/>
      <c r="VMB81" s="54"/>
      <c r="VMC81" s="54"/>
      <c r="VMD81" s="54"/>
      <c r="VME81" s="54"/>
      <c r="VMF81" s="54"/>
      <c r="VMG81" s="54"/>
      <c r="VMH81" s="54"/>
      <c r="VMI81" s="54"/>
      <c r="VMJ81" s="54"/>
      <c r="VMK81" s="54"/>
      <c r="VML81" s="54"/>
      <c r="VMM81" s="54"/>
      <c r="VMN81" s="54"/>
      <c r="VMO81" s="54"/>
      <c r="VMP81" s="54"/>
      <c r="VMQ81" s="54"/>
      <c r="VMR81" s="54"/>
      <c r="VMS81" s="54"/>
      <c r="VMT81" s="54"/>
      <c r="VMU81" s="54"/>
      <c r="VMV81" s="54"/>
      <c r="VMW81" s="54"/>
      <c r="VMX81" s="54"/>
      <c r="VMY81" s="54"/>
      <c r="VMZ81" s="54"/>
      <c r="VNA81" s="54"/>
      <c r="VNB81" s="54"/>
      <c r="VNC81" s="54"/>
      <c r="VND81" s="54"/>
      <c r="VNE81" s="54"/>
      <c r="VNF81" s="54"/>
      <c r="VNG81" s="54"/>
      <c r="VNH81" s="54"/>
      <c r="VNI81" s="54"/>
      <c r="VNJ81" s="54"/>
      <c r="VNK81" s="54"/>
      <c r="VNL81" s="54"/>
      <c r="VNM81" s="54"/>
      <c r="VNN81" s="54"/>
      <c r="VNO81" s="54"/>
      <c r="VNP81" s="54"/>
      <c r="VNQ81" s="54"/>
      <c r="VNR81" s="54"/>
      <c r="VNS81" s="54"/>
      <c r="VNT81" s="54"/>
      <c r="VNU81" s="54"/>
      <c r="VNV81" s="54"/>
      <c r="VNW81" s="54"/>
      <c r="VNX81" s="54"/>
      <c r="VNY81" s="54"/>
      <c r="VNZ81" s="54"/>
      <c r="VOA81" s="54"/>
      <c r="VOB81" s="54"/>
      <c r="VOC81" s="54"/>
      <c r="VOD81" s="54"/>
      <c r="VOE81" s="54"/>
      <c r="VOF81" s="54"/>
      <c r="VOG81" s="54"/>
      <c r="VOH81" s="54"/>
      <c r="VOI81" s="54"/>
      <c r="VOJ81" s="54"/>
      <c r="VOK81" s="54"/>
      <c r="VOL81" s="54"/>
      <c r="VOM81" s="54"/>
      <c r="VON81" s="54"/>
      <c r="VOO81" s="54"/>
      <c r="VOP81" s="54"/>
      <c r="VOQ81" s="54"/>
      <c r="VOR81" s="54"/>
      <c r="VOS81" s="54"/>
      <c r="VOT81" s="54"/>
      <c r="VOU81" s="54"/>
      <c r="VOV81" s="54"/>
      <c r="VOW81" s="54"/>
      <c r="VOX81" s="54"/>
      <c r="VOY81" s="54"/>
      <c r="VOZ81" s="54"/>
      <c r="VPA81" s="54"/>
      <c r="VPB81" s="54"/>
      <c r="VPC81" s="54"/>
      <c r="VPD81" s="54"/>
      <c r="VPE81" s="54"/>
      <c r="VPF81" s="54"/>
      <c r="VPG81" s="54"/>
      <c r="VPH81" s="54"/>
      <c r="VPI81" s="54"/>
      <c r="VPJ81" s="54"/>
      <c r="VPK81" s="54"/>
      <c r="VPL81" s="54"/>
      <c r="VPM81" s="54"/>
      <c r="VPN81" s="54"/>
      <c r="VPO81" s="54"/>
      <c r="VPP81" s="54"/>
      <c r="VPQ81" s="54"/>
      <c r="VPR81" s="54"/>
      <c r="VPS81" s="54"/>
      <c r="VPT81" s="54"/>
      <c r="VPU81" s="54"/>
      <c r="VPV81" s="54"/>
      <c r="VPW81" s="54"/>
      <c r="VPX81" s="54"/>
      <c r="VPY81" s="54"/>
      <c r="VPZ81" s="54"/>
      <c r="VQA81" s="54"/>
      <c r="VQB81" s="54"/>
      <c r="VQC81" s="54"/>
      <c r="VQD81" s="54"/>
      <c r="VQE81" s="54"/>
      <c r="VQF81" s="54"/>
      <c r="VQG81" s="54"/>
      <c r="VQH81" s="54"/>
      <c r="VQI81" s="54"/>
      <c r="VQJ81" s="54"/>
      <c r="VQK81" s="54"/>
      <c r="VQL81" s="54"/>
      <c r="VQM81" s="54"/>
      <c r="VQN81" s="54"/>
      <c r="VQO81" s="54"/>
      <c r="VQP81" s="54"/>
      <c r="VQQ81" s="54"/>
      <c r="VQR81" s="54"/>
      <c r="VQS81" s="54"/>
      <c r="VQT81" s="54"/>
      <c r="VQU81" s="54"/>
      <c r="VQV81" s="54"/>
      <c r="VQW81" s="54"/>
      <c r="VQX81" s="54"/>
      <c r="VQY81" s="54"/>
      <c r="VQZ81" s="54"/>
      <c r="VRA81" s="54"/>
      <c r="VRB81" s="54"/>
      <c r="VRC81" s="54"/>
      <c r="VRD81" s="54"/>
      <c r="VRE81" s="54"/>
      <c r="VRF81" s="54"/>
      <c r="VRG81" s="54"/>
      <c r="VRH81" s="54"/>
      <c r="VRI81" s="54"/>
      <c r="VRJ81" s="54"/>
      <c r="VRK81" s="54"/>
      <c r="VRL81" s="54"/>
      <c r="VRM81" s="54"/>
      <c r="VRN81" s="54"/>
      <c r="VRO81" s="54"/>
      <c r="VRP81" s="54"/>
      <c r="VRQ81" s="54"/>
      <c r="VRR81" s="54"/>
      <c r="VRS81" s="54"/>
      <c r="VRT81" s="54"/>
      <c r="VRU81" s="54"/>
      <c r="VRV81" s="54"/>
      <c r="VRW81" s="54"/>
      <c r="VRX81" s="54"/>
      <c r="VRY81" s="54"/>
      <c r="VRZ81" s="54"/>
      <c r="VSA81" s="54"/>
      <c r="VSB81" s="54"/>
      <c r="VSC81" s="54"/>
      <c r="VSD81" s="54"/>
      <c r="VSE81" s="54"/>
      <c r="VSF81" s="54"/>
      <c r="VSG81" s="54"/>
      <c r="VSH81" s="54"/>
      <c r="VSI81" s="54"/>
      <c r="VSJ81" s="54"/>
      <c r="VSK81" s="54"/>
      <c r="VSL81" s="54"/>
      <c r="VSM81" s="54"/>
      <c r="VSN81" s="54"/>
      <c r="VSO81" s="54"/>
      <c r="VSP81" s="54"/>
      <c r="VSQ81" s="54"/>
      <c r="VSR81" s="54"/>
      <c r="VSS81" s="54"/>
      <c r="VST81" s="54"/>
      <c r="VSU81" s="54"/>
      <c r="VSV81" s="54"/>
      <c r="VSW81" s="54"/>
      <c r="VSX81" s="54"/>
      <c r="VSY81" s="54"/>
      <c r="VSZ81" s="54"/>
      <c r="VTA81" s="54"/>
      <c r="VTB81" s="54"/>
      <c r="VTC81" s="54"/>
      <c r="VTD81" s="54"/>
      <c r="VTE81" s="54"/>
      <c r="VTF81" s="54"/>
      <c r="VTG81" s="54"/>
      <c r="VTH81" s="54"/>
      <c r="VTI81" s="54"/>
      <c r="VTJ81" s="54"/>
      <c r="VTK81" s="54"/>
      <c r="VTL81" s="54"/>
      <c r="VTM81" s="54"/>
      <c r="VTN81" s="54"/>
      <c r="VTO81" s="54"/>
      <c r="VTP81" s="54"/>
      <c r="VTQ81" s="54"/>
      <c r="VTR81" s="54"/>
      <c r="VTS81" s="54"/>
      <c r="VTT81" s="54"/>
      <c r="VTU81" s="54"/>
      <c r="VTV81" s="54"/>
      <c r="VTW81" s="54"/>
      <c r="VTX81" s="54"/>
      <c r="VTY81" s="54"/>
      <c r="VTZ81" s="54"/>
      <c r="VUA81" s="54"/>
      <c r="VUB81" s="54"/>
      <c r="VUC81" s="54"/>
      <c r="VUD81" s="54"/>
      <c r="VUE81" s="54"/>
      <c r="VUF81" s="54"/>
      <c r="VUG81" s="54"/>
      <c r="VUH81" s="54"/>
      <c r="VUI81" s="54"/>
      <c r="VUJ81" s="54"/>
      <c r="VUK81" s="54"/>
      <c r="VUL81" s="54"/>
      <c r="VUM81" s="54"/>
      <c r="VUN81" s="54"/>
      <c r="VUO81" s="54"/>
      <c r="VUP81" s="54"/>
      <c r="VUQ81" s="54"/>
      <c r="VUR81" s="54"/>
      <c r="VUS81" s="54"/>
      <c r="VUT81" s="54"/>
      <c r="VUU81" s="54"/>
      <c r="VUV81" s="54"/>
      <c r="VUW81" s="54"/>
      <c r="VUX81" s="54"/>
      <c r="VUY81" s="54"/>
      <c r="VUZ81" s="54"/>
      <c r="VVA81" s="54"/>
      <c r="VVB81" s="54"/>
      <c r="VVC81" s="54"/>
      <c r="VVD81" s="54"/>
      <c r="VVE81" s="54"/>
      <c r="VVF81" s="54"/>
      <c r="VVG81" s="54"/>
      <c r="VVH81" s="54"/>
      <c r="VVI81" s="54"/>
      <c r="VVJ81" s="54"/>
      <c r="VVK81" s="54"/>
      <c r="VVL81" s="54"/>
      <c r="VVM81" s="54"/>
      <c r="VVN81" s="54"/>
      <c r="VVO81" s="54"/>
      <c r="VVP81" s="54"/>
      <c r="VVQ81" s="54"/>
      <c r="VVR81" s="54"/>
      <c r="VVS81" s="54"/>
      <c r="VVT81" s="54"/>
      <c r="VVU81" s="54"/>
      <c r="VVV81" s="54"/>
      <c r="VVW81" s="54"/>
      <c r="VVX81" s="54"/>
      <c r="VVY81" s="54"/>
      <c r="VVZ81" s="54"/>
      <c r="VWA81" s="54"/>
      <c r="VWB81" s="54"/>
      <c r="VWC81" s="54"/>
      <c r="VWD81" s="54"/>
      <c r="VWE81" s="54"/>
      <c r="VWF81" s="54"/>
      <c r="VWG81" s="54"/>
      <c r="VWH81" s="54"/>
      <c r="VWI81" s="54"/>
      <c r="VWJ81" s="54"/>
      <c r="VWK81" s="54"/>
      <c r="VWL81" s="54"/>
      <c r="VWM81" s="54"/>
      <c r="VWN81" s="54"/>
      <c r="VWO81" s="54"/>
      <c r="VWP81" s="54"/>
      <c r="VWQ81" s="54"/>
      <c r="VWR81" s="54"/>
      <c r="VWS81" s="54"/>
      <c r="VWT81" s="54"/>
      <c r="VWU81" s="54"/>
      <c r="VWV81" s="54"/>
      <c r="VWW81" s="54"/>
      <c r="VWX81" s="54"/>
      <c r="VWY81" s="54"/>
      <c r="VWZ81" s="54"/>
      <c r="VXA81" s="54"/>
      <c r="VXB81" s="54"/>
      <c r="VXC81" s="54"/>
      <c r="VXD81" s="54"/>
      <c r="VXE81" s="54"/>
      <c r="VXF81" s="54"/>
      <c r="VXG81" s="54"/>
      <c r="VXH81" s="54"/>
      <c r="VXI81" s="54"/>
      <c r="VXJ81" s="54"/>
      <c r="VXK81" s="54"/>
      <c r="VXL81" s="54"/>
      <c r="VXM81" s="54"/>
      <c r="VXN81" s="54"/>
      <c r="VXO81" s="54"/>
      <c r="VXP81" s="54"/>
      <c r="VXQ81" s="54"/>
      <c r="VXR81" s="54"/>
      <c r="VXS81" s="54"/>
      <c r="VXT81" s="54"/>
      <c r="VXU81" s="54"/>
      <c r="VXV81" s="54"/>
      <c r="VXW81" s="54"/>
      <c r="VXX81" s="54"/>
      <c r="VXY81" s="54"/>
      <c r="VXZ81" s="54"/>
      <c r="VYA81" s="54"/>
      <c r="VYB81" s="54"/>
      <c r="VYC81" s="54"/>
      <c r="VYD81" s="54"/>
      <c r="VYE81" s="54"/>
      <c r="VYF81" s="54"/>
      <c r="VYG81" s="54"/>
      <c r="VYH81" s="54"/>
      <c r="VYI81" s="54"/>
      <c r="VYJ81" s="54"/>
      <c r="VYK81" s="54"/>
      <c r="VYL81" s="54"/>
      <c r="VYM81" s="54"/>
      <c r="VYN81" s="54"/>
      <c r="VYO81" s="54"/>
      <c r="VYP81" s="54"/>
      <c r="VYQ81" s="54"/>
      <c r="VYR81" s="54"/>
      <c r="VYS81" s="54"/>
      <c r="VYT81" s="54"/>
      <c r="VYU81" s="54"/>
      <c r="VYV81" s="54"/>
      <c r="VYW81" s="54"/>
      <c r="VYX81" s="54"/>
      <c r="VYY81" s="54"/>
      <c r="VYZ81" s="54"/>
      <c r="VZA81" s="54"/>
      <c r="VZB81" s="54"/>
      <c r="VZC81" s="54"/>
      <c r="VZD81" s="54"/>
      <c r="VZE81" s="54"/>
      <c r="VZF81" s="54"/>
      <c r="VZG81" s="54"/>
      <c r="VZH81" s="54"/>
      <c r="VZI81" s="54"/>
      <c r="VZJ81" s="54"/>
      <c r="VZK81" s="54"/>
      <c r="VZL81" s="54"/>
      <c r="VZM81" s="54"/>
      <c r="VZN81" s="54"/>
      <c r="VZO81" s="54"/>
      <c r="VZP81" s="54"/>
      <c r="VZQ81" s="54"/>
      <c r="VZR81" s="54"/>
      <c r="VZS81" s="54"/>
      <c r="VZT81" s="54"/>
      <c r="VZU81" s="54"/>
      <c r="VZV81" s="54"/>
      <c r="VZW81" s="54"/>
      <c r="VZX81" s="54"/>
      <c r="VZY81" s="54"/>
      <c r="VZZ81" s="54"/>
      <c r="WAA81" s="54"/>
      <c r="WAB81" s="54"/>
      <c r="WAC81" s="54"/>
      <c r="WAD81" s="54"/>
      <c r="WAE81" s="54"/>
      <c r="WAF81" s="54"/>
      <c r="WAG81" s="54"/>
      <c r="WAH81" s="54"/>
      <c r="WAI81" s="54"/>
      <c r="WAJ81" s="54"/>
      <c r="WAK81" s="54"/>
      <c r="WAL81" s="54"/>
      <c r="WAM81" s="54"/>
      <c r="WAN81" s="54"/>
      <c r="WAO81" s="54"/>
      <c r="WAP81" s="54"/>
      <c r="WAQ81" s="54"/>
      <c r="WAR81" s="54"/>
      <c r="WAS81" s="54"/>
      <c r="WAT81" s="54"/>
      <c r="WAU81" s="54"/>
      <c r="WAV81" s="54"/>
      <c r="WAW81" s="54"/>
      <c r="WAX81" s="54"/>
      <c r="WAY81" s="54"/>
      <c r="WAZ81" s="54"/>
      <c r="WBA81" s="54"/>
      <c r="WBB81" s="54"/>
      <c r="WBC81" s="54"/>
      <c r="WBD81" s="54"/>
      <c r="WBE81" s="54"/>
      <c r="WBF81" s="54"/>
      <c r="WBG81" s="54"/>
      <c r="WBH81" s="54"/>
      <c r="WBI81" s="54"/>
      <c r="WBJ81" s="54"/>
      <c r="WBK81" s="54"/>
      <c r="WBL81" s="54"/>
      <c r="WBM81" s="54"/>
      <c r="WBN81" s="54"/>
      <c r="WBO81" s="54"/>
      <c r="WBP81" s="54"/>
      <c r="WBQ81" s="54"/>
      <c r="WBR81" s="54"/>
      <c r="WBS81" s="54"/>
      <c r="WBT81" s="54"/>
      <c r="WBU81" s="54"/>
      <c r="WBV81" s="54"/>
      <c r="WBW81" s="54"/>
      <c r="WBX81" s="54"/>
      <c r="WBY81" s="54"/>
      <c r="WBZ81" s="54"/>
      <c r="WCA81" s="54"/>
      <c r="WCB81" s="54"/>
      <c r="WCC81" s="54"/>
      <c r="WCD81" s="54"/>
      <c r="WCE81" s="54"/>
      <c r="WCF81" s="54"/>
      <c r="WCG81" s="54"/>
      <c r="WCH81" s="54"/>
      <c r="WCI81" s="54"/>
      <c r="WCJ81" s="54"/>
      <c r="WCK81" s="54"/>
      <c r="WCL81" s="54"/>
      <c r="WCM81" s="54"/>
      <c r="WCN81" s="54"/>
      <c r="WCO81" s="54"/>
      <c r="WCP81" s="54"/>
      <c r="WCQ81" s="54"/>
      <c r="WCR81" s="54"/>
      <c r="WCS81" s="54"/>
      <c r="WCT81" s="54"/>
      <c r="WCU81" s="54"/>
      <c r="WCV81" s="54"/>
      <c r="WCW81" s="54"/>
      <c r="WCX81" s="54"/>
      <c r="WCY81" s="54"/>
      <c r="WCZ81" s="54"/>
      <c r="WDA81" s="54"/>
      <c r="WDB81" s="54"/>
      <c r="WDC81" s="54"/>
      <c r="WDD81" s="54"/>
      <c r="WDE81" s="54"/>
      <c r="WDF81" s="54"/>
      <c r="WDG81" s="54"/>
      <c r="WDH81" s="54"/>
      <c r="WDI81" s="54"/>
      <c r="WDJ81" s="54"/>
      <c r="WDK81" s="54"/>
      <c r="WDL81" s="54"/>
      <c r="WDM81" s="54"/>
      <c r="WDN81" s="54"/>
      <c r="WDO81" s="54"/>
      <c r="WDP81" s="54"/>
      <c r="WDQ81" s="54"/>
      <c r="WDR81" s="54"/>
      <c r="WDS81" s="54"/>
      <c r="WDT81" s="54"/>
      <c r="WDU81" s="54"/>
      <c r="WDV81" s="54"/>
      <c r="WDW81" s="54"/>
      <c r="WDX81" s="54"/>
      <c r="WDY81" s="54"/>
      <c r="WDZ81" s="54"/>
      <c r="WEA81" s="54"/>
      <c r="WEB81" s="54"/>
      <c r="WEC81" s="54"/>
      <c r="WED81" s="54"/>
      <c r="WEE81" s="54"/>
      <c r="WEF81" s="54"/>
      <c r="WEG81" s="54"/>
      <c r="WEH81" s="54"/>
      <c r="WEI81" s="54"/>
      <c r="WEJ81" s="54"/>
      <c r="WEK81" s="54"/>
      <c r="WEL81" s="54"/>
      <c r="WEM81" s="54"/>
      <c r="WEN81" s="54"/>
      <c r="WEO81" s="54"/>
      <c r="WEP81" s="54"/>
      <c r="WEQ81" s="54"/>
      <c r="WER81" s="54"/>
      <c r="WES81" s="54"/>
      <c r="WET81" s="54"/>
      <c r="WEU81" s="54"/>
      <c r="WEV81" s="54"/>
      <c r="WEW81" s="54"/>
      <c r="WEX81" s="54"/>
      <c r="WEY81" s="54"/>
      <c r="WEZ81" s="54"/>
      <c r="WFA81" s="54"/>
      <c r="WFB81" s="54"/>
      <c r="WFC81" s="54"/>
      <c r="WFD81" s="54"/>
      <c r="WFE81" s="54"/>
      <c r="WFF81" s="54"/>
      <c r="WFG81" s="54"/>
      <c r="WFH81" s="54"/>
      <c r="WFI81" s="54"/>
      <c r="WFJ81" s="54"/>
      <c r="WFK81" s="54"/>
      <c r="WFL81" s="54"/>
      <c r="WFM81" s="54"/>
      <c r="WFN81" s="54"/>
      <c r="WFO81" s="54"/>
      <c r="WFP81" s="54"/>
      <c r="WFQ81" s="54"/>
      <c r="WFR81" s="54"/>
      <c r="WFS81" s="54"/>
      <c r="WFT81" s="54"/>
      <c r="WFU81" s="54"/>
      <c r="WFV81" s="54"/>
      <c r="WFW81" s="54"/>
      <c r="WFX81" s="54"/>
      <c r="WFY81" s="54"/>
      <c r="WFZ81" s="54"/>
      <c r="WGA81" s="54"/>
      <c r="WGB81" s="54"/>
      <c r="WGC81" s="54"/>
      <c r="WGD81" s="54"/>
      <c r="WGE81" s="54"/>
      <c r="WGF81" s="54"/>
      <c r="WGG81" s="54"/>
      <c r="WGH81" s="54"/>
      <c r="WGI81" s="54"/>
      <c r="WGJ81" s="54"/>
      <c r="WGK81" s="54"/>
      <c r="WGL81" s="54"/>
      <c r="WGM81" s="54"/>
      <c r="WGN81" s="54"/>
      <c r="WGO81" s="54"/>
      <c r="WGP81" s="54"/>
      <c r="WGQ81" s="54"/>
      <c r="WGR81" s="54"/>
      <c r="WGS81" s="54"/>
      <c r="WGT81" s="54"/>
      <c r="WGU81" s="54"/>
      <c r="WGV81" s="54"/>
      <c r="WGW81" s="54"/>
      <c r="WGX81" s="54"/>
      <c r="WGY81" s="54"/>
      <c r="WGZ81" s="54"/>
      <c r="WHA81" s="54"/>
      <c r="WHB81" s="54"/>
      <c r="WHC81" s="54"/>
      <c r="WHD81" s="54"/>
      <c r="WHE81" s="54"/>
      <c r="WHF81" s="54"/>
      <c r="WHG81" s="54"/>
      <c r="WHH81" s="54"/>
      <c r="WHI81" s="54"/>
      <c r="WHJ81" s="54"/>
      <c r="WHK81" s="54"/>
      <c r="WHL81" s="54"/>
      <c r="WHM81" s="54"/>
      <c r="WHN81" s="54"/>
      <c r="WHO81" s="54"/>
      <c r="WHP81" s="54"/>
      <c r="WHQ81" s="54"/>
      <c r="WHR81" s="54"/>
      <c r="WHS81" s="54"/>
      <c r="WHT81" s="54"/>
      <c r="WHU81" s="54"/>
      <c r="WHV81" s="54"/>
      <c r="WHW81" s="54"/>
      <c r="WHX81" s="54"/>
      <c r="WHY81" s="54"/>
      <c r="WHZ81" s="54"/>
      <c r="WIA81" s="54"/>
      <c r="WIB81" s="54"/>
      <c r="WIC81" s="54"/>
      <c r="WID81" s="54"/>
      <c r="WIE81" s="54"/>
      <c r="WIF81" s="54"/>
      <c r="WIG81" s="54"/>
      <c r="WIH81" s="54"/>
      <c r="WII81" s="54"/>
      <c r="WIJ81" s="54"/>
      <c r="WIK81" s="54"/>
      <c r="WIL81" s="54"/>
      <c r="WIM81" s="54"/>
      <c r="WIN81" s="54"/>
      <c r="WIO81" s="54"/>
      <c r="WIP81" s="54"/>
      <c r="WIQ81" s="54"/>
      <c r="WIR81" s="54"/>
      <c r="WIS81" s="54"/>
      <c r="WIT81" s="54"/>
      <c r="WIU81" s="54"/>
      <c r="WIV81" s="54"/>
      <c r="WIW81" s="54"/>
      <c r="WIX81" s="54"/>
      <c r="WIY81" s="54"/>
      <c r="WIZ81" s="54"/>
      <c r="WJA81" s="54"/>
      <c r="WJB81" s="54"/>
      <c r="WJC81" s="54"/>
      <c r="WJD81" s="54"/>
      <c r="WJE81" s="54"/>
      <c r="WJF81" s="54"/>
      <c r="WJG81" s="54"/>
      <c r="WJH81" s="54"/>
      <c r="WJI81" s="54"/>
      <c r="WJJ81" s="54"/>
      <c r="WJK81" s="54"/>
      <c r="WJL81" s="54"/>
      <c r="WJM81" s="54"/>
      <c r="WJN81" s="54"/>
      <c r="WJO81" s="54"/>
      <c r="WJP81" s="54"/>
      <c r="WJQ81" s="54"/>
      <c r="WJR81" s="54"/>
      <c r="WJS81" s="54"/>
      <c r="WJT81" s="54"/>
      <c r="WJU81" s="54"/>
      <c r="WJV81" s="54"/>
      <c r="WJW81" s="54"/>
      <c r="WJX81" s="54"/>
      <c r="WJY81" s="54"/>
      <c r="WJZ81" s="54"/>
      <c r="WKA81" s="54"/>
      <c r="WKB81" s="54"/>
      <c r="WKC81" s="54"/>
      <c r="WKD81" s="54"/>
      <c r="WKE81" s="54"/>
      <c r="WKF81" s="54"/>
      <c r="WKG81" s="54"/>
      <c r="WKH81" s="54"/>
      <c r="WKI81" s="54"/>
      <c r="WKJ81" s="54"/>
      <c r="WKK81" s="54"/>
      <c r="WKL81" s="54"/>
      <c r="WKM81" s="54"/>
      <c r="WKN81" s="54"/>
      <c r="WKO81" s="54"/>
      <c r="WKP81" s="54"/>
      <c r="WKQ81" s="54"/>
      <c r="WKR81" s="54"/>
      <c r="WKS81" s="54"/>
      <c r="WKT81" s="54"/>
      <c r="WKU81" s="54"/>
      <c r="WKV81" s="54"/>
      <c r="WKW81" s="54"/>
      <c r="WKX81" s="54"/>
      <c r="WKY81" s="54"/>
      <c r="WKZ81" s="54"/>
      <c r="WLA81" s="54"/>
      <c r="WLB81" s="54"/>
      <c r="WLC81" s="54"/>
      <c r="WLD81" s="54"/>
      <c r="WLE81" s="54"/>
      <c r="WLF81" s="54"/>
      <c r="WLG81" s="54"/>
      <c r="WLH81" s="54"/>
      <c r="WLI81" s="54"/>
      <c r="WLJ81" s="54"/>
      <c r="WLK81" s="54"/>
      <c r="WLL81" s="54"/>
      <c r="WLM81" s="54"/>
      <c r="WLN81" s="54"/>
      <c r="WLO81" s="54"/>
      <c r="WLP81" s="54"/>
      <c r="WLQ81" s="54"/>
      <c r="WLR81" s="54"/>
      <c r="WLS81" s="54"/>
      <c r="WLT81" s="54"/>
      <c r="WLU81" s="54"/>
      <c r="WLV81" s="54"/>
      <c r="WLW81" s="54"/>
      <c r="WLX81" s="54"/>
      <c r="WLY81" s="54"/>
      <c r="WLZ81" s="54"/>
      <c r="WMA81" s="54"/>
      <c r="WMB81" s="54"/>
      <c r="WMC81" s="54"/>
      <c r="WMD81" s="54"/>
      <c r="WME81" s="54"/>
      <c r="WMF81" s="54"/>
      <c r="WMG81" s="54"/>
      <c r="WMH81" s="54"/>
      <c r="WMI81" s="54"/>
      <c r="WMJ81" s="54"/>
      <c r="WMK81" s="54"/>
      <c r="WML81" s="54"/>
      <c r="WMM81" s="54"/>
      <c r="WMN81" s="54"/>
      <c r="WMO81" s="54"/>
      <c r="WMP81" s="54"/>
      <c r="WMQ81" s="54"/>
      <c r="WMR81" s="54"/>
      <c r="WMS81" s="54"/>
      <c r="WMT81" s="54"/>
      <c r="WMU81" s="54"/>
      <c r="WMV81" s="54"/>
      <c r="WMW81" s="54"/>
      <c r="WMX81" s="54"/>
      <c r="WMY81" s="54"/>
      <c r="WMZ81" s="54"/>
      <c r="WNA81" s="54"/>
      <c r="WNB81" s="54"/>
      <c r="WNC81" s="54"/>
      <c r="WND81" s="54"/>
      <c r="WNE81" s="54"/>
      <c r="WNF81" s="54"/>
      <c r="WNG81" s="54"/>
      <c r="WNH81" s="54"/>
      <c r="WNI81" s="54"/>
      <c r="WNJ81" s="54"/>
      <c r="WNK81" s="54"/>
      <c r="WNL81" s="54"/>
      <c r="WNM81" s="54"/>
      <c r="WNN81" s="54"/>
      <c r="WNO81" s="54"/>
      <c r="WNP81" s="54"/>
      <c r="WNQ81" s="54"/>
      <c r="WNR81" s="54"/>
      <c r="WNS81" s="54"/>
      <c r="WNT81" s="54"/>
      <c r="WNU81" s="54"/>
      <c r="WNV81" s="54"/>
      <c r="WNW81" s="54"/>
      <c r="WNX81" s="54"/>
      <c r="WNY81" s="54"/>
      <c r="WNZ81" s="54"/>
      <c r="WOA81" s="54"/>
      <c r="WOB81" s="54"/>
      <c r="WOC81" s="54"/>
      <c r="WOD81" s="54"/>
      <c r="WOE81" s="54"/>
      <c r="WOF81" s="54"/>
      <c r="WOG81" s="54"/>
      <c r="WOH81" s="54"/>
      <c r="WOI81" s="54"/>
      <c r="WOJ81" s="54"/>
      <c r="WOK81" s="54"/>
      <c r="WOL81" s="54"/>
      <c r="WOM81" s="54"/>
      <c r="WON81" s="54"/>
      <c r="WOO81" s="54"/>
      <c r="WOP81" s="54"/>
      <c r="WOQ81" s="54"/>
      <c r="WOR81" s="54"/>
      <c r="WOS81" s="54"/>
      <c r="WOT81" s="54"/>
      <c r="WOU81" s="54"/>
      <c r="WOV81" s="54"/>
      <c r="WOW81" s="54"/>
      <c r="WOX81" s="54"/>
      <c r="WOY81" s="54"/>
      <c r="WOZ81" s="54"/>
      <c r="WPA81" s="54"/>
      <c r="WPB81" s="54"/>
      <c r="WPC81" s="54"/>
      <c r="WPD81" s="54"/>
      <c r="WPE81" s="54"/>
      <c r="WPF81" s="54"/>
      <c r="WPG81" s="54"/>
      <c r="WPH81" s="54"/>
      <c r="WPI81" s="54"/>
      <c r="WPJ81" s="54"/>
      <c r="WPK81" s="54"/>
      <c r="WPL81" s="54"/>
      <c r="WPM81" s="54"/>
      <c r="WPN81" s="54"/>
      <c r="WPO81" s="54"/>
      <c r="WPP81" s="54"/>
      <c r="WPQ81" s="54"/>
      <c r="WPR81" s="54"/>
      <c r="WPS81" s="54"/>
      <c r="WPT81" s="54"/>
      <c r="WPU81" s="54"/>
      <c r="WPV81" s="54"/>
      <c r="WPW81" s="54"/>
      <c r="WPX81" s="54"/>
      <c r="WPY81" s="54"/>
      <c r="WPZ81" s="54"/>
      <c r="WQA81" s="54"/>
      <c r="WQB81" s="54"/>
      <c r="WQC81" s="54"/>
      <c r="WQD81" s="54"/>
      <c r="WQE81" s="54"/>
      <c r="WQF81" s="54"/>
      <c r="WQG81" s="54"/>
      <c r="WQH81" s="54"/>
      <c r="WQI81" s="54"/>
      <c r="WQJ81" s="54"/>
      <c r="WQK81" s="54"/>
      <c r="WQL81" s="54"/>
      <c r="WQM81" s="54"/>
      <c r="WQN81" s="54"/>
      <c r="WQO81" s="54"/>
      <c r="WQP81" s="54"/>
      <c r="WQQ81" s="54"/>
      <c r="WQR81" s="54"/>
      <c r="WQS81" s="54"/>
      <c r="WQT81" s="54"/>
      <c r="WQU81" s="54"/>
      <c r="WQV81" s="54"/>
      <c r="WQW81" s="54"/>
      <c r="WQX81" s="54"/>
      <c r="WQY81" s="54"/>
      <c r="WQZ81" s="54"/>
      <c r="WRA81" s="54"/>
      <c r="WRB81" s="54"/>
      <c r="WRC81" s="54"/>
      <c r="WRD81" s="54"/>
      <c r="WRE81" s="54"/>
      <c r="WRF81" s="54"/>
      <c r="WRG81" s="54"/>
      <c r="WRH81" s="54"/>
      <c r="WRI81" s="54"/>
      <c r="WRJ81" s="54"/>
      <c r="WRK81" s="54"/>
      <c r="WRL81" s="54"/>
      <c r="WRM81" s="54"/>
      <c r="WRN81" s="54"/>
      <c r="WRO81" s="54"/>
      <c r="WRP81" s="54"/>
      <c r="WRQ81" s="54"/>
      <c r="WRR81" s="54"/>
      <c r="WRS81" s="54"/>
      <c r="WRT81" s="54"/>
      <c r="WRU81" s="54"/>
      <c r="WRV81" s="54"/>
      <c r="WRW81" s="54"/>
      <c r="WRX81" s="54"/>
      <c r="WRY81" s="54"/>
      <c r="WRZ81" s="54"/>
      <c r="WSA81" s="54"/>
      <c r="WSB81" s="54"/>
      <c r="WSC81" s="54"/>
      <c r="WSD81" s="54"/>
      <c r="WSE81" s="54"/>
      <c r="WSF81" s="54"/>
      <c r="WSG81" s="54"/>
      <c r="WSH81" s="54"/>
      <c r="WSI81" s="54"/>
      <c r="WSJ81" s="54"/>
      <c r="WSK81" s="54"/>
      <c r="WSL81" s="54"/>
      <c r="WSM81" s="54"/>
      <c r="WSN81" s="54"/>
      <c r="WSO81" s="54"/>
      <c r="WSP81" s="54"/>
      <c r="WSQ81" s="54"/>
      <c r="WSR81" s="54"/>
      <c r="WSS81" s="54"/>
      <c r="WST81" s="54"/>
      <c r="WSU81" s="54"/>
      <c r="WSV81" s="54"/>
      <c r="WSW81" s="54"/>
      <c r="WSX81" s="54"/>
      <c r="WSY81" s="54"/>
      <c r="WSZ81" s="54"/>
      <c r="WTA81" s="54"/>
      <c r="WTB81" s="54"/>
      <c r="WTC81" s="54"/>
      <c r="WTD81" s="54"/>
      <c r="WTE81" s="54"/>
      <c r="WTF81" s="54"/>
      <c r="WTG81" s="54"/>
      <c r="WTH81" s="54"/>
      <c r="WTI81" s="54"/>
      <c r="WTJ81" s="54"/>
      <c r="WTK81" s="54"/>
      <c r="WTL81" s="54"/>
      <c r="WTM81" s="54"/>
      <c r="WTN81" s="54"/>
      <c r="WTO81" s="54"/>
      <c r="WTP81" s="54"/>
      <c r="WTQ81" s="54"/>
      <c r="WTR81" s="54"/>
      <c r="WTS81" s="54"/>
      <c r="WTT81" s="54"/>
      <c r="WTU81" s="54"/>
      <c r="WTV81" s="54"/>
      <c r="WTW81" s="54"/>
      <c r="WTX81" s="54"/>
      <c r="WTY81" s="54"/>
      <c r="WTZ81" s="54"/>
      <c r="WUA81" s="54"/>
      <c r="WUB81" s="54"/>
      <c r="WUC81" s="54"/>
      <c r="WUD81" s="54"/>
      <c r="WUE81" s="54"/>
      <c r="WUF81" s="54"/>
      <c r="WUG81" s="54"/>
      <c r="WUH81" s="54"/>
      <c r="WUI81" s="54"/>
      <c r="WUJ81" s="54"/>
      <c r="WUK81" s="54"/>
      <c r="WUL81" s="54"/>
      <c r="WUM81" s="54"/>
      <c r="WUN81" s="54"/>
      <c r="WUO81" s="54"/>
      <c r="WUP81" s="54"/>
      <c r="WUQ81" s="54"/>
      <c r="WUR81" s="54"/>
      <c r="WUS81" s="54"/>
      <c r="WUT81" s="54"/>
      <c r="WUU81" s="54"/>
      <c r="WUV81" s="54"/>
      <c r="WUW81" s="54"/>
      <c r="WUX81" s="54"/>
      <c r="WUY81" s="54"/>
      <c r="WUZ81" s="54"/>
      <c r="WVA81" s="54"/>
      <c r="WVB81" s="54"/>
      <c r="WVC81" s="54"/>
      <c r="WVD81" s="54"/>
      <c r="WVE81" s="54"/>
      <c r="WVF81" s="54"/>
      <c r="WVG81" s="54"/>
      <c r="WVH81" s="54"/>
      <c r="WVI81" s="54"/>
      <c r="WVJ81" s="54"/>
      <c r="WVK81" s="54"/>
      <c r="WVL81" s="54"/>
      <c r="WVM81" s="54"/>
      <c r="WVN81" s="54"/>
      <c r="WVO81" s="54"/>
      <c r="WVP81" s="54"/>
      <c r="WVQ81" s="54"/>
      <c r="WVR81" s="54"/>
      <c r="WVS81" s="54"/>
      <c r="WVT81" s="54"/>
      <c r="WVU81" s="54"/>
      <c r="WVV81" s="54"/>
      <c r="WVW81" s="54"/>
      <c r="WVX81" s="54"/>
      <c r="WVY81" s="54"/>
      <c r="WVZ81" s="54"/>
      <c r="WWA81" s="54"/>
      <c r="WWB81" s="54"/>
      <c r="WWC81" s="54"/>
      <c r="WWD81" s="54"/>
      <c r="WWE81" s="54"/>
      <c r="WWF81" s="54"/>
      <c r="WWG81" s="54"/>
      <c r="WWH81" s="54"/>
      <c r="WWI81" s="54"/>
      <c r="WWJ81" s="54"/>
      <c r="WWK81" s="54"/>
      <c r="WWL81" s="54"/>
      <c r="WWM81" s="54"/>
      <c r="WWN81" s="54"/>
      <c r="WWO81" s="54"/>
      <c r="WWP81" s="54"/>
      <c r="WWQ81" s="54"/>
      <c r="WWR81" s="54"/>
      <c r="WWS81" s="54"/>
      <c r="WWT81" s="54"/>
      <c r="WWU81" s="54"/>
      <c r="WWV81" s="54"/>
      <c r="WWW81" s="54"/>
      <c r="WWX81" s="54"/>
      <c r="WWY81" s="54"/>
      <c r="WWZ81" s="54"/>
      <c r="WXA81" s="54"/>
      <c r="WXB81" s="54"/>
      <c r="WXC81" s="54"/>
      <c r="WXD81" s="54"/>
      <c r="WXE81" s="54"/>
      <c r="WXF81" s="54"/>
      <c r="WXG81" s="54"/>
      <c r="WXH81" s="54"/>
      <c r="WXI81" s="54"/>
      <c r="WXJ81" s="54"/>
      <c r="WXK81" s="54"/>
      <c r="WXL81" s="54"/>
      <c r="WXM81" s="54"/>
      <c r="WXN81" s="54"/>
      <c r="WXO81" s="54"/>
      <c r="WXP81" s="54"/>
      <c r="WXQ81" s="54"/>
      <c r="WXR81" s="54"/>
      <c r="WXS81" s="54"/>
      <c r="WXT81" s="54"/>
      <c r="WXU81" s="54"/>
      <c r="WXV81" s="54"/>
      <c r="WXW81" s="54"/>
      <c r="WXX81" s="54"/>
      <c r="WXY81" s="54"/>
      <c r="WXZ81" s="54"/>
      <c r="WYA81" s="54"/>
      <c r="WYB81" s="54"/>
      <c r="WYC81" s="54"/>
      <c r="WYD81" s="54"/>
      <c r="WYE81" s="54"/>
      <c r="WYF81" s="54"/>
      <c r="WYG81" s="54"/>
      <c r="WYH81" s="54"/>
      <c r="WYI81" s="54"/>
      <c r="WYJ81" s="54"/>
      <c r="WYK81" s="54"/>
      <c r="WYL81" s="54"/>
      <c r="WYM81" s="54"/>
      <c r="WYN81" s="54"/>
      <c r="WYO81" s="54"/>
      <c r="WYP81" s="54"/>
      <c r="WYQ81" s="54"/>
      <c r="WYR81" s="54"/>
      <c r="WYS81" s="54"/>
      <c r="WYT81" s="54"/>
      <c r="WYU81" s="54"/>
      <c r="WYV81" s="54"/>
      <c r="WYW81" s="54"/>
      <c r="WYX81" s="54"/>
      <c r="WYY81" s="54"/>
      <c r="WYZ81" s="54"/>
      <c r="WZA81" s="54"/>
      <c r="WZB81" s="54"/>
      <c r="WZC81" s="54"/>
      <c r="WZD81" s="54"/>
      <c r="WZE81" s="54"/>
      <c r="WZF81" s="54"/>
      <c r="WZG81" s="54"/>
      <c r="WZH81" s="54"/>
      <c r="WZI81" s="54"/>
      <c r="WZJ81" s="54"/>
      <c r="WZK81" s="54"/>
      <c r="WZL81" s="54"/>
      <c r="WZM81" s="54"/>
      <c r="WZN81" s="54"/>
      <c r="WZO81" s="54"/>
      <c r="WZP81" s="54"/>
      <c r="WZQ81" s="54"/>
      <c r="WZR81" s="54"/>
      <c r="WZS81" s="54"/>
      <c r="WZT81" s="54"/>
      <c r="WZU81" s="54"/>
      <c r="WZV81" s="54"/>
      <c r="WZW81" s="54"/>
      <c r="WZX81" s="54"/>
      <c r="WZY81" s="54"/>
      <c r="WZZ81" s="54"/>
      <c r="XAA81" s="54"/>
      <c r="XAB81" s="54"/>
      <c r="XAC81" s="54"/>
      <c r="XAD81" s="54"/>
      <c r="XAE81" s="54"/>
      <c r="XAF81" s="54"/>
      <c r="XAG81" s="54"/>
      <c r="XAH81" s="54"/>
      <c r="XAI81" s="54"/>
      <c r="XAJ81" s="54"/>
      <c r="XAK81" s="54"/>
      <c r="XAL81" s="54"/>
      <c r="XAM81" s="54"/>
      <c r="XAN81" s="54"/>
      <c r="XAO81" s="54"/>
      <c r="XAP81" s="54"/>
      <c r="XAQ81" s="54"/>
      <c r="XAR81" s="54"/>
      <c r="XAS81" s="54"/>
      <c r="XAT81" s="54"/>
      <c r="XAU81" s="54"/>
      <c r="XAV81" s="54"/>
      <c r="XAW81" s="54"/>
      <c r="XAX81" s="54"/>
      <c r="XAY81" s="54"/>
      <c r="XAZ81" s="54"/>
      <c r="XBA81" s="54"/>
      <c r="XBB81" s="54"/>
      <c r="XBC81" s="54"/>
      <c r="XBD81" s="54"/>
      <c r="XBE81" s="54"/>
      <c r="XBF81" s="54"/>
      <c r="XBG81" s="54"/>
      <c r="XBH81" s="54"/>
      <c r="XBI81" s="54"/>
      <c r="XBJ81" s="54"/>
      <c r="XBK81" s="54"/>
      <c r="XBL81" s="54"/>
      <c r="XBM81" s="54"/>
      <c r="XBN81" s="54"/>
      <c r="XBO81" s="54"/>
      <c r="XBP81" s="54"/>
      <c r="XBQ81" s="54"/>
      <c r="XBR81" s="54"/>
      <c r="XBS81" s="54"/>
      <c r="XBT81" s="54"/>
      <c r="XBU81" s="54"/>
      <c r="XBV81" s="54"/>
      <c r="XBW81" s="54"/>
      <c r="XBX81" s="54"/>
      <c r="XBY81" s="54"/>
      <c r="XBZ81" s="54"/>
      <c r="XCA81" s="54"/>
      <c r="XCB81" s="54"/>
      <c r="XCC81" s="54"/>
      <c r="XCD81" s="54"/>
      <c r="XCE81" s="54"/>
      <c r="XCF81" s="54"/>
      <c r="XCG81" s="54"/>
      <c r="XCH81" s="54"/>
      <c r="XCI81" s="54"/>
      <c r="XCJ81" s="54"/>
      <c r="XCK81" s="54"/>
      <c r="XCL81" s="54"/>
      <c r="XCM81" s="54"/>
      <c r="XCN81" s="54"/>
      <c r="XCO81" s="54"/>
      <c r="XCP81" s="54"/>
      <c r="XCQ81" s="54"/>
      <c r="XCR81" s="54"/>
      <c r="XCS81" s="54"/>
      <c r="XCT81" s="54"/>
      <c r="XCU81" s="54"/>
      <c r="XCV81" s="54"/>
      <c r="XCW81" s="54"/>
      <c r="XCX81" s="54"/>
      <c r="XCY81" s="54"/>
      <c r="XCZ81" s="54"/>
      <c r="XDA81" s="54"/>
      <c r="XDB81" s="54"/>
      <c r="XDC81" s="54"/>
      <c r="XDD81" s="54"/>
      <c r="XDE81" s="54"/>
      <c r="XDF81" s="54"/>
      <c r="XDG81" s="54"/>
      <c r="XDH81" s="54"/>
      <c r="XDI81" s="54"/>
      <c r="XDJ81" s="54"/>
      <c r="XDK81" s="54"/>
      <c r="XDL81" s="54"/>
      <c r="XDM81" s="54"/>
      <c r="XDN81" s="54"/>
      <c r="XDO81" s="54"/>
      <c r="XDP81" s="54"/>
      <c r="XDQ81" s="54"/>
      <c r="XDR81" s="54"/>
      <c r="XDS81" s="54"/>
      <c r="XDT81" s="54"/>
      <c r="XDU81" s="54"/>
      <c r="XDV81" s="54"/>
      <c r="XDW81" s="54"/>
      <c r="XDX81" s="54"/>
      <c r="XDY81" s="54"/>
      <c r="XDZ81" s="54"/>
      <c r="XEA81" s="54"/>
      <c r="XEB81" s="54"/>
      <c r="XEC81" s="54"/>
      <c r="XED81" s="54"/>
      <c r="XEE81" s="54"/>
      <c r="XEF81" s="54"/>
      <c r="XEG81" s="54"/>
      <c r="XEH81" s="54"/>
      <c r="XEI81" s="54"/>
      <c r="XEJ81" s="54"/>
      <c r="XEK81" s="54"/>
      <c r="XEL81" s="54"/>
      <c r="XEM81" s="54"/>
      <c r="XEN81" s="54"/>
      <c r="XEO81" s="54"/>
      <c r="XEP81" s="54"/>
      <c r="XEQ81" s="54"/>
      <c r="XER81" s="54"/>
      <c r="XES81" s="54"/>
      <c r="XET81" s="54"/>
      <c r="XEU81" s="54"/>
      <c r="XEV81" s="54"/>
      <c r="XEW81" s="54"/>
      <c r="XEX81" s="54"/>
      <c r="XEY81" s="54"/>
      <c r="XEZ81" s="54"/>
      <c r="XFA81" s="54"/>
      <c r="XFB81" s="54"/>
      <c r="XFC81" s="54"/>
    </row>
    <row r="82" spans="1:16383" x14ac:dyDescent="0.2">
      <c r="A82" s="55"/>
      <c r="B82" s="51" t="s">
        <v>633</v>
      </c>
      <c r="C82" s="140">
        <f t="shared" ref="C82" si="23">SUM(C79:C81)</f>
        <v>192.399</v>
      </c>
      <c r="D82" s="140">
        <f t="shared" ref="D82:L82" si="24">SUM(D79:D81)</f>
        <v>449.22</v>
      </c>
      <c r="E82" s="140">
        <f t="shared" si="24"/>
        <v>436.68200000000002</v>
      </c>
      <c r="F82" s="140">
        <f t="shared" si="24"/>
        <v>468.06499999999994</v>
      </c>
      <c r="G82" s="140">
        <f t="shared" si="24"/>
        <v>498.66400000000004</v>
      </c>
      <c r="H82" s="140">
        <f t="shared" si="24"/>
        <v>497.23400000000004</v>
      </c>
      <c r="I82" s="140">
        <f t="shared" si="24"/>
        <v>2219.5659999999998</v>
      </c>
      <c r="J82" s="140">
        <f t="shared" si="24"/>
        <v>2263.511</v>
      </c>
      <c r="K82" s="140">
        <f t="shared" si="24"/>
        <v>2181.2560000000003</v>
      </c>
      <c r="L82" s="140">
        <f t="shared" si="24"/>
        <v>2299.8450000000003</v>
      </c>
    </row>
    <row r="83" spans="1:16383" x14ac:dyDescent="0.2">
      <c r="B83" s="40"/>
      <c r="C83" s="135"/>
      <c r="D83" s="135"/>
      <c r="E83" s="135"/>
      <c r="F83" s="135"/>
      <c r="G83" s="135"/>
      <c r="H83" s="135"/>
      <c r="I83" s="135"/>
      <c r="J83" s="135"/>
      <c r="K83" s="135"/>
      <c r="L83" s="135"/>
    </row>
    <row r="84" spans="1:16383" x14ac:dyDescent="0.2">
      <c r="B84" s="155" t="s">
        <v>634</v>
      </c>
      <c r="C84" s="142">
        <f t="shared" ref="C84:L84" si="25">C77+C82</f>
        <v>319.36199999999997</v>
      </c>
      <c r="D84" s="142">
        <f t="shared" si="25"/>
        <v>588.76800000000003</v>
      </c>
      <c r="E84" s="142">
        <f t="shared" si="25"/>
        <v>615.13900000000001</v>
      </c>
      <c r="F84" s="142">
        <f t="shared" si="25"/>
        <v>651.79799999999989</v>
      </c>
      <c r="G84" s="142">
        <f t="shared" si="25"/>
        <v>697.86700000000008</v>
      </c>
      <c r="H84" s="142">
        <f t="shared" si="25"/>
        <v>696.91200000000003</v>
      </c>
      <c r="I84" s="142">
        <f t="shared" si="25"/>
        <v>2388.9949999999999</v>
      </c>
      <c r="J84" s="142">
        <f t="shared" si="25"/>
        <v>2400.335</v>
      </c>
      <c r="K84" s="142">
        <f t="shared" si="25"/>
        <v>2322.2940000000003</v>
      </c>
      <c r="L84" s="142">
        <f t="shared" si="25"/>
        <v>2423.6110000000003</v>
      </c>
    </row>
    <row r="85" spans="1:16383" ht="5" customHeight="1" x14ac:dyDescent="0.2">
      <c r="C85" s="138"/>
      <c r="D85" s="138"/>
      <c r="E85" s="138"/>
      <c r="F85" s="138"/>
      <c r="G85" s="138"/>
      <c r="H85" s="138"/>
      <c r="I85" s="138"/>
      <c r="J85" s="138"/>
      <c r="K85" s="138"/>
      <c r="L85" s="138"/>
    </row>
    <row r="86" spans="1:16383" x14ac:dyDescent="0.2">
      <c r="B86" s="191" t="s">
        <v>635</v>
      </c>
      <c r="C86" s="179">
        <f>'AFS3'!B88</f>
        <v>0.219</v>
      </c>
      <c r="D86" s="179">
        <f>'AFS3'!C88</f>
        <v>2.7E-2</v>
      </c>
      <c r="E86" s="138">
        <f>'AFS3'!D88</f>
        <v>2.7E-2</v>
      </c>
      <c r="F86" s="138">
        <f>'AFS3'!E88</f>
        <v>2.7E-2</v>
      </c>
      <c r="G86" s="138">
        <f>'AFS3'!F88</f>
        <v>2.7E-2</v>
      </c>
      <c r="H86" s="138">
        <f>'AFS3'!G88</f>
        <v>2.5999999999999999E-2</v>
      </c>
      <c r="I86" s="138">
        <f>'AFS3'!H88</f>
        <v>10.742000000000001</v>
      </c>
      <c r="J86" s="138">
        <f>'AFS3'!I88</f>
        <v>32.182000000000002</v>
      </c>
      <c r="K86" s="138">
        <f>'AFS3'!J88</f>
        <v>12.917</v>
      </c>
      <c r="L86" s="138">
        <f>'AFS3'!K88</f>
        <v>3.589</v>
      </c>
    </row>
    <row r="87" spans="1:16383" x14ac:dyDescent="0.2">
      <c r="B87" s="191" t="s">
        <v>636</v>
      </c>
      <c r="C87" s="179">
        <f>-'AFS3'!B113</f>
        <v>-1.238</v>
      </c>
      <c r="D87" s="179">
        <f>-'AFS3'!C113</f>
        <v>-6.4770000000000003</v>
      </c>
      <c r="E87" s="138">
        <f>-'AFS3'!D113</f>
        <v>-28.114999999999998</v>
      </c>
      <c r="F87" s="138">
        <f>-'AFS3'!E113</f>
        <v>-24.963000000000001</v>
      </c>
      <c r="G87" s="138">
        <f>-'AFS3'!F113</f>
        <v>-24.585999999999999</v>
      </c>
      <c r="H87" s="138">
        <f>-'AFS3'!G113</f>
        <v>-48.155000000000001</v>
      </c>
      <c r="I87" s="138">
        <f>-'AFS3'!H113</f>
        <v>-43.982999999999997</v>
      </c>
      <c r="J87" s="138">
        <f>-'AFS3'!I113</f>
        <v>-22.99</v>
      </c>
      <c r="K87" s="138">
        <f>-'AFS3'!J113</f>
        <v>-10.739000000000001</v>
      </c>
      <c r="L87" s="138">
        <f>-'AFS3'!K113</f>
        <v>-9.5820000000000007</v>
      </c>
    </row>
    <row r="88" spans="1:16383" ht="17" thickBot="1" x14ac:dyDescent="0.25">
      <c r="B88" s="191" t="s">
        <v>637</v>
      </c>
      <c r="C88" s="179">
        <f>'AFS3'!B96</f>
        <v>0.75800000000000001</v>
      </c>
      <c r="D88" s="179">
        <f>'AFS3'!C96</f>
        <v>0.999</v>
      </c>
      <c r="E88" s="138">
        <f>'AFS3'!D96</f>
        <v>5.6020000000000003</v>
      </c>
      <c r="F88" s="138">
        <f>'AFS3'!E96</f>
        <v>2.0299999999999998</v>
      </c>
      <c r="G88" s="138">
        <f>'AFS3'!F96</f>
        <v>2.4529999999999998</v>
      </c>
      <c r="H88" s="138">
        <f>'AFS3'!G96</f>
        <v>2.1890000000000001</v>
      </c>
      <c r="I88" s="138">
        <f>'AFS3'!H96</f>
        <v>4.3230000000000004</v>
      </c>
      <c r="J88" s="138">
        <f>'AFS3'!I96</f>
        <v>48.99</v>
      </c>
      <c r="K88" s="138">
        <f>'AFS3'!J96</f>
        <v>2.7610000000000001</v>
      </c>
      <c r="L88" s="138">
        <f>'AFS3'!K96</f>
        <v>2.7010000000000001</v>
      </c>
      <c r="M88" s="37"/>
    </row>
    <row r="89" spans="1:16383" x14ac:dyDescent="0.2">
      <c r="B89" s="180" t="s">
        <v>638</v>
      </c>
      <c r="C89" s="181">
        <f t="shared" ref="C89" si="26">SUM(C86:C88)</f>
        <v>-0.2609999999999999</v>
      </c>
      <c r="D89" s="181">
        <f>SUM(D86:D88)</f>
        <v>-5.4510000000000005</v>
      </c>
      <c r="E89" s="140">
        <f t="shared" ref="E89:L89" si="27">SUM(E86:E88)</f>
        <v>-22.485999999999997</v>
      </c>
      <c r="F89" s="140">
        <f t="shared" si="27"/>
        <v>-22.905999999999999</v>
      </c>
      <c r="G89" s="140">
        <f t="shared" si="27"/>
        <v>-22.105999999999998</v>
      </c>
      <c r="H89" s="140">
        <f t="shared" si="27"/>
        <v>-45.94</v>
      </c>
      <c r="I89" s="140">
        <f t="shared" si="27"/>
        <v>-28.917999999999999</v>
      </c>
      <c r="J89" s="140">
        <f t="shared" si="27"/>
        <v>58.182000000000002</v>
      </c>
      <c r="K89" s="140">
        <f t="shared" si="27"/>
        <v>4.9389999999999992</v>
      </c>
      <c r="L89" s="140">
        <f t="shared" si="27"/>
        <v>-3.2920000000000003</v>
      </c>
    </row>
    <row r="90" spans="1:16383" x14ac:dyDescent="0.2">
      <c r="C90" s="156"/>
      <c r="D90" s="156"/>
      <c r="E90" s="156"/>
      <c r="F90" s="156"/>
      <c r="G90" s="156"/>
      <c r="H90" s="156"/>
      <c r="I90" s="156"/>
      <c r="J90" s="156"/>
      <c r="K90" s="156"/>
      <c r="L90" s="156"/>
    </row>
    <row r="91" spans="1:16383" x14ac:dyDescent="0.2">
      <c r="B91" s="194" t="s">
        <v>639</v>
      </c>
      <c r="C91" s="183">
        <f t="shared" ref="C91" si="28">C84+C89</f>
        <v>319.10099999999994</v>
      </c>
      <c r="D91" s="183">
        <f t="shared" ref="D91:L91" si="29">D84+D89</f>
        <v>583.31700000000001</v>
      </c>
      <c r="E91" s="142">
        <f t="shared" si="29"/>
        <v>592.65300000000002</v>
      </c>
      <c r="F91" s="142">
        <f t="shared" si="29"/>
        <v>628.89199999999994</v>
      </c>
      <c r="G91" s="142">
        <f t="shared" si="29"/>
        <v>675.76100000000008</v>
      </c>
      <c r="H91" s="142">
        <f t="shared" si="29"/>
        <v>650.97199999999998</v>
      </c>
      <c r="I91" s="142">
        <f>I84+I89</f>
        <v>2360.0769999999998</v>
      </c>
      <c r="J91" s="142">
        <f t="shared" si="29"/>
        <v>2458.5169999999998</v>
      </c>
      <c r="K91" s="142">
        <f t="shared" si="29"/>
        <v>2327.2330000000002</v>
      </c>
      <c r="L91" s="142">
        <f t="shared" si="29"/>
        <v>2420.3190000000004</v>
      </c>
    </row>
    <row r="92" spans="1:16383" x14ac:dyDescent="0.2">
      <c r="B92" s="178"/>
      <c r="C92" s="179"/>
      <c r="D92" s="179"/>
      <c r="E92" s="138"/>
      <c r="F92" s="138"/>
      <c r="G92" s="138"/>
      <c r="H92" s="138"/>
      <c r="I92" s="138"/>
      <c r="J92" s="138"/>
      <c r="K92" s="138"/>
      <c r="L92" s="138"/>
    </row>
    <row r="93" spans="1:16383" x14ac:dyDescent="0.2">
      <c r="B93" s="182" t="s">
        <v>640</v>
      </c>
      <c r="C93" s="183">
        <f>'AFS3'!B100</f>
        <v>2.2999999999999998</v>
      </c>
      <c r="D93" s="183">
        <f>'AFS3'!C100</f>
        <v>26.512</v>
      </c>
      <c r="E93" s="135">
        <f>'AFS3'!D100</f>
        <v>23.91</v>
      </c>
      <c r="F93" s="135">
        <f>'AFS3'!E100</f>
        <v>20.600999999999999</v>
      </c>
      <c r="G93" s="135">
        <f>'AFS3'!F100</f>
        <v>4.8120000000000003</v>
      </c>
      <c r="H93" s="135">
        <f>'AFS3'!G100</f>
        <v>4.2089999999999996</v>
      </c>
      <c r="I93" s="135">
        <f>'AFS3'!H100</f>
        <v>100.411</v>
      </c>
      <c r="J93" s="135">
        <f>'AFS3'!I100</f>
        <v>120.02</v>
      </c>
      <c r="K93" s="135">
        <f>'AFS3'!J100</f>
        <v>109.649</v>
      </c>
      <c r="L93" s="135">
        <f>'AFS3'!K100</f>
        <v>47.783999999999999</v>
      </c>
    </row>
    <row r="94" spans="1:16383" x14ac:dyDescent="0.2">
      <c r="B94" s="182" t="s">
        <v>641</v>
      </c>
      <c r="C94" s="183">
        <f>'AFS3'!B108</f>
        <v>0</v>
      </c>
      <c r="D94" s="183">
        <f>'AFS3'!C108</f>
        <v>23.888000000000002</v>
      </c>
      <c r="E94" s="135">
        <f>'AFS3'!D108</f>
        <v>0.10199999999999999</v>
      </c>
      <c r="F94" s="135">
        <f>'AFS3'!E108</f>
        <v>8.1000000000000003E-2</v>
      </c>
      <c r="G94" s="135">
        <f>'AFS3'!F108</f>
        <v>24.466000000000001</v>
      </c>
      <c r="H94" s="135">
        <f>'AFS3'!G108</f>
        <v>30.451000000000001</v>
      </c>
      <c r="I94" s="135">
        <f>'AFS3'!H108</f>
        <v>1294.7470000000001</v>
      </c>
      <c r="J94" s="135">
        <f>'AFS3'!I108</f>
        <v>1231.9649999999999</v>
      </c>
      <c r="K94" s="135">
        <f>'AFS3'!J108</f>
        <v>1083.0050000000001</v>
      </c>
      <c r="L94" s="135">
        <f>'AFS3'!K108</f>
        <v>966.78099999999995</v>
      </c>
    </row>
    <row r="95" spans="1:16383" x14ac:dyDescent="0.2">
      <c r="B95" s="182" t="s">
        <v>642</v>
      </c>
      <c r="C95" s="183">
        <f t="shared" ref="C95" si="30">C93+C94</f>
        <v>2.2999999999999998</v>
      </c>
      <c r="D95" s="183">
        <f t="shared" ref="D95:K95" si="31">D93+D94</f>
        <v>50.400000000000006</v>
      </c>
      <c r="E95" s="135">
        <f t="shared" si="31"/>
        <v>24.012</v>
      </c>
      <c r="F95" s="135">
        <f t="shared" si="31"/>
        <v>20.681999999999999</v>
      </c>
      <c r="G95" s="135">
        <f t="shared" si="31"/>
        <v>29.278000000000002</v>
      </c>
      <c r="H95" s="135">
        <f t="shared" si="31"/>
        <v>34.659999999999997</v>
      </c>
      <c r="I95" s="135">
        <f t="shared" si="31"/>
        <v>1395.1580000000001</v>
      </c>
      <c r="J95" s="135">
        <f t="shared" si="31"/>
        <v>1351.9849999999999</v>
      </c>
      <c r="K95" s="135">
        <f t="shared" si="31"/>
        <v>1192.654</v>
      </c>
      <c r="L95" s="135">
        <f>L93+L94</f>
        <v>1014.5649999999999</v>
      </c>
    </row>
    <row r="96" spans="1:16383" ht="17" thickBot="1" x14ac:dyDescent="0.25">
      <c r="B96" s="178" t="s">
        <v>643</v>
      </c>
      <c r="C96" s="179">
        <f>'AFS3'!B58</f>
        <v>270.35700000000003</v>
      </c>
      <c r="D96" s="179">
        <f>'AFS3'!C58</f>
        <v>130.46799999999999</v>
      </c>
      <c r="E96" s="138">
        <f>'AFS3'!D58</f>
        <v>173.31399999999999</v>
      </c>
      <c r="F96" s="138">
        <f>'AFS3'!E58</f>
        <v>96.525000000000006</v>
      </c>
      <c r="G96" s="138">
        <f>'AFS3'!F58</f>
        <v>202.14</v>
      </c>
      <c r="H96" s="138">
        <f>'AFS3'!G58</f>
        <v>340.00700000000001</v>
      </c>
      <c r="I96" s="138">
        <f>'AFS3'!H58</f>
        <v>403.02</v>
      </c>
      <c r="J96" s="138">
        <f>'AFS3'!I58</f>
        <v>413.21800000000002</v>
      </c>
      <c r="K96" s="138">
        <f>'AFS3'!J58</f>
        <v>403.38900000000001</v>
      </c>
      <c r="L96" s="138">
        <f>'AFS3'!K58</f>
        <v>393.26799999999997</v>
      </c>
    </row>
    <row r="97" spans="2:16384" x14ac:dyDescent="0.2">
      <c r="B97" s="180" t="s">
        <v>644</v>
      </c>
      <c r="C97" s="181">
        <f t="shared" ref="C97" si="32">C95-C96</f>
        <v>-268.05700000000002</v>
      </c>
      <c r="D97" s="181">
        <f>D95-D96</f>
        <v>-80.067999999999984</v>
      </c>
      <c r="E97" s="140">
        <f t="shared" ref="E97:L97" si="33">E95-E96</f>
        <v>-149.30199999999999</v>
      </c>
      <c r="F97" s="140">
        <f t="shared" si="33"/>
        <v>-75.843000000000004</v>
      </c>
      <c r="G97" s="140">
        <f t="shared" si="33"/>
        <v>-172.86199999999999</v>
      </c>
      <c r="H97" s="140">
        <f t="shared" si="33"/>
        <v>-305.34699999999998</v>
      </c>
      <c r="I97" s="140">
        <f t="shared" si="33"/>
        <v>992.13800000000015</v>
      </c>
      <c r="J97" s="140">
        <f t="shared" si="33"/>
        <v>938.76699999999983</v>
      </c>
      <c r="K97" s="140">
        <f t="shared" si="33"/>
        <v>789.26499999999999</v>
      </c>
      <c r="L97" s="140">
        <f t="shared" si="33"/>
        <v>621.29700000000003</v>
      </c>
    </row>
    <row r="98" spans="2:16384" x14ac:dyDescent="0.2">
      <c r="B98" s="40"/>
      <c r="C98" s="157"/>
      <c r="D98" s="157"/>
      <c r="E98" s="157"/>
      <c r="F98" s="157"/>
      <c r="G98" s="157"/>
      <c r="H98" s="157"/>
      <c r="I98" s="157"/>
      <c r="J98" s="157"/>
      <c r="K98" s="157"/>
      <c r="L98" s="157"/>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58"/>
      <c r="BW98" s="58"/>
      <c r="BX98" s="58"/>
      <c r="BY98" s="58"/>
      <c r="BZ98" s="58"/>
      <c r="CA98" s="58"/>
      <c r="CB98" s="58"/>
      <c r="CC98" s="58"/>
      <c r="CD98" s="58"/>
      <c r="CE98" s="58"/>
      <c r="CF98" s="58"/>
      <c r="CG98" s="58"/>
      <c r="CH98" s="58"/>
      <c r="CI98" s="58"/>
      <c r="CJ98" s="58"/>
      <c r="CK98" s="58"/>
      <c r="CL98" s="58"/>
      <c r="CM98" s="58"/>
      <c r="CN98" s="58"/>
      <c r="CO98" s="58"/>
      <c r="CP98" s="58"/>
      <c r="CQ98" s="58"/>
      <c r="CR98" s="58"/>
      <c r="CS98" s="58"/>
      <c r="CT98" s="58"/>
      <c r="CU98" s="58"/>
      <c r="CV98" s="58"/>
      <c r="CW98" s="58"/>
      <c r="CX98" s="58"/>
      <c r="CY98" s="58"/>
      <c r="CZ98" s="58"/>
      <c r="DA98" s="58"/>
      <c r="DB98" s="58"/>
      <c r="DC98" s="58"/>
      <c r="DD98" s="58"/>
      <c r="DE98" s="58"/>
      <c r="DF98" s="58"/>
      <c r="DG98" s="58"/>
      <c r="DH98" s="58"/>
      <c r="DI98" s="58"/>
      <c r="DJ98" s="58"/>
      <c r="DK98" s="58"/>
      <c r="DL98" s="58"/>
      <c r="DM98" s="58"/>
      <c r="DN98" s="58"/>
      <c r="DO98" s="58"/>
      <c r="DP98" s="58"/>
      <c r="DQ98" s="58"/>
      <c r="DR98" s="58"/>
      <c r="DS98" s="58"/>
      <c r="DT98" s="58"/>
      <c r="DU98" s="58"/>
      <c r="DV98" s="58"/>
      <c r="DW98" s="58"/>
      <c r="DX98" s="58"/>
      <c r="DY98" s="58"/>
      <c r="DZ98" s="58"/>
      <c r="EA98" s="58"/>
      <c r="EB98" s="58"/>
      <c r="EC98" s="58"/>
      <c r="ED98" s="58"/>
      <c r="EE98" s="58"/>
      <c r="EF98" s="58"/>
      <c r="EG98" s="58"/>
      <c r="EH98" s="58"/>
      <c r="EI98" s="58"/>
      <c r="EJ98" s="58"/>
      <c r="EK98" s="58"/>
      <c r="EL98" s="58"/>
      <c r="EM98" s="58"/>
      <c r="EN98" s="58"/>
      <c r="EO98" s="58"/>
      <c r="EP98" s="58"/>
      <c r="EQ98" s="58"/>
      <c r="ER98" s="58"/>
      <c r="ES98" s="58"/>
      <c r="ET98" s="58"/>
      <c r="EU98" s="58"/>
      <c r="EV98" s="58"/>
      <c r="EW98" s="58"/>
      <c r="EX98" s="58"/>
      <c r="EY98" s="58"/>
      <c r="EZ98" s="58"/>
      <c r="FA98" s="58"/>
      <c r="FB98" s="58"/>
      <c r="FC98" s="58"/>
      <c r="FD98" s="58"/>
      <c r="FE98" s="58"/>
      <c r="FF98" s="58"/>
      <c r="FG98" s="58"/>
      <c r="FH98" s="58"/>
      <c r="FI98" s="58"/>
      <c r="FJ98" s="58"/>
      <c r="FK98" s="58"/>
      <c r="FL98" s="58"/>
      <c r="FM98" s="58"/>
      <c r="FN98" s="58"/>
      <c r="FO98" s="58"/>
      <c r="FP98" s="58"/>
      <c r="FQ98" s="58"/>
      <c r="FR98" s="58"/>
      <c r="FS98" s="58"/>
      <c r="FT98" s="58"/>
      <c r="FU98" s="58"/>
      <c r="FV98" s="58"/>
      <c r="FW98" s="58"/>
      <c r="FX98" s="58"/>
      <c r="FY98" s="58"/>
      <c r="FZ98" s="58"/>
      <c r="GA98" s="58"/>
      <c r="GB98" s="58"/>
      <c r="GC98" s="58"/>
      <c r="GD98" s="58"/>
      <c r="GE98" s="58"/>
      <c r="GF98" s="58"/>
      <c r="GG98" s="58"/>
      <c r="GH98" s="58"/>
      <c r="GI98" s="58"/>
      <c r="GJ98" s="58"/>
      <c r="GK98" s="58"/>
      <c r="GL98" s="58"/>
      <c r="GM98" s="58"/>
      <c r="GN98" s="58"/>
      <c r="GO98" s="58"/>
      <c r="GP98" s="58"/>
      <c r="GQ98" s="58"/>
      <c r="GR98" s="58"/>
      <c r="GS98" s="58"/>
      <c r="GT98" s="58"/>
      <c r="GU98" s="58"/>
      <c r="GV98" s="58"/>
      <c r="GW98" s="58"/>
      <c r="GX98" s="58"/>
      <c r="GY98" s="58"/>
      <c r="GZ98" s="58"/>
      <c r="HA98" s="58"/>
      <c r="HB98" s="58"/>
      <c r="HC98" s="58"/>
      <c r="HD98" s="58"/>
      <c r="HE98" s="58"/>
      <c r="HF98" s="58"/>
      <c r="HG98" s="58"/>
      <c r="HH98" s="58"/>
      <c r="HI98" s="58"/>
      <c r="HJ98" s="58"/>
      <c r="HK98" s="58"/>
      <c r="HL98" s="58"/>
      <c r="HM98" s="58"/>
      <c r="HN98" s="58"/>
      <c r="HO98" s="58"/>
      <c r="HP98" s="58"/>
      <c r="HQ98" s="58"/>
      <c r="HR98" s="58"/>
      <c r="HS98" s="58"/>
      <c r="HT98" s="58"/>
      <c r="HU98" s="58"/>
      <c r="HV98" s="58"/>
      <c r="HW98" s="58"/>
      <c r="HX98" s="58"/>
      <c r="HY98" s="58"/>
      <c r="HZ98" s="58"/>
      <c r="IA98" s="58"/>
      <c r="IB98" s="58"/>
      <c r="IC98" s="58"/>
      <c r="ID98" s="58"/>
      <c r="IE98" s="58"/>
      <c r="IF98" s="58"/>
      <c r="IG98" s="58"/>
      <c r="IH98" s="58"/>
      <c r="II98" s="58"/>
      <c r="IJ98" s="58"/>
      <c r="IK98" s="58"/>
      <c r="IL98" s="58"/>
      <c r="IM98" s="58"/>
      <c r="IN98" s="58"/>
      <c r="IO98" s="58"/>
      <c r="IP98" s="58"/>
      <c r="IQ98" s="58"/>
      <c r="IR98" s="58"/>
      <c r="IS98" s="58"/>
      <c r="IT98" s="58"/>
      <c r="IU98" s="58"/>
      <c r="IV98" s="58"/>
      <c r="IW98" s="58"/>
      <c r="IX98" s="58"/>
      <c r="IY98" s="58"/>
      <c r="IZ98" s="58"/>
      <c r="JA98" s="58"/>
      <c r="JB98" s="58"/>
      <c r="JC98" s="58"/>
      <c r="JD98" s="58"/>
      <c r="JE98" s="58"/>
      <c r="JF98" s="58"/>
      <c r="JG98" s="58"/>
      <c r="JH98" s="58"/>
      <c r="JI98" s="58"/>
      <c r="JJ98" s="58"/>
      <c r="JK98" s="58"/>
      <c r="JL98" s="58"/>
      <c r="JM98" s="58"/>
      <c r="JN98" s="58"/>
      <c r="JO98" s="58"/>
      <c r="JP98" s="58"/>
      <c r="JQ98" s="58"/>
      <c r="JR98" s="58"/>
      <c r="JS98" s="58"/>
      <c r="JT98" s="58"/>
      <c r="JU98" s="58"/>
      <c r="JV98" s="58"/>
      <c r="JW98" s="58"/>
      <c r="JX98" s="58"/>
      <c r="JY98" s="58"/>
      <c r="JZ98" s="58"/>
      <c r="KA98" s="58"/>
      <c r="KB98" s="58"/>
      <c r="KC98" s="58"/>
      <c r="KD98" s="58"/>
      <c r="KE98" s="58"/>
      <c r="KF98" s="58"/>
      <c r="KG98" s="58"/>
      <c r="KH98" s="58"/>
      <c r="KI98" s="58"/>
      <c r="KJ98" s="58"/>
      <c r="KK98" s="58"/>
      <c r="KL98" s="58"/>
      <c r="KM98" s="58"/>
      <c r="KN98" s="58"/>
      <c r="KO98" s="58"/>
      <c r="KP98" s="58"/>
      <c r="KQ98" s="58"/>
      <c r="KR98" s="58"/>
      <c r="KS98" s="58"/>
      <c r="KT98" s="58"/>
      <c r="KU98" s="58"/>
      <c r="KV98" s="58"/>
      <c r="KW98" s="58"/>
      <c r="KX98" s="58"/>
      <c r="KY98" s="58"/>
      <c r="KZ98" s="58"/>
      <c r="LA98" s="58"/>
      <c r="LB98" s="58"/>
      <c r="LC98" s="58"/>
      <c r="LD98" s="58"/>
      <c r="LE98" s="58"/>
      <c r="LF98" s="58"/>
      <c r="LG98" s="58"/>
      <c r="LH98" s="58"/>
      <c r="LI98" s="58"/>
      <c r="LJ98" s="58"/>
      <c r="LK98" s="58"/>
      <c r="LL98" s="58"/>
      <c r="LM98" s="58"/>
      <c r="LN98" s="58"/>
      <c r="LO98" s="58"/>
      <c r="LP98" s="58"/>
      <c r="LQ98" s="58"/>
      <c r="LR98" s="58"/>
      <c r="LS98" s="58"/>
      <c r="LT98" s="58"/>
      <c r="LU98" s="58"/>
      <c r="LV98" s="58"/>
      <c r="LW98" s="58"/>
      <c r="LX98" s="58"/>
      <c r="LY98" s="58"/>
      <c r="LZ98" s="58"/>
      <c r="MA98" s="58"/>
      <c r="MB98" s="58"/>
      <c r="MC98" s="58"/>
      <c r="MD98" s="58"/>
      <c r="ME98" s="58"/>
      <c r="MF98" s="58"/>
      <c r="MG98" s="58"/>
      <c r="MH98" s="58"/>
      <c r="MI98" s="58"/>
      <c r="MJ98" s="58"/>
      <c r="MK98" s="58"/>
      <c r="ML98" s="58"/>
      <c r="MM98" s="58"/>
      <c r="MN98" s="58"/>
      <c r="MO98" s="58"/>
      <c r="MP98" s="58"/>
      <c r="MQ98" s="58"/>
      <c r="MR98" s="58"/>
      <c r="MS98" s="58"/>
      <c r="MT98" s="58"/>
      <c r="MU98" s="58"/>
      <c r="MV98" s="58"/>
      <c r="MW98" s="58"/>
      <c r="MX98" s="58"/>
      <c r="MY98" s="58"/>
      <c r="MZ98" s="58"/>
      <c r="NA98" s="58"/>
      <c r="NB98" s="58"/>
      <c r="NC98" s="58"/>
      <c r="ND98" s="58"/>
      <c r="NE98" s="58"/>
      <c r="NF98" s="58"/>
      <c r="NG98" s="58"/>
      <c r="NH98" s="58"/>
      <c r="NI98" s="58"/>
      <c r="NJ98" s="58"/>
      <c r="NK98" s="58"/>
      <c r="NL98" s="58"/>
      <c r="NM98" s="58"/>
      <c r="NN98" s="58"/>
      <c r="NO98" s="58"/>
      <c r="NP98" s="58"/>
      <c r="NQ98" s="58"/>
      <c r="NR98" s="58"/>
      <c r="NS98" s="58"/>
      <c r="NT98" s="58"/>
      <c r="NU98" s="58"/>
      <c r="NV98" s="58"/>
      <c r="NW98" s="58"/>
      <c r="NX98" s="58"/>
      <c r="NY98" s="58"/>
      <c r="NZ98" s="58"/>
      <c r="OA98" s="58"/>
      <c r="OB98" s="58"/>
      <c r="OC98" s="58"/>
      <c r="OD98" s="58"/>
      <c r="OE98" s="58"/>
      <c r="OF98" s="58"/>
      <c r="OG98" s="58"/>
      <c r="OH98" s="58"/>
      <c r="OI98" s="58"/>
      <c r="OJ98" s="58"/>
      <c r="OK98" s="58"/>
      <c r="OL98" s="58"/>
      <c r="OM98" s="58"/>
      <c r="ON98" s="58"/>
      <c r="OO98" s="58"/>
      <c r="OP98" s="58"/>
      <c r="OQ98" s="58"/>
      <c r="OR98" s="58"/>
      <c r="OS98" s="58"/>
      <c r="OT98" s="58"/>
      <c r="OU98" s="58"/>
      <c r="OV98" s="58"/>
      <c r="OW98" s="58"/>
      <c r="OX98" s="58"/>
      <c r="OY98" s="58"/>
      <c r="OZ98" s="58"/>
      <c r="PA98" s="58"/>
      <c r="PB98" s="58"/>
      <c r="PC98" s="58"/>
      <c r="PD98" s="58"/>
      <c r="PE98" s="58"/>
      <c r="PF98" s="58"/>
      <c r="PG98" s="58"/>
      <c r="PH98" s="58"/>
      <c r="PI98" s="58"/>
      <c r="PJ98" s="58"/>
      <c r="PK98" s="58"/>
      <c r="PL98" s="58"/>
      <c r="PM98" s="58"/>
      <c r="PN98" s="58"/>
      <c r="PO98" s="58"/>
      <c r="PP98" s="58"/>
      <c r="PQ98" s="58"/>
      <c r="PR98" s="58"/>
      <c r="PS98" s="58"/>
      <c r="PT98" s="58"/>
      <c r="PU98" s="58"/>
      <c r="PV98" s="58"/>
      <c r="PW98" s="58"/>
      <c r="PX98" s="58"/>
      <c r="PY98" s="58"/>
      <c r="PZ98" s="58"/>
      <c r="QA98" s="58"/>
      <c r="QB98" s="58"/>
      <c r="QC98" s="58"/>
      <c r="QD98" s="58"/>
      <c r="QE98" s="58"/>
      <c r="QF98" s="58"/>
      <c r="QG98" s="58"/>
      <c r="QH98" s="58"/>
      <c r="QI98" s="58"/>
      <c r="QJ98" s="58"/>
      <c r="QK98" s="58"/>
      <c r="QL98" s="58"/>
      <c r="QM98" s="58"/>
      <c r="QN98" s="58"/>
      <c r="QO98" s="58"/>
      <c r="QP98" s="58"/>
      <c r="QQ98" s="58"/>
      <c r="QR98" s="58"/>
      <c r="QS98" s="58"/>
      <c r="QT98" s="58"/>
      <c r="QU98" s="58"/>
      <c r="QV98" s="58"/>
      <c r="QW98" s="58"/>
      <c r="QX98" s="58"/>
      <c r="QY98" s="58"/>
      <c r="QZ98" s="58"/>
      <c r="RA98" s="58"/>
      <c r="RB98" s="58"/>
      <c r="RC98" s="58"/>
      <c r="RD98" s="58"/>
      <c r="RE98" s="58"/>
      <c r="RF98" s="58"/>
      <c r="RG98" s="58"/>
      <c r="RH98" s="58"/>
      <c r="RI98" s="58"/>
      <c r="RJ98" s="58"/>
      <c r="RK98" s="58"/>
      <c r="RL98" s="58"/>
      <c r="RM98" s="58"/>
      <c r="RN98" s="58"/>
      <c r="RO98" s="58"/>
      <c r="RP98" s="58"/>
      <c r="RQ98" s="58"/>
      <c r="RR98" s="58"/>
      <c r="RS98" s="58"/>
      <c r="RT98" s="58"/>
      <c r="RU98" s="58"/>
      <c r="RV98" s="58"/>
      <c r="RW98" s="58"/>
      <c r="RX98" s="58"/>
      <c r="RY98" s="58"/>
      <c r="RZ98" s="58"/>
      <c r="SA98" s="58"/>
      <c r="SB98" s="58"/>
      <c r="SC98" s="58"/>
      <c r="SD98" s="58"/>
      <c r="SE98" s="58"/>
      <c r="SF98" s="58"/>
      <c r="SG98" s="58"/>
      <c r="SH98" s="58"/>
      <c r="SI98" s="58"/>
      <c r="SJ98" s="58"/>
      <c r="SK98" s="58"/>
      <c r="SL98" s="58"/>
      <c r="SM98" s="58"/>
      <c r="SN98" s="58"/>
      <c r="SO98" s="58"/>
      <c r="SP98" s="58"/>
      <c r="SQ98" s="58"/>
      <c r="SR98" s="58"/>
      <c r="SS98" s="58"/>
      <c r="ST98" s="58"/>
      <c r="SU98" s="58"/>
      <c r="SV98" s="58"/>
      <c r="SW98" s="58"/>
      <c r="SX98" s="58"/>
      <c r="SY98" s="58"/>
      <c r="SZ98" s="58"/>
      <c r="TA98" s="58"/>
      <c r="TB98" s="58"/>
      <c r="TC98" s="58"/>
      <c r="TD98" s="58"/>
      <c r="TE98" s="58"/>
      <c r="TF98" s="58"/>
      <c r="TG98" s="58"/>
      <c r="TH98" s="58"/>
      <c r="TI98" s="58"/>
      <c r="TJ98" s="58"/>
      <c r="TK98" s="58"/>
      <c r="TL98" s="58"/>
      <c r="TM98" s="58"/>
      <c r="TN98" s="58"/>
      <c r="TO98" s="58"/>
      <c r="TP98" s="58"/>
      <c r="TQ98" s="58"/>
      <c r="TR98" s="58"/>
      <c r="TS98" s="58"/>
      <c r="TT98" s="58"/>
      <c r="TU98" s="58"/>
      <c r="TV98" s="58"/>
      <c r="TW98" s="58"/>
      <c r="TX98" s="58"/>
      <c r="TY98" s="58"/>
      <c r="TZ98" s="58"/>
      <c r="UA98" s="58"/>
      <c r="UB98" s="58"/>
      <c r="UC98" s="58"/>
      <c r="UD98" s="58"/>
      <c r="UE98" s="58"/>
      <c r="UF98" s="58"/>
      <c r="UG98" s="58"/>
      <c r="UH98" s="58"/>
      <c r="UI98" s="58"/>
      <c r="UJ98" s="58"/>
      <c r="UK98" s="58"/>
      <c r="UL98" s="58"/>
      <c r="UM98" s="58"/>
      <c r="UN98" s="58"/>
      <c r="UO98" s="58"/>
      <c r="UP98" s="58"/>
      <c r="UQ98" s="58"/>
      <c r="UR98" s="58"/>
      <c r="US98" s="58"/>
      <c r="UT98" s="58"/>
      <c r="UU98" s="58"/>
      <c r="UV98" s="58"/>
      <c r="UW98" s="58"/>
      <c r="UX98" s="58"/>
      <c r="UY98" s="58"/>
      <c r="UZ98" s="58"/>
      <c r="VA98" s="58"/>
      <c r="VB98" s="58"/>
      <c r="VC98" s="58"/>
      <c r="VD98" s="58"/>
      <c r="VE98" s="58"/>
      <c r="VF98" s="58"/>
      <c r="VG98" s="58"/>
      <c r="VH98" s="58"/>
      <c r="VI98" s="58"/>
      <c r="VJ98" s="58"/>
      <c r="VK98" s="58"/>
      <c r="VL98" s="58"/>
      <c r="VM98" s="58"/>
      <c r="VN98" s="58"/>
      <c r="VO98" s="58"/>
      <c r="VP98" s="58"/>
      <c r="VQ98" s="58"/>
      <c r="VR98" s="58"/>
      <c r="VS98" s="58"/>
      <c r="VT98" s="58"/>
      <c r="VU98" s="58"/>
      <c r="VV98" s="58"/>
      <c r="VW98" s="58"/>
      <c r="VX98" s="58"/>
      <c r="VY98" s="58"/>
      <c r="VZ98" s="58"/>
      <c r="WA98" s="58"/>
      <c r="WB98" s="58"/>
      <c r="WC98" s="58"/>
      <c r="WD98" s="58"/>
      <c r="WE98" s="58"/>
      <c r="WF98" s="58"/>
      <c r="WG98" s="58"/>
      <c r="WH98" s="58"/>
      <c r="WI98" s="58"/>
      <c r="WJ98" s="58"/>
      <c r="WK98" s="58"/>
      <c r="WL98" s="58"/>
      <c r="WM98" s="58"/>
      <c r="WN98" s="58"/>
      <c r="WO98" s="58"/>
      <c r="WP98" s="58"/>
      <c r="WQ98" s="58"/>
      <c r="WR98" s="58"/>
      <c r="WS98" s="58"/>
      <c r="WT98" s="58"/>
      <c r="WU98" s="58"/>
      <c r="WV98" s="58"/>
      <c r="WW98" s="58"/>
      <c r="WX98" s="58"/>
      <c r="WY98" s="58"/>
      <c r="WZ98" s="58"/>
      <c r="XA98" s="58"/>
      <c r="XB98" s="58"/>
      <c r="XC98" s="58"/>
      <c r="XD98" s="58"/>
      <c r="XE98" s="58"/>
      <c r="XF98" s="58"/>
      <c r="XG98" s="58"/>
      <c r="XH98" s="58"/>
      <c r="XI98" s="58"/>
      <c r="XJ98" s="58"/>
      <c r="XK98" s="58"/>
      <c r="XL98" s="58"/>
      <c r="XM98" s="58"/>
      <c r="XN98" s="58"/>
      <c r="XO98" s="58"/>
      <c r="XP98" s="58"/>
      <c r="XQ98" s="58"/>
      <c r="XR98" s="58"/>
      <c r="XS98" s="58"/>
      <c r="XT98" s="58"/>
      <c r="XU98" s="58"/>
      <c r="XV98" s="58"/>
      <c r="XW98" s="58"/>
      <c r="XX98" s="58"/>
      <c r="XY98" s="58"/>
      <c r="XZ98" s="58"/>
      <c r="YA98" s="58"/>
      <c r="YB98" s="58"/>
      <c r="YC98" s="58"/>
      <c r="YD98" s="58"/>
      <c r="YE98" s="58"/>
      <c r="YF98" s="58"/>
      <c r="YG98" s="58"/>
      <c r="YH98" s="58"/>
      <c r="YI98" s="58"/>
      <c r="YJ98" s="58"/>
      <c r="YK98" s="58"/>
      <c r="YL98" s="58"/>
      <c r="YM98" s="58"/>
      <c r="YN98" s="58"/>
      <c r="YO98" s="58"/>
      <c r="YP98" s="58"/>
      <c r="YQ98" s="58"/>
      <c r="YR98" s="58"/>
      <c r="YS98" s="58"/>
      <c r="YT98" s="58"/>
      <c r="YU98" s="58"/>
      <c r="YV98" s="58"/>
      <c r="YW98" s="58"/>
      <c r="YX98" s="58"/>
      <c r="YY98" s="58"/>
      <c r="YZ98" s="58"/>
      <c r="ZA98" s="58"/>
      <c r="ZB98" s="58"/>
      <c r="ZC98" s="58"/>
      <c r="ZD98" s="58"/>
      <c r="ZE98" s="58"/>
      <c r="ZF98" s="58"/>
      <c r="ZG98" s="58"/>
      <c r="ZH98" s="58"/>
      <c r="ZI98" s="58"/>
      <c r="ZJ98" s="58"/>
      <c r="ZK98" s="58"/>
      <c r="ZL98" s="58"/>
      <c r="ZM98" s="58"/>
      <c r="ZN98" s="58"/>
      <c r="ZO98" s="58"/>
      <c r="ZP98" s="58"/>
      <c r="ZQ98" s="58"/>
      <c r="ZR98" s="58"/>
      <c r="ZS98" s="58"/>
      <c r="ZT98" s="58"/>
      <c r="ZU98" s="58"/>
      <c r="ZV98" s="58"/>
      <c r="ZW98" s="58"/>
      <c r="ZX98" s="58"/>
      <c r="ZY98" s="58"/>
      <c r="ZZ98" s="58"/>
      <c r="AAA98" s="58"/>
      <c r="AAB98" s="58"/>
      <c r="AAC98" s="58"/>
      <c r="AAD98" s="58"/>
      <c r="AAE98" s="58"/>
      <c r="AAF98" s="58"/>
      <c r="AAG98" s="58"/>
      <c r="AAH98" s="58"/>
      <c r="AAI98" s="58"/>
      <c r="AAJ98" s="58"/>
      <c r="AAK98" s="58"/>
      <c r="AAL98" s="58"/>
      <c r="AAM98" s="58"/>
      <c r="AAN98" s="58"/>
      <c r="AAO98" s="58"/>
      <c r="AAP98" s="58"/>
      <c r="AAQ98" s="58"/>
      <c r="AAR98" s="58"/>
      <c r="AAS98" s="58"/>
      <c r="AAT98" s="58"/>
      <c r="AAU98" s="58"/>
      <c r="AAV98" s="58"/>
      <c r="AAW98" s="58"/>
      <c r="AAX98" s="58"/>
      <c r="AAY98" s="58"/>
      <c r="AAZ98" s="58"/>
      <c r="ABA98" s="58"/>
      <c r="ABB98" s="58"/>
      <c r="ABC98" s="58"/>
      <c r="ABD98" s="58"/>
      <c r="ABE98" s="58"/>
      <c r="ABF98" s="58"/>
      <c r="ABG98" s="58"/>
      <c r="ABH98" s="58"/>
      <c r="ABI98" s="58"/>
      <c r="ABJ98" s="58"/>
      <c r="ABK98" s="58"/>
      <c r="ABL98" s="58"/>
      <c r="ABM98" s="58"/>
      <c r="ABN98" s="58"/>
      <c r="ABO98" s="58"/>
      <c r="ABP98" s="58"/>
      <c r="ABQ98" s="58"/>
      <c r="ABR98" s="58"/>
      <c r="ABS98" s="58"/>
      <c r="ABT98" s="58"/>
      <c r="ABU98" s="58"/>
      <c r="ABV98" s="58"/>
      <c r="ABW98" s="58"/>
      <c r="ABX98" s="58"/>
      <c r="ABY98" s="58"/>
      <c r="ABZ98" s="58"/>
      <c r="ACA98" s="58"/>
      <c r="ACB98" s="58"/>
      <c r="ACC98" s="58"/>
      <c r="ACD98" s="58"/>
      <c r="ACE98" s="58"/>
      <c r="ACF98" s="58"/>
      <c r="ACG98" s="58"/>
      <c r="ACH98" s="58"/>
      <c r="ACI98" s="58"/>
      <c r="ACJ98" s="58"/>
      <c r="ACK98" s="58"/>
      <c r="ACL98" s="58"/>
      <c r="ACM98" s="58"/>
      <c r="ACN98" s="58"/>
      <c r="ACO98" s="58"/>
      <c r="ACP98" s="58"/>
      <c r="ACQ98" s="58"/>
      <c r="ACR98" s="58"/>
      <c r="ACS98" s="58"/>
      <c r="ACT98" s="58"/>
      <c r="ACU98" s="58"/>
      <c r="ACV98" s="58"/>
      <c r="ACW98" s="58"/>
      <c r="ACX98" s="58"/>
      <c r="ACY98" s="58"/>
      <c r="ACZ98" s="58"/>
      <c r="ADA98" s="58"/>
      <c r="ADB98" s="58"/>
      <c r="ADC98" s="58"/>
      <c r="ADD98" s="58"/>
      <c r="ADE98" s="58"/>
      <c r="ADF98" s="58"/>
      <c r="ADG98" s="58"/>
      <c r="ADH98" s="58"/>
      <c r="ADI98" s="58"/>
      <c r="ADJ98" s="58"/>
      <c r="ADK98" s="58"/>
      <c r="ADL98" s="58"/>
      <c r="ADM98" s="58"/>
      <c r="ADN98" s="58"/>
      <c r="ADO98" s="58"/>
      <c r="ADP98" s="58"/>
      <c r="ADQ98" s="58"/>
      <c r="ADR98" s="58"/>
      <c r="ADS98" s="58"/>
      <c r="ADT98" s="58"/>
      <c r="ADU98" s="58"/>
      <c r="ADV98" s="58"/>
      <c r="ADW98" s="58"/>
      <c r="ADX98" s="58"/>
      <c r="ADY98" s="58"/>
      <c r="ADZ98" s="58"/>
      <c r="AEA98" s="58"/>
      <c r="AEB98" s="58"/>
      <c r="AEC98" s="58"/>
      <c r="AED98" s="58"/>
      <c r="AEE98" s="58"/>
      <c r="AEF98" s="58"/>
      <c r="AEG98" s="58"/>
      <c r="AEH98" s="58"/>
      <c r="AEI98" s="58"/>
      <c r="AEJ98" s="58"/>
      <c r="AEK98" s="58"/>
      <c r="AEL98" s="58"/>
      <c r="AEM98" s="58"/>
      <c r="AEN98" s="58"/>
      <c r="AEO98" s="58"/>
      <c r="AEP98" s="58"/>
      <c r="AEQ98" s="58"/>
      <c r="AER98" s="58"/>
      <c r="AES98" s="58"/>
      <c r="AET98" s="58"/>
      <c r="AEU98" s="58"/>
      <c r="AEV98" s="58"/>
      <c r="AEW98" s="58"/>
      <c r="AEX98" s="58"/>
      <c r="AEY98" s="58"/>
      <c r="AEZ98" s="58"/>
      <c r="AFA98" s="58"/>
      <c r="AFB98" s="58"/>
      <c r="AFC98" s="58"/>
      <c r="AFD98" s="58"/>
      <c r="AFE98" s="58"/>
      <c r="AFF98" s="58"/>
      <c r="AFG98" s="58"/>
      <c r="AFH98" s="58"/>
      <c r="AFI98" s="58"/>
      <c r="AFJ98" s="58"/>
      <c r="AFK98" s="58"/>
      <c r="AFL98" s="58"/>
      <c r="AFM98" s="58"/>
      <c r="AFN98" s="58"/>
      <c r="AFO98" s="58"/>
      <c r="AFP98" s="58"/>
      <c r="AFQ98" s="58"/>
      <c r="AFR98" s="58"/>
      <c r="AFS98" s="58"/>
      <c r="AFT98" s="58"/>
      <c r="AFU98" s="58"/>
      <c r="AFV98" s="58"/>
      <c r="AFW98" s="58"/>
      <c r="AFX98" s="58"/>
      <c r="AFY98" s="58"/>
      <c r="AFZ98" s="58"/>
      <c r="AGA98" s="58"/>
      <c r="AGB98" s="58"/>
      <c r="AGC98" s="58"/>
      <c r="AGD98" s="58"/>
      <c r="AGE98" s="58"/>
      <c r="AGF98" s="58"/>
      <c r="AGG98" s="58"/>
      <c r="AGH98" s="58"/>
      <c r="AGI98" s="58"/>
      <c r="AGJ98" s="58"/>
      <c r="AGK98" s="58"/>
      <c r="AGL98" s="58"/>
      <c r="AGM98" s="58"/>
      <c r="AGN98" s="58"/>
      <c r="AGO98" s="58"/>
      <c r="AGP98" s="58"/>
      <c r="AGQ98" s="58"/>
      <c r="AGR98" s="58"/>
      <c r="AGS98" s="58"/>
      <c r="AGT98" s="58"/>
      <c r="AGU98" s="58"/>
      <c r="AGV98" s="58"/>
      <c r="AGW98" s="58"/>
      <c r="AGX98" s="58"/>
      <c r="AGY98" s="58"/>
      <c r="AGZ98" s="58"/>
      <c r="AHA98" s="58"/>
      <c r="AHB98" s="58"/>
      <c r="AHC98" s="58"/>
      <c r="AHD98" s="58"/>
      <c r="AHE98" s="58"/>
      <c r="AHF98" s="58"/>
      <c r="AHG98" s="58"/>
      <c r="AHH98" s="58"/>
      <c r="AHI98" s="58"/>
      <c r="AHJ98" s="58"/>
      <c r="AHK98" s="58"/>
      <c r="AHL98" s="58"/>
      <c r="AHM98" s="58"/>
      <c r="AHN98" s="58"/>
      <c r="AHO98" s="58"/>
      <c r="AHP98" s="58"/>
      <c r="AHQ98" s="58"/>
      <c r="AHR98" s="58"/>
      <c r="AHS98" s="58"/>
      <c r="AHT98" s="58"/>
      <c r="AHU98" s="58"/>
      <c r="AHV98" s="58"/>
      <c r="AHW98" s="58"/>
      <c r="AHX98" s="58"/>
      <c r="AHY98" s="58"/>
      <c r="AHZ98" s="58"/>
      <c r="AIA98" s="58"/>
      <c r="AIB98" s="58"/>
      <c r="AIC98" s="58"/>
      <c r="AID98" s="58"/>
      <c r="AIE98" s="58"/>
      <c r="AIF98" s="58"/>
      <c r="AIG98" s="58"/>
      <c r="AIH98" s="58"/>
      <c r="AII98" s="58"/>
      <c r="AIJ98" s="58"/>
      <c r="AIK98" s="58"/>
      <c r="AIL98" s="58"/>
      <c r="AIM98" s="58"/>
      <c r="AIN98" s="58"/>
      <c r="AIO98" s="58"/>
      <c r="AIP98" s="58"/>
      <c r="AIQ98" s="58"/>
      <c r="AIR98" s="58"/>
      <c r="AIS98" s="58"/>
      <c r="AIT98" s="58"/>
      <c r="AIU98" s="58"/>
      <c r="AIV98" s="58"/>
      <c r="AIW98" s="58"/>
      <c r="AIX98" s="58"/>
      <c r="AIY98" s="58"/>
      <c r="AIZ98" s="58"/>
      <c r="AJA98" s="58"/>
      <c r="AJB98" s="58"/>
      <c r="AJC98" s="58"/>
      <c r="AJD98" s="58"/>
      <c r="AJE98" s="58"/>
      <c r="AJF98" s="58"/>
      <c r="AJG98" s="58"/>
      <c r="AJH98" s="58"/>
      <c r="AJI98" s="58"/>
      <c r="AJJ98" s="58"/>
      <c r="AJK98" s="58"/>
      <c r="AJL98" s="58"/>
      <c r="AJM98" s="58"/>
      <c r="AJN98" s="58"/>
      <c r="AJO98" s="58"/>
      <c r="AJP98" s="58"/>
      <c r="AJQ98" s="58"/>
      <c r="AJR98" s="58"/>
      <c r="AJS98" s="58"/>
      <c r="AJT98" s="58"/>
      <c r="AJU98" s="58"/>
      <c r="AJV98" s="58"/>
      <c r="AJW98" s="58"/>
      <c r="AJX98" s="58"/>
      <c r="AJY98" s="58"/>
      <c r="AJZ98" s="58"/>
      <c r="AKA98" s="58"/>
      <c r="AKB98" s="58"/>
      <c r="AKC98" s="58"/>
      <c r="AKD98" s="58"/>
      <c r="AKE98" s="58"/>
      <c r="AKF98" s="58"/>
      <c r="AKG98" s="58"/>
      <c r="AKH98" s="58"/>
      <c r="AKI98" s="58"/>
      <c r="AKJ98" s="58"/>
      <c r="AKK98" s="58"/>
      <c r="AKL98" s="58"/>
      <c r="AKM98" s="58"/>
      <c r="AKN98" s="58"/>
      <c r="AKO98" s="58"/>
      <c r="AKP98" s="58"/>
      <c r="AKQ98" s="58"/>
      <c r="AKR98" s="58"/>
      <c r="AKS98" s="58"/>
      <c r="AKT98" s="58"/>
      <c r="AKU98" s="58"/>
      <c r="AKV98" s="58"/>
      <c r="AKW98" s="58"/>
      <c r="AKX98" s="58"/>
      <c r="AKY98" s="58"/>
      <c r="AKZ98" s="58"/>
      <c r="ALA98" s="58"/>
      <c r="ALB98" s="58"/>
      <c r="ALC98" s="58"/>
      <c r="ALD98" s="58"/>
      <c r="ALE98" s="58"/>
      <c r="ALF98" s="58"/>
      <c r="ALG98" s="58"/>
      <c r="ALH98" s="58"/>
      <c r="ALI98" s="58"/>
      <c r="ALJ98" s="58"/>
      <c r="ALK98" s="58"/>
      <c r="ALL98" s="58"/>
      <c r="ALM98" s="58"/>
      <c r="ALN98" s="58"/>
      <c r="ALO98" s="58"/>
      <c r="ALP98" s="58"/>
      <c r="ALQ98" s="58"/>
      <c r="ALR98" s="58"/>
      <c r="ALS98" s="58"/>
      <c r="ALT98" s="58"/>
      <c r="ALU98" s="58"/>
      <c r="ALV98" s="58"/>
      <c r="ALW98" s="58"/>
      <c r="ALX98" s="58"/>
      <c r="ALY98" s="58"/>
      <c r="ALZ98" s="58"/>
      <c r="AMA98" s="58"/>
      <c r="AMB98" s="58"/>
      <c r="AMC98" s="58"/>
      <c r="AMD98" s="58"/>
      <c r="AME98" s="58"/>
      <c r="AMF98" s="58"/>
      <c r="AMG98" s="58"/>
      <c r="AMH98" s="58"/>
      <c r="AMI98" s="58"/>
      <c r="AMJ98" s="58"/>
      <c r="AMK98" s="58"/>
      <c r="AML98" s="58"/>
      <c r="AMM98" s="58"/>
      <c r="AMN98" s="58"/>
      <c r="AMO98" s="58"/>
      <c r="AMP98" s="58"/>
      <c r="AMQ98" s="58"/>
      <c r="AMR98" s="58"/>
      <c r="AMS98" s="58"/>
      <c r="AMT98" s="58"/>
      <c r="AMU98" s="58"/>
      <c r="AMV98" s="58"/>
      <c r="AMW98" s="58"/>
      <c r="AMX98" s="58"/>
      <c r="AMY98" s="58"/>
      <c r="AMZ98" s="58"/>
      <c r="ANA98" s="58"/>
      <c r="ANB98" s="58"/>
      <c r="ANC98" s="58"/>
      <c r="AND98" s="58"/>
      <c r="ANE98" s="58"/>
      <c r="ANF98" s="58"/>
      <c r="ANG98" s="58"/>
      <c r="ANH98" s="58"/>
      <c r="ANI98" s="58"/>
      <c r="ANJ98" s="58"/>
      <c r="ANK98" s="58"/>
      <c r="ANL98" s="58"/>
      <c r="ANM98" s="58"/>
      <c r="ANN98" s="58"/>
      <c r="ANO98" s="58"/>
      <c r="ANP98" s="58"/>
      <c r="ANQ98" s="58"/>
      <c r="ANR98" s="58"/>
      <c r="ANS98" s="58"/>
      <c r="ANT98" s="58"/>
      <c r="ANU98" s="58"/>
      <c r="ANV98" s="58"/>
      <c r="ANW98" s="58"/>
      <c r="ANX98" s="58"/>
      <c r="ANY98" s="58"/>
      <c r="ANZ98" s="58"/>
      <c r="AOA98" s="58"/>
      <c r="AOB98" s="58"/>
      <c r="AOC98" s="58"/>
      <c r="AOD98" s="58"/>
      <c r="AOE98" s="58"/>
      <c r="AOF98" s="58"/>
      <c r="AOG98" s="58"/>
      <c r="AOH98" s="58"/>
      <c r="AOI98" s="58"/>
      <c r="AOJ98" s="58"/>
      <c r="AOK98" s="58"/>
      <c r="AOL98" s="58"/>
      <c r="AOM98" s="58"/>
      <c r="AON98" s="58"/>
      <c r="AOO98" s="58"/>
      <c r="AOP98" s="58"/>
      <c r="AOQ98" s="58"/>
      <c r="AOR98" s="58"/>
      <c r="AOS98" s="58"/>
      <c r="AOT98" s="58"/>
      <c r="AOU98" s="58"/>
      <c r="AOV98" s="58"/>
      <c r="AOW98" s="58"/>
      <c r="AOX98" s="58"/>
      <c r="AOY98" s="58"/>
      <c r="AOZ98" s="58"/>
      <c r="APA98" s="58"/>
      <c r="APB98" s="58"/>
      <c r="APC98" s="58"/>
      <c r="APD98" s="58"/>
      <c r="APE98" s="58"/>
      <c r="APF98" s="58"/>
      <c r="APG98" s="58"/>
      <c r="APH98" s="58"/>
      <c r="API98" s="58"/>
      <c r="APJ98" s="58"/>
      <c r="APK98" s="58"/>
      <c r="APL98" s="58"/>
      <c r="APM98" s="58"/>
      <c r="APN98" s="58"/>
      <c r="APO98" s="58"/>
      <c r="APP98" s="58"/>
      <c r="APQ98" s="58"/>
      <c r="APR98" s="58"/>
      <c r="APS98" s="58"/>
      <c r="APT98" s="58"/>
      <c r="APU98" s="58"/>
      <c r="APV98" s="58"/>
      <c r="APW98" s="58"/>
      <c r="APX98" s="58"/>
      <c r="APY98" s="58"/>
      <c r="APZ98" s="58"/>
      <c r="AQA98" s="58"/>
      <c r="AQB98" s="58"/>
      <c r="AQC98" s="58"/>
      <c r="AQD98" s="58"/>
      <c r="AQE98" s="58"/>
      <c r="AQF98" s="58"/>
      <c r="AQG98" s="58"/>
      <c r="AQH98" s="58"/>
      <c r="AQI98" s="58"/>
      <c r="AQJ98" s="58"/>
      <c r="AQK98" s="58"/>
      <c r="AQL98" s="58"/>
      <c r="AQM98" s="58"/>
      <c r="AQN98" s="58"/>
      <c r="AQO98" s="58"/>
      <c r="AQP98" s="58"/>
      <c r="AQQ98" s="58"/>
      <c r="AQR98" s="58"/>
      <c r="AQS98" s="58"/>
      <c r="AQT98" s="58"/>
      <c r="AQU98" s="58"/>
      <c r="AQV98" s="58"/>
      <c r="AQW98" s="58"/>
      <c r="AQX98" s="58"/>
      <c r="AQY98" s="58"/>
      <c r="AQZ98" s="58"/>
      <c r="ARA98" s="58"/>
      <c r="ARB98" s="58"/>
      <c r="ARC98" s="58"/>
      <c r="ARD98" s="58"/>
      <c r="ARE98" s="58"/>
      <c r="ARF98" s="58"/>
      <c r="ARG98" s="58"/>
      <c r="ARH98" s="58"/>
      <c r="ARI98" s="58"/>
      <c r="ARJ98" s="58"/>
      <c r="ARK98" s="58"/>
      <c r="ARL98" s="58"/>
      <c r="ARM98" s="58"/>
      <c r="ARN98" s="58"/>
      <c r="ARO98" s="58"/>
      <c r="ARP98" s="58"/>
      <c r="ARQ98" s="58"/>
      <c r="ARR98" s="58"/>
      <c r="ARS98" s="58"/>
      <c r="ART98" s="58"/>
      <c r="ARU98" s="58"/>
      <c r="ARV98" s="58"/>
      <c r="ARW98" s="58"/>
      <c r="ARX98" s="58"/>
      <c r="ARY98" s="58"/>
      <c r="ARZ98" s="58"/>
      <c r="ASA98" s="58"/>
      <c r="ASB98" s="58"/>
      <c r="ASC98" s="58"/>
      <c r="ASD98" s="58"/>
      <c r="ASE98" s="58"/>
      <c r="ASF98" s="58"/>
      <c r="ASG98" s="58"/>
      <c r="ASH98" s="58"/>
      <c r="ASI98" s="58"/>
      <c r="ASJ98" s="58"/>
      <c r="ASK98" s="58"/>
      <c r="ASL98" s="58"/>
      <c r="ASM98" s="58"/>
      <c r="ASN98" s="58"/>
      <c r="ASO98" s="58"/>
      <c r="ASP98" s="58"/>
      <c r="ASQ98" s="58"/>
      <c r="ASR98" s="58"/>
      <c r="ASS98" s="58"/>
      <c r="AST98" s="58"/>
      <c r="ASU98" s="58"/>
      <c r="ASV98" s="58"/>
      <c r="ASW98" s="58"/>
      <c r="ASX98" s="58"/>
      <c r="ASY98" s="58"/>
      <c r="ASZ98" s="58"/>
      <c r="ATA98" s="58"/>
      <c r="ATB98" s="58"/>
      <c r="ATC98" s="58"/>
      <c r="ATD98" s="58"/>
      <c r="ATE98" s="58"/>
      <c r="ATF98" s="58"/>
      <c r="ATG98" s="58"/>
      <c r="ATH98" s="58"/>
      <c r="ATI98" s="58"/>
      <c r="ATJ98" s="58"/>
      <c r="ATK98" s="58"/>
      <c r="ATL98" s="58"/>
      <c r="ATM98" s="58"/>
      <c r="ATN98" s="58"/>
      <c r="ATO98" s="58"/>
      <c r="ATP98" s="58"/>
      <c r="ATQ98" s="58"/>
      <c r="ATR98" s="58"/>
      <c r="ATS98" s="58"/>
      <c r="ATT98" s="58"/>
      <c r="ATU98" s="58"/>
      <c r="ATV98" s="58"/>
      <c r="ATW98" s="58"/>
      <c r="ATX98" s="58"/>
      <c r="ATY98" s="58"/>
      <c r="ATZ98" s="58"/>
      <c r="AUA98" s="58"/>
      <c r="AUB98" s="58"/>
      <c r="AUC98" s="58"/>
      <c r="AUD98" s="58"/>
      <c r="AUE98" s="58"/>
      <c r="AUF98" s="58"/>
      <c r="AUG98" s="58"/>
      <c r="AUH98" s="58"/>
      <c r="AUI98" s="58"/>
      <c r="AUJ98" s="58"/>
      <c r="AUK98" s="58"/>
      <c r="AUL98" s="58"/>
      <c r="AUM98" s="58"/>
      <c r="AUN98" s="58"/>
      <c r="AUO98" s="58"/>
      <c r="AUP98" s="58"/>
      <c r="AUQ98" s="58"/>
      <c r="AUR98" s="58"/>
      <c r="AUS98" s="58"/>
      <c r="AUT98" s="58"/>
      <c r="AUU98" s="58"/>
      <c r="AUV98" s="58"/>
      <c r="AUW98" s="58"/>
      <c r="AUX98" s="58"/>
      <c r="AUY98" s="58"/>
      <c r="AUZ98" s="58"/>
      <c r="AVA98" s="58"/>
      <c r="AVB98" s="58"/>
      <c r="AVC98" s="58"/>
      <c r="AVD98" s="58"/>
      <c r="AVE98" s="58"/>
      <c r="AVF98" s="58"/>
      <c r="AVG98" s="58"/>
      <c r="AVH98" s="58"/>
      <c r="AVI98" s="58"/>
      <c r="AVJ98" s="58"/>
      <c r="AVK98" s="58"/>
      <c r="AVL98" s="58"/>
      <c r="AVM98" s="58"/>
      <c r="AVN98" s="58"/>
      <c r="AVO98" s="58"/>
      <c r="AVP98" s="58"/>
      <c r="AVQ98" s="58"/>
      <c r="AVR98" s="58"/>
      <c r="AVS98" s="58"/>
      <c r="AVT98" s="58"/>
      <c r="AVU98" s="58"/>
      <c r="AVV98" s="58"/>
      <c r="AVW98" s="58"/>
      <c r="AVX98" s="58"/>
      <c r="AVY98" s="58"/>
      <c r="AVZ98" s="58"/>
      <c r="AWA98" s="58"/>
      <c r="AWB98" s="58"/>
      <c r="AWC98" s="58"/>
      <c r="AWD98" s="58"/>
      <c r="AWE98" s="58"/>
      <c r="AWF98" s="58"/>
      <c r="AWG98" s="58"/>
      <c r="AWH98" s="58"/>
      <c r="AWI98" s="58"/>
      <c r="AWJ98" s="58"/>
      <c r="AWK98" s="58"/>
      <c r="AWL98" s="58"/>
      <c r="AWM98" s="58"/>
      <c r="AWN98" s="58"/>
      <c r="AWO98" s="58"/>
      <c r="AWP98" s="58"/>
      <c r="AWQ98" s="58"/>
      <c r="AWR98" s="58"/>
      <c r="AWS98" s="58"/>
      <c r="AWT98" s="58"/>
      <c r="AWU98" s="58"/>
      <c r="AWV98" s="58"/>
      <c r="AWW98" s="58"/>
      <c r="AWX98" s="58"/>
      <c r="AWY98" s="58"/>
      <c r="AWZ98" s="58"/>
      <c r="AXA98" s="58"/>
      <c r="AXB98" s="58"/>
      <c r="AXC98" s="58"/>
      <c r="AXD98" s="58"/>
      <c r="AXE98" s="58"/>
      <c r="AXF98" s="58"/>
      <c r="AXG98" s="58"/>
      <c r="AXH98" s="58"/>
      <c r="AXI98" s="58"/>
      <c r="AXJ98" s="58"/>
      <c r="AXK98" s="58"/>
      <c r="AXL98" s="58"/>
      <c r="AXM98" s="58"/>
      <c r="AXN98" s="58"/>
      <c r="AXO98" s="58"/>
      <c r="AXP98" s="58"/>
      <c r="AXQ98" s="58"/>
      <c r="AXR98" s="58"/>
      <c r="AXS98" s="58"/>
      <c r="AXT98" s="58"/>
      <c r="AXU98" s="58"/>
      <c r="AXV98" s="58"/>
      <c r="AXW98" s="58"/>
      <c r="AXX98" s="58"/>
      <c r="AXY98" s="58"/>
      <c r="AXZ98" s="58"/>
      <c r="AYA98" s="58"/>
      <c r="AYB98" s="58"/>
      <c r="AYC98" s="58"/>
      <c r="AYD98" s="58"/>
      <c r="AYE98" s="58"/>
      <c r="AYF98" s="58"/>
      <c r="AYG98" s="58"/>
      <c r="AYH98" s="58"/>
      <c r="AYI98" s="58"/>
      <c r="AYJ98" s="58"/>
      <c r="AYK98" s="58"/>
      <c r="AYL98" s="58"/>
      <c r="AYM98" s="58"/>
      <c r="AYN98" s="58"/>
      <c r="AYO98" s="58"/>
      <c r="AYP98" s="58"/>
      <c r="AYQ98" s="58"/>
      <c r="AYR98" s="58"/>
      <c r="AYS98" s="58"/>
      <c r="AYT98" s="58"/>
      <c r="AYU98" s="58"/>
      <c r="AYV98" s="58"/>
      <c r="AYW98" s="58"/>
      <c r="AYX98" s="58"/>
      <c r="AYY98" s="58"/>
      <c r="AYZ98" s="58"/>
      <c r="AZA98" s="58"/>
      <c r="AZB98" s="58"/>
      <c r="AZC98" s="58"/>
      <c r="AZD98" s="58"/>
      <c r="AZE98" s="58"/>
      <c r="AZF98" s="58"/>
      <c r="AZG98" s="58"/>
      <c r="AZH98" s="58"/>
      <c r="AZI98" s="58"/>
      <c r="AZJ98" s="58"/>
      <c r="AZK98" s="58"/>
      <c r="AZL98" s="58"/>
      <c r="AZM98" s="58"/>
      <c r="AZN98" s="58"/>
      <c r="AZO98" s="58"/>
      <c r="AZP98" s="58"/>
      <c r="AZQ98" s="58"/>
      <c r="AZR98" s="58"/>
      <c r="AZS98" s="58"/>
      <c r="AZT98" s="58"/>
      <c r="AZU98" s="58"/>
      <c r="AZV98" s="58"/>
      <c r="AZW98" s="58"/>
      <c r="AZX98" s="58"/>
      <c r="AZY98" s="58"/>
      <c r="AZZ98" s="58"/>
      <c r="BAA98" s="58"/>
      <c r="BAB98" s="58"/>
      <c r="BAC98" s="58"/>
      <c r="BAD98" s="58"/>
      <c r="BAE98" s="58"/>
      <c r="BAF98" s="58"/>
      <c r="BAG98" s="58"/>
      <c r="BAH98" s="58"/>
      <c r="BAI98" s="58"/>
      <c r="BAJ98" s="58"/>
      <c r="BAK98" s="58"/>
      <c r="BAL98" s="58"/>
      <c r="BAM98" s="58"/>
      <c r="BAN98" s="58"/>
      <c r="BAO98" s="58"/>
      <c r="BAP98" s="58"/>
      <c r="BAQ98" s="58"/>
      <c r="BAR98" s="58"/>
      <c r="BAS98" s="58"/>
      <c r="BAT98" s="58"/>
      <c r="BAU98" s="58"/>
      <c r="BAV98" s="58"/>
      <c r="BAW98" s="58"/>
      <c r="BAX98" s="58"/>
      <c r="BAY98" s="58"/>
      <c r="BAZ98" s="58"/>
      <c r="BBA98" s="58"/>
      <c r="BBB98" s="58"/>
      <c r="BBC98" s="58"/>
      <c r="BBD98" s="58"/>
      <c r="BBE98" s="58"/>
      <c r="BBF98" s="58"/>
      <c r="BBG98" s="58"/>
      <c r="BBH98" s="58"/>
      <c r="BBI98" s="58"/>
      <c r="BBJ98" s="58"/>
      <c r="BBK98" s="58"/>
      <c r="BBL98" s="58"/>
      <c r="BBM98" s="58"/>
      <c r="BBN98" s="58"/>
      <c r="BBO98" s="58"/>
      <c r="BBP98" s="58"/>
      <c r="BBQ98" s="58"/>
      <c r="BBR98" s="58"/>
      <c r="BBS98" s="58"/>
      <c r="BBT98" s="58"/>
      <c r="BBU98" s="58"/>
      <c r="BBV98" s="58"/>
      <c r="BBW98" s="58"/>
      <c r="BBX98" s="58"/>
      <c r="BBY98" s="58"/>
      <c r="BBZ98" s="58"/>
      <c r="BCA98" s="58"/>
      <c r="BCB98" s="58"/>
      <c r="BCC98" s="58"/>
      <c r="BCD98" s="58"/>
      <c r="BCE98" s="58"/>
      <c r="BCF98" s="58"/>
      <c r="BCG98" s="58"/>
      <c r="BCH98" s="58"/>
      <c r="BCI98" s="58"/>
      <c r="BCJ98" s="58"/>
      <c r="BCK98" s="58"/>
      <c r="BCL98" s="58"/>
      <c r="BCM98" s="58"/>
      <c r="BCN98" s="58"/>
      <c r="BCO98" s="58"/>
      <c r="BCP98" s="58"/>
      <c r="BCQ98" s="58"/>
      <c r="BCR98" s="58"/>
      <c r="BCS98" s="58"/>
      <c r="BCT98" s="58"/>
      <c r="BCU98" s="58"/>
      <c r="BCV98" s="58"/>
      <c r="BCW98" s="58"/>
      <c r="BCX98" s="58"/>
      <c r="BCY98" s="58"/>
      <c r="BCZ98" s="58"/>
      <c r="BDA98" s="58"/>
      <c r="BDB98" s="58"/>
      <c r="BDC98" s="58"/>
      <c r="BDD98" s="58"/>
      <c r="BDE98" s="58"/>
      <c r="BDF98" s="58"/>
      <c r="BDG98" s="58"/>
      <c r="BDH98" s="58"/>
      <c r="BDI98" s="58"/>
      <c r="BDJ98" s="58"/>
      <c r="BDK98" s="58"/>
      <c r="BDL98" s="58"/>
      <c r="BDM98" s="58"/>
      <c r="BDN98" s="58"/>
      <c r="BDO98" s="58"/>
      <c r="BDP98" s="58"/>
      <c r="BDQ98" s="58"/>
      <c r="BDR98" s="58"/>
      <c r="BDS98" s="58"/>
      <c r="BDT98" s="58"/>
      <c r="BDU98" s="58"/>
      <c r="BDV98" s="58"/>
      <c r="BDW98" s="58"/>
      <c r="BDX98" s="58"/>
      <c r="BDY98" s="58"/>
      <c r="BDZ98" s="58"/>
      <c r="BEA98" s="58"/>
      <c r="BEB98" s="58"/>
      <c r="BEC98" s="58"/>
      <c r="BED98" s="58"/>
      <c r="BEE98" s="58"/>
      <c r="BEF98" s="58"/>
      <c r="BEG98" s="58"/>
      <c r="BEH98" s="58"/>
      <c r="BEI98" s="58"/>
      <c r="BEJ98" s="58"/>
      <c r="BEK98" s="58"/>
      <c r="BEL98" s="58"/>
      <c r="BEM98" s="58"/>
      <c r="BEN98" s="58"/>
      <c r="BEO98" s="58"/>
      <c r="BEP98" s="58"/>
      <c r="BEQ98" s="58"/>
      <c r="BER98" s="58"/>
      <c r="BES98" s="58"/>
      <c r="BET98" s="58"/>
      <c r="BEU98" s="58"/>
      <c r="BEV98" s="58"/>
      <c r="BEW98" s="58"/>
      <c r="BEX98" s="58"/>
      <c r="BEY98" s="58"/>
      <c r="BEZ98" s="58"/>
      <c r="BFA98" s="58"/>
      <c r="BFB98" s="58"/>
      <c r="BFC98" s="58"/>
      <c r="BFD98" s="58"/>
      <c r="BFE98" s="58"/>
      <c r="BFF98" s="58"/>
      <c r="BFG98" s="58"/>
      <c r="BFH98" s="58"/>
      <c r="BFI98" s="58"/>
      <c r="BFJ98" s="58"/>
      <c r="BFK98" s="58"/>
      <c r="BFL98" s="58"/>
      <c r="BFM98" s="58"/>
      <c r="BFN98" s="58"/>
      <c r="BFO98" s="58"/>
      <c r="BFP98" s="58"/>
      <c r="BFQ98" s="58"/>
      <c r="BFR98" s="58"/>
      <c r="BFS98" s="58"/>
      <c r="BFT98" s="58"/>
      <c r="BFU98" s="58"/>
      <c r="BFV98" s="58"/>
      <c r="BFW98" s="58"/>
      <c r="BFX98" s="58"/>
      <c r="BFY98" s="58"/>
      <c r="BFZ98" s="58"/>
      <c r="BGA98" s="58"/>
      <c r="BGB98" s="58"/>
      <c r="BGC98" s="58"/>
      <c r="BGD98" s="58"/>
      <c r="BGE98" s="58"/>
      <c r="BGF98" s="58"/>
      <c r="BGG98" s="58"/>
      <c r="BGH98" s="58"/>
      <c r="BGI98" s="58"/>
      <c r="BGJ98" s="58"/>
      <c r="BGK98" s="58"/>
      <c r="BGL98" s="58"/>
      <c r="BGM98" s="58"/>
      <c r="BGN98" s="58"/>
      <c r="BGO98" s="58"/>
      <c r="BGP98" s="58"/>
      <c r="BGQ98" s="58"/>
      <c r="BGR98" s="58"/>
      <c r="BGS98" s="58"/>
      <c r="BGT98" s="58"/>
      <c r="BGU98" s="58"/>
      <c r="BGV98" s="58"/>
      <c r="BGW98" s="58"/>
      <c r="BGX98" s="58"/>
      <c r="BGY98" s="58"/>
      <c r="BGZ98" s="58"/>
      <c r="BHA98" s="58"/>
      <c r="BHB98" s="58"/>
      <c r="BHC98" s="58"/>
      <c r="BHD98" s="58"/>
      <c r="BHE98" s="58"/>
      <c r="BHF98" s="58"/>
      <c r="BHG98" s="58"/>
      <c r="BHH98" s="58"/>
      <c r="BHI98" s="58"/>
      <c r="BHJ98" s="58"/>
      <c r="BHK98" s="58"/>
      <c r="BHL98" s="58"/>
      <c r="BHM98" s="58"/>
      <c r="BHN98" s="58"/>
      <c r="BHO98" s="58"/>
      <c r="BHP98" s="58"/>
      <c r="BHQ98" s="58"/>
      <c r="BHR98" s="58"/>
      <c r="BHS98" s="58"/>
      <c r="BHT98" s="58"/>
      <c r="BHU98" s="58"/>
      <c r="BHV98" s="58"/>
      <c r="BHW98" s="58"/>
      <c r="BHX98" s="58"/>
      <c r="BHY98" s="58"/>
      <c r="BHZ98" s="58"/>
      <c r="BIA98" s="58"/>
      <c r="BIB98" s="58"/>
      <c r="BIC98" s="58"/>
      <c r="BID98" s="58"/>
      <c r="BIE98" s="58"/>
      <c r="BIF98" s="58"/>
      <c r="BIG98" s="58"/>
      <c r="BIH98" s="58"/>
      <c r="BII98" s="58"/>
      <c r="BIJ98" s="58"/>
      <c r="BIK98" s="58"/>
      <c r="BIL98" s="58"/>
      <c r="BIM98" s="58"/>
      <c r="BIN98" s="58"/>
      <c r="BIO98" s="58"/>
      <c r="BIP98" s="58"/>
      <c r="BIQ98" s="58"/>
      <c r="BIR98" s="58"/>
      <c r="BIS98" s="58"/>
      <c r="BIT98" s="58"/>
      <c r="BIU98" s="58"/>
      <c r="BIV98" s="58"/>
      <c r="BIW98" s="58"/>
      <c r="BIX98" s="58"/>
      <c r="BIY98" s="58"/>
      <c r="BIZ98" s="58"/>
      <c r="BJA98" s="58"/>
      <c r="BJB98" s="58"/>
      <c r="BJC98" s="58"/>
      <c r="BJD98" s="58"/>
      <c r="BJE98" s="58"/>
      <c r="BJF98" s="58"/>
      <c r="BJG98" s="58"/>
      <c r="BJH98" s="58"/>
      <c r="BJI98" s="58"/>
      <c r="BJJ98" s="58"/>
      <c r="BJK98" s="58"/>
      <c r="BJL98" s="58"/>
      <c r="BJM98" s="58"/>
      <c r="BJN98" s="58"/>
      <c r="BJO98" s="58"/>
      <c r="BJP98" s="58"/>
      <c r="BJQ98" s="58"/>
      <c r="BJR98" s="58"/>
      <c r="BJS98" s="58"/>
      <c r="BJT98" s="58"/>
      <c r="BJU98" s="58"/>
      <c r="BJV98" s="58"/>
      <c r="BJW98" s="58"/>
      <c r="BJX98" s="58"/>
      <c r="BJY98" s="58"/>
      <c r="BJZ98" s="58"/>
      <c r="BKA98" s="58"/>
      <c r="BKB98" s="58"/>
      <c r="BKC98" s="58"/>
      <c r="BKD98" s="58"/>
      <c r="BKE98" s="58"/>
      <c r="BKF98" s="58"/>
      <c r="BKG98" s="58"/>
      <c r="BKH98" s="58"/>
      <c r="BKI98" s="58"/>
      <c r="BKJ98" s="58"/>
      <c r="BKK98" s="58"/>
      <c r="BKL98" s="58"/>
      <c r="BKM98" s="58"/>
      <c r="BKN98" s="58"/>
      <c r="BKO98" s="58"/>
      <c r="BKP98" s="58"/>
      <c r="BKQ98" s="58"/>
      <c r="BKR98" s="58"/>
      <c r="BKS98" s="58"/>
      <c r="BKT98" s="58"/>
      <c r="BKU98" s="58"/>
      <c r="BKV98" s="58"/>
      <c r="BKW98" s="58"/>
      <c r="BKX98" s="58"/>
      <c r="BKY98" s="58"/>
      <c r="BKZ98" s="58"/>
      <c r="BLA98" s="58"/>
      <c r="BLB98" s="58"/>
      <c r="BLC98" s="58"/>
      <c r="BLD98" s="58"/>
      <c r="BLE98" s="58"/>
      <c r="BLF98" s="58"/>
      <c r="BLG98" s="58"/>
      <c r="BLH98" s="58"/>
      <c r="BLI98" s="58"/>
      <c r="BLJ98" s="58"/>
      <c r="BLK98" s="58"/>
      <c r="BLL98" s="58"/>
      <c r="BLM98" s="58"/>
      <c r="BLN98" s="58"/>
      <c r="BLO98" s="58"/>
      <c r="BLP98" s="58"/>
      <c r="BLQ98" s="58"/>
      <c r="BLR98" s="58"/>
      <c r="BLS98" s="58"/>
      <c r="BLT98" s="58"/>
      <c r="BLU98" s="58"/>
      <c r="BLV98" s="58"/>
      <c r="BLW98" s="58"/>
      <c r="BLX98" s="58"/>
      <c r="BLY98" s="58"/>
      <c r="BLZ98" s="58"/>
      <c r="BMA98" s="58"/>
      <c r="BMB98" s="58"/>
      <c r="BMC98" s="58"/>
      <c r="BMD98" s="58"/>
      <c r="BME98" s="58"/>
      <c r="BMF98" s="58"/>
      <c r="BMG98" s="58"/>
      <c r="BMH98" s="58"/>
      <c r="BMI98" s="58"/>
      <c r="BMJ98" s="58"/>
      <c r="BMK98" s="58"/>
      <c r="BML98" s="58"/>
      <c r="BMM98" s="58"/>
      <c r="BMN98" s="58"/>
      <c r="BMO98" s="58"/>
      <c r="BMP98" s="58"/>
      <c r="BMQ98" s="58"/>
      <c r="BMR98" s="58"/>
      <c r="BMS98" s="58"/>
      <c r="BMT98" s="58"/>
      <c r="BMU98" s="58"/>
      <c r="BMV98" s="58"/>
      <c r="BMW98" s="58"/>
      <c r="BMX98" s="58"/>
      <c r="BMY98" s="58"/>
      <c r="BMZ98" s="58"/>
      <c r="BNA98" s="58"/>
      <c r="BNB98" s="58"/>
      <c r="BNC98" s="58"/>
      <c r="BND98" s="58"/>
      <c r="BNE98" s="58"/>
      <c r="BNF98" s="58"/>
      <c r="BNG98" s="58"/>
      <c r="BNH98" s="58"/>
      <c r="BNI98" s="58"/>
      <c r="BNJ98" s="58"/>
      <c r="BNK98" s="58"/>
      <c r="BNL98" s="58"/>
      <c r="BNM98" s="58"/>
      <c r="BNN98" s="58"/>
      <c r="BNO98" s="58"/>
      <c r="BNP98" s="58"/>
      <c r="BNQ98" s="58"/>
      <c r="BNR98" s="58"/>
      <c r="BNS98" s="58"/>
      <c r="BNT98" s="58"/>
      <c r="BNU98" s="58"/>
      <c r="BNV98" s="58"/>
      <c r="BNW98" s="58"/>
      <c r="BNX98" s="58"/>
      <c r="BNY98" s="58"/>
      <c r="BNZ98" s="58"/>
      <c r="BOA98" s="58"/>
      <c r="BOB98" s="58"/>
      <c r="BOC98" s="58"/>
      <c r="BOD98" s="58"/>
      <c r="BOE98" s="58"/>
      <c r="BOF98" s="58"/>
      <c r="BOG98" s="58"/>
      <c r="BOH98" s="58"/>
      <c r="BOI98" s="58"/>
      <c r="BOJ98" s="58"/>
      <c r="BOK98" s="58"/>
      <c r="BOL98" s="58"/>
      <c r="BOM98" s="58"/>
      <c r="BON98" s="58"/>
      <c r="BOO98" s="58"/>
      <c r="BOP98" s="58"/>
      <c r="BOQ98" s="58"/>
      <c r="BOR98" s="58"/>
      <c r="BOS98" s="58"/>
      <c r="BOT98" s="58"/>
      <c r="BOU98" s="58"/>
      <c r="BOV98" s="58"/>
      <c r="BOW98" s="58"/>
      <c r="BOX98" s="58"/>
      <c r="BOY98" s="58"/>
      <c r="BOZ98" s="58"/>
      <c r="BPA98" s="58"/>
      <c r="BPB98" s="58"/>
      <c r="BPC98" s="58"/>
      <c r="BPD98" s="58"/>
      <c r="BPE98" s="58"/>
      <c r="BPF98" s="58"/>
      <c r="BPG98" s="58"/>
      <c r="BPH98" s="58"/>
      <c r="BPI98" s="58"/>
      <c r="BPJ98" s="58"/>
      <c r="BPK98" s="58"/>
      <c r="BPL98" s="58"/>
      <c r="BPM98" s="58"/>
      <c r="BPN98" s="58"/>
      <c r="BPO98" s="58"/>
      <c r="BPP98" s="58"/>
      <c r="BPQ98" s="58"/>
      <c r="BPR98" s="58"/>
      <c r="BPS98" s="58"/>
      <c r="BPT98" s="58"/>
      <c r="BPU98" s="58"/>
      <c r="BPV98" s="58"/>
      <c r="BPW98" s="58"/>
      <c r="BPX98" s="58"/>
      <c r="BPY98" s="58"/>
      <c r="BPZ98" s="58"/>
      <c r="BQA98" s="58"/>
      <c r="BQB98" s="58"/>
      <c r="BQC98" s="58"/>
      <c r="BQD98" s="58"/>
      <c r="BQE98" s="58"/>
      <c r="BQF98" s="58"/>
      <c r="BQG98" s="58"/>
      <c r="BQH98" s="58"/>
      <c r="BQI98" s="58"/>
      <c r="BQJ98" s="58"/>
      <c r="BQK98" s="58"/>
      <c r="BQL98" s="58"/>
      <c r="BQM98" s="58"/>
      <c r="BQN98" s="58"/>
      <c r="BQO98" s="58"/>
      <c r="BQP98" s="58"/>
      <c r="BQQ98" s="58"/>
      <c r="BQR98" s="58"/>
      <c r="BQS98" s="58"/>
      <c r="BQT98" s="58"/>
      <c r="BQU98" s="58"/>
      <c r="BQV98" s="58"/>
      <c r="BQW98" s="58"/>
      <c r="BQX98" s="58"/>
      <c r="BQY98" s="58"/>
      <c r="BQZ98" s="58"/>
      <c r="BRA98" s="58"/>
      <c r="BRB98" s="58"/>
      <c r="BRC98" s="58"/>
      <c r="BRD98" s="58"/>
      <c r="BRE98" s="58"/>
      <c r="BRF98" s="58"/>
      <c r="BRG98" s="58"/>
      <c r="BRH98" s="58"/>
      <c r="BRI98" s="58"/>
      <c r="BRJ98" s="58"/>
      <c r="BRK98" s="58"/>
      <c r="BRL98" s="58"/>
      <c r="BRM98" s="58"/>
      <c r="BRN98" s="58"/>
      <c r="BRO98" s="58"/>
      <c r="BRP98" s="58"/>
      <c r="BRQ98" s="58"/>
      <c r="BRR98" s="58"/>
      <c r="BRS98" s="58"/>
      <c r="BRT98" s="58"/>
      <c r="BRU98" s="58"/>
      <c r="BRV98" s="58"/>
      <c r="BRW98" s="58"/>
      <c r="BRX98" s="58"/>
      <c r="BRY98" s="58"/>
      <c r="BRZ98" s="58"/>
      <c r="BSA98" s="58"/>
      <c r="BSB98" s="58"/>
      <c r="BSC98" s="58"/>
      <c r="BSD98" s="58"/>
      <c r="BSE98" s="58"/>
      <c r="BSF98" s="58"/>
      <c r="BSG98" s="58"/>
      <c r="BSH98" s="58"/>
      <c r="BSI98" s="58"/>
      <c r="BSJ98" s="58"/>
      <c r="BSK98" s="58"/>
      <c r="BSL98" s="58"/>
      <c r="BSM98" s="58"/>
      <c r="BSN98" s="58"/>
      <c r="BSO98" s="58"/>
      <c r="BSP98" s="58"/>
      <c r="BSQ98" s="58"/>
      <c r="BSR98" s="58"/>
      <c r="BSS98" s="58"/>
      <c r="BST98" s="58"/>
      <c r="BSU98" s="58"/>
      <c r="BSV98" s="58"/>
      <c r="BSW98" s="58"/>
      <c r="BSX98" s="58"/>
      <c r="BSY98" s="58"/>
      <c r="BSZ98" s="58"/>
      <c r="BTA98" s="58"/>
      <c r="BTB98" s="58"/>
      <c r="BTC98" s="58"/>
      <c r="BTD98" s="58"/>
      <c r="BTE98" s="58"/>
      <c r="BTF98" s="58"/>
      <c r="BTG98" s="58"/>
      <c r="BTH98" s="58"/>
      <c r="BTI98" s="58"/>
      <c r="BTJ98" s="58"/>
      <c r="BTK98" s="58"/>
      <c r="BTL98" s="58"/>
      <c r="BTM98" s="58"/>
      <c r="BTN98" s="58"/>
      <c r="BTO98" s="58"/>
      <c r="BTP98" s="58"/>
      <c r="BTQ98" s="58"/>
      <c r="BTR98" s="58"/>
      <c r="BTS98" s="58"/>
      <c r="BTT98" s="58"/>
      <c r="BTU98" s="58"/>
      <c r="BTV98" s="58"/>
      <c r="BTW98" s="58"/>
      <c r="BTX98" s="58"/>
      <c r="BTY98" s="58"/>
      <c r="BTZ98" s="58"/>
      <c r="BUA98" s="58"/>
      <c r="BUB98" s="58"/>
      <c r="BUC98" s="58"/>
      <c r="BUD98" s="58"/>
      <c r="BUE98" s="58"/>
      <c r="BUF98" s="58"/>
      <c r="BUG98" s="58"/>
      <c r="BUH98" s="58"/>
      <c r="BUI98" s="58"/>
      <c r="BUJ98" s="58"/>
      <c r="BUK98" s="58"/>
      <c r="BUL98" s="58"/>
      <c r="BUM98" s="58"/>
      <c r="BUN98" s="58"/>
      <c r="BUO98" s="58"/>
      <c r="BUP98" s="58"/>
      <c r="BUQ98" s="58"/>
      <c r="BUR98" s="58"/>
      <c r="BUS98" s="58"/>
      <c r="BUT98" s="58"/>
      <c r="BUU98" s="58"/>
      <c r="BUV98" s="58"/>
      <c r="BUW98" s="58"/>
      <c r="BUX98" s="58"/>
      <c r="BUY98" s="58"/>
      <c r="BUZ98" s="58"/>
      <c r="BVA98" s="58"/>
      <c r="BVB98" s="58"/>
      <c r="BVC98" s="58"/>
      <c r="BVD98" s="58"/>
      <c r="BVE98" s="58"/>
      <c r="BVF98" s="58"/>
      <c r="BVG98" s="58"/>
      <c r="BVH98" s="58"/>
      <c r="BVI98" s="58"/>
      <c r="BVJ98" s="58"/>
      <c r="BVK98" s="58"/>
      <c r="BVL98" s="58"/>
      <c r="BVM98" s="58"/>
      <c r="BVN98" s="58"/>
      <c r="BVO98" s="58"/>
      <c r="BVP98" s="58"/>
      <c r="BVQ98" s="58"/>
      <c r="BVR98" s="58"/>
      <c r="BVS98" s="58"/>
      <c r="BVT98" s="58"/>
      <c r="BVU98" s="58"/>
      <c r="BVV98" s="58"/>
      <c r="BVW98" s="58"/>
      <c r="BVX98" s="58"/>
      <c r="BVY98" s="58"/>
      <c r="BVZ98" s="58"/>
      <c r="BWA98" s="58"/>
      <c r="BWB98" s="58"/>
      <c r="BWC98" s="58"/>
      <c r="BWD98" s="58"/>
      <c r="BWE98" s="58"/>
      <c r="BWF98" s="58"/>
      <c r="BWG98" s="58"/>
      <c r="BWH98" s="58"/>
      <c r="BWI98" s="58"/>
      <c r="BWJ98" s="58"/>
      <c r="BWK98" s="58"/>
      <c r="BWL98" s="58"/>
      <c r="BWM98" s="58"/>
      <c r="BWN98" s="58"/>
      <c r="BWO98" s="58"/>
      <c r="BWP98" s="58"/>
      <c r="BWQ98" s="58"/>
      <c r="BWR98" s="58"/>
      <c r="BWS98" s="58"/>
      <c r="BWT98" s="58"/>
      <c r="BWU98" s="58"/>
      <c r="BWV98" s="58"/>
      <c r="BWW98" s="58"/>
      <c r="BWX98" s="58"/>
      <c r="BWY98" s="58"/>
      <c r="BWZ98" s="58"/>
      <c r="BXA98" s="58"/>
      <c r="BXB98" s="58"/>
      <c r="BXC98" s="58"/>
      <c r="BXD98" s="58"/>
      <c r="BXE98" s="58"/>
      <c r="BXF98" s="58"/>
      <c r="BXG98" s="58"/>
      <c r="BXH98" s="58"/>
      <c r="BXI98" s="58"/>
      <c r="BXJ98" s="58"/>
      <c r="BXK98" s="58"/>
      <c r="BXL98" s="58"/>
      <c r="BXM98" s="58"/>
      <c r="BXN98" s="58"/>
      <c r="BXO98" s="58"/>
      <c r="BXP98" s="58"/>
      <c r="BXQ98" s="58"/>
      <c r="BXR98" s="58"/>
      <c r="BXS98" s="58"/>
      <c r="BXT98" s="58"/>
      <c r="BXU98" s="58"/>
      <c r="BXV98" s="58"/>
      <c r="BXW98" s="58"/>
      <c r="BXX98" s="58"/>
      <c r="BXY98" s="58"/>
      <c r="BXZ98" s="58"/>
      <c r="BYA98" s="58"/>
      <c r="BYB98" s="58"/>
      <c r="BYC98" s="58"/>
      <c r="BYD98" s="58"/>
      <c r="BYE98" s="58"/>
      <c r="BYF98" s="58"/>
      <c r="BYG98" s="58"/>
      <c r="BYH98" s="58"/>
      <c r="BYI98" s="58"/>
      <c r="BYJ98" s="58"/>
      <c r="BYK98" s="58"/>
      <c r="BYL98" s="58"/>
      <c r="BYM98" s="58"/>
      <c r="BYN98" s="58"/>
      <c r="BYO98" s="58"/>
      <c r="BYP98" s="58"/>
      <c r="BYQ98" s="58"/>
      <c r="BYR98" s="58"/>
      <c r="BYS98" s="58"/>
      <c r="BYT98" s="58"/>
      <c r="BYU98" s="58"/>
      <c r="BYV98" s="58"/>
      <c r="BYW98" s="58"/>
      <c r="BYX98" s="58"/>
      <c r="BYY98" s="58"/>
      <c r="BYZ98" s="58"/>
      <c r="BZA98" s="58"/>
      <c r="BZB98" s="58"/>
      <c r="BZC98" s="58"/>
      <c r="BZD98" s="58"/>
      <c r="BZE98" s="58"/>
      <c r="BZF98" s="58"/>
      <c r="BZG98" s="58"/>
      <c r="BZH98" s="58"/>
      <c r="BZI98" s="58"/>
      <c r="BZJ98" s="58"/>
      <c r="BZK98" s="58"/>
      <c r="BZL98" s="58"/>
      <c r="BZM98" s="58"/>
      <c r="BZN98" s="58"/>
      <c r="BZO98" s="58"/>
      <c r="BZP98" s="58"/>
      <c r="BZQ98" s="58"/>
      <c r="BZR98" s="58"/>
      <c r="BZS98" s="58"/>
      <c r="BZT98" s="58"/>
      <c r="BZU98" s="58"/>
      <c r="BZV98" s="58"/>
      <c r="BZW98" s="58"/>
      <c r="BZX98" s="58"/>
      <c r="BZY98" s="58"/>
      <c r="BZZ98" s="58"/>
      <c r="CAA98" s="58"/>
      <c r="CAB98" s="58"/>
      <c r="CAC98" s="58"/>
      <c r="CAD98" s="58"/>
      <c r="CAE98" s="58"/>
      <c r="CAF98" s="58"/>
      <c r="CAG98" s="58"/>
      <c r="CAH98" s="58"/>
      <c r="CAI98" s="58"/>
      <c r="CAJ98" s="58"/>
      <c r="CAK98" s="58"/>
      <c r="CAL98" s="58"/>
      <c r="CAM98" s="58"/>
      <c r="CAN98" s="58"/>
      <c r="CAO98" s="58"/>
      <c r="CAP98" s="58"/>
      <c r="CAQ98" s="58"/>
      <c r="CAR98" s="58"/>
      <c r="CAS98" s="58"/>
      <c r="CAT98" s="58"/>
      <c r="CAU98" s="58"/>
      <c r="CAV98" s="58"/>
      <c r="CAW98" s="58"/>
      <c r="CAX98" s="58"/>
      <c r="CAY98" s="58"/>
      <c r="CAZ98" s="58"/>
      <c r="CBA98" s="58"/>
      <c r="CBB98" s="58"/>
      <c r="CBC98" s="58"/>
      <c r="CBD98" s="58"/>
      <c r="CBE98" s="58"/>
      <c r="CBF98" s="58"/>
      <c r="CBG98" s="58"/>
      <c r="CBH98" s="58"/>
      <c r="CBI98" s="58"/>
      <c r="CBJ98" s="58"/>
      <c r="CBK98" s="58"/>
      <c r="CBL98" s="58"/>
      <c r="CBM98" s="58"/>
      <c r="CBN98" s="58"/>
      <c r="CBO98" s="58"/>
      <c r="CBP98" s="58"/>
      <c r="CBQ98" s="58"/>
      <c r="CBR98" s="58"/>
      <c r="CBS98" s="58"/>
      <c r="CBT98" s="58"/>
      <c r="CBU98" s="58"/>
      <c r="CBV98" s="58"/>
      <c r="CBW98" s="58"/>
      <c r="CBX98" s="58"/>
      <c r="CBY98" s="58"/>
      <c r="CBZ98" s="58"/>
      <c r="CCA98" s="58"/>
      <c r="CCB98" s="58"/>
      <c r="CCC98" s="58"/>
      <c r="CCD98" s="58"/>
      <c r="CCE98" s="58"/>
      <c r="CCF98" s="58"/>
      <c r="CCG98" s="58"/>
      <c r="CCH98" s="58"/>
      <c r="CCI98" s="58"/>
      <c r="CCJ98" s="58"/>
      <c r="CCK98" s="58"/>
      <c r="CCL98" s="58"/>
      <c r="CCM98" s="58"/>
      <c r="CCN98" s="58"/>
      <c r="CCO98" s="58"/>
      <c r="CCP98" s="58"/>
      <c r="CCQ98" s="58"/>
      <c r="CCR98" s="58"/>
      <c r="CCS98" s="58"/>
      <c r="CCT98" s="58"/>
      <c r="CCU98" s="58"/>
      <c r="CCV98" s="58"/>
      <c r="CCW98" s="58"/>
      <c r="CCX98" s="58"/>
      <c r="CCY98" s="58"/>
      <c r="CCZ98" s="58"/>
      <c r="CDA98" s="58"/>
      <c r="CDB98" s="58"/>
      <c r="CDC98" s="58"/>
      <c r="CDD98" s="58"/>
      <c r="CDE98" s="58"/>
      <c r="CDF98" s="58"/>
      <c r="CDG98" s="58"/>
      <c r="CDH98" s="58"/>
      <c r="CDI98" s="58"/>
      <c r="CDJ98" s="58"/>
      <c r="CDK98" s="58"/>
      <c r="CDL98" s="58"/>
      <c r="CDM98" s="58"/>
      <c r="CDN98" s="58"/>
      <c r="CDO98" s="58"/>
      <c r="CDP98" s="58"/>
      <c r="CDQ98" s="58"/>
      <c r="CDR98" s="58"/>
      <c r="CDS98" s="58"/>
      <c r="CDT98" s="58"/>
      <c r="CDU98" s="58"/>
      <c r="CDV98" s="58"/>
      <c r="CDW98" s="58"/>
      <c r="CDX98" s="58"/>
      <c r="CDY98" s="58"/>
      <c r="CDZ98" s="58"/>
      <c r="CEA98" s="58"/>
      <c r="CEB98" s="58"/>
      <c r="CEC98" s="58"/>
      <c r="CED98" s="58"/>
      <c r="CEE98" s="58"/>
      <c r="CEF98" s="58"/>
      <c r="CEG98" s="58"/>
      <c r="CEH98" s="58"/>
      <c r="CEI98" s="58"/>
      <c r="CEJ98" s="58"/>
      <c r="CEK98" s="58"/>
      <c r="CEL98" s="58"/>
      <c r="CEM98" s="58"/>
      <c r="CEN98" s="58"/>
      <c r="CEO98" s="58"/>
      <c r="CEP98" s="58"/>
      <c r="CEQ98" s="58"/>
      <c r="CER98" s="58"/>
      <c r="CES98" s="58"/>
      <c r="CET98" s="58"/>
      <c r="CEU98" s="58"/>
      <c r="CEV98" s="58"/>
      <c r="CEW98" s="58"/>
      <c r="CEX98" s="58"/>
      <c r="CEY98" s="58"/>
      <c r="CEZ98" s="58"/>
      <c r="CFA98" s="58"/>
      <c r="CFB98" s="58"/>
      <c r="CFC98" s="58"/>
      <c r="CFD98" s="58"/>
      <c r="CFE98" s="58"/>
      <c r="CFF98" s="58"/>
      <c r="CFG98" s="58"/>
      <c r="CFH98" s="58"/>
      <c r="CFI98" s="58"/>
      <c r="CFJ98" s="58"/>
      <c r="CFK98" s="58"/>
      <c r="CFL98" s="58"/>
      <c r="CFM98" s="58"/>
      <c r="CFN98" s="58"/>
      <c r="CFO98" s="58"/>
      <c r="CFP98" s="58"/>
      <c r="CFQ98" s="58"/>
      <c r="CFR98" s="58"/>
      <c r="CFS98" s="58"/>
      <c r="CFT98" s="58"/>
      <c r="CFU98" s="58"/>
      <c r="CFV98" s="58"/>
      <c r="CFW98" s="58"/>
      <c r="CFX98" s="58"/>
      <c r="CFY98" s="58"/>
      <c r="CFZ98" s="58"/>
      <c r="CGA98" s="58"/>
      <c r="CGB98" s="58"/>
      <c r="CGC98" s="58"/>
      <c r="CGD98" s="58"/>
      <c r="CGE98" s="58"/>
      <c r="CGF98" s="58"/>
      <c r="CGG98" s="58"/>
      <c r="CGH98" s="58"/>
      <c r="CGI98" s="58"/>
      <c r="CGJ98" s="58"/>
      <c r="CGK98" s="58"/>
      <c r="CGL98" s="58"/>
      <c r="CGM98" s="58"/>
      <c r="CGN98" s="58"/>
      <c r="CGO98" s="58"/>
      <c r="CGP98" s="58"/>
      <c r="CGQ98" s="58"/>
      <c r="CGR98" s="58"/>
      <c r="CGS98" s="58"/>
      <c r="CGT98" s="58"/>
      <c r="CGU98" s="58"/>
      <c r="CGV98" s="58"/>
      <c r="CGW98" s="58"/>
      <c r="CGX98" s="58"/>
      <c r="CGY98" s="58"/>
      <c r="CGZ98" s="58"/>
      <c r="CHA98" s="58"/>
      <c r="CHB98" s="58"/>
      <c r="CHC98" s="58"/>
      <c r="CHD98" s="58"/>
      <c r="CHE98" s="58"/>
      <c r="CHF98" s="58"/>
      <c r="CHG98" s="58"/>
      <c r="CHH98" s="58"/>
      <c r="CHI98" s="58"/>
      <c r="CHJ98" s="58"/>
      <c r="CHK98" s="58"/>
      <c r="CHL98" s="58"/>
      <c r="CHM98" s="58"/>
      <c r="CHN98" s="58"/>
      <c r="CHO98" s="58"/>
      <c r="CHP98" s="58"/>
      <c r="CHQ98" s="58"/>
      <c r="CHR98" s="58"/>
      <c r="CHS98" s="58"/>
      <c r="CHT98" s="58"/>
      <c r="CHU98" s="58"/>
      <c r="CHV98" s="58"/>
      <c r="CHW98" s="58"/>
      <c r="CHX98" s="58"/>
      <c r="CHY98" s="58"/>
      <c r="CHZ98" s="58"/>
      <c r="CIA98" s="58"/>
      <c r="CIB98" s="58"/>
      <c r="CIC98" s="58"/>
      <c r="CID98" s="58"/>
      <c r="CIE98" s="58"/>
      <c r="CIF98" s="58"/>
      <c r="CIG98" s="58"/>
      <c r="CIH98" s="58"/>
      <c r="CII98" s="58"/>
      <c r="CIJ98" s="58"/>
      <c r="CIK98" s="58"/>
      <c r="CIL98" s="58"/>
      <c r="CIM98" s="58"/>
      <c r="CIN98" s="58"/>
      <c r="CIO98" s="58"/>
      <c r="CIP98" s="58"/>
      <c r="CIQ98" s="58"/>
      <c r="CIR98" s="58"/>
      <c r="CIS98" s="58"/>
      <c r="CIT98" s="58"/>
      <c r="CIU98" s="58"/>
      <c r="CIV98" s="58"/>
      <c r="CIW98" s="58"/>
      <c r="CIX98" s="58"/>
      <c r="CIY98" s="58"/>
      <c r="CIZ98" s="58"/>
      <c r="CJA98" s="58"/>
      <c r="CJB98" s="58"/>
      <c r="CJC98" s="58"/>
      <c r="CJD98" s="58"/>
      <c r="CJE98" s="58"/>
      <c r="CJF98" s="58"/>
      <c r="CJG98" s="58"/>
      <c r="CJH98" s="58"/>
      <c r="CJI98" s="58"/>
      <c r="CJJ98" s="58"/>
      <c r="CJK98" s="58"/>
      <c r="CJL98" s="58"/>
      <c r="CJM98" s="58"/>
      <c r="CJN98" s="58"/>
      <c r="CJO98" s="58"/>
      <c r="CJP98" s="58"/>
      <c r="CJQ98" s="58"/>
      <c r="CJR98" s="58"/>
      <c r="CJS98" s="58"/>
      <c r="CJT98" s="58"/>
      <c r="CJU98" s="58"/>
      <c r="CJV98" s="58"/>
      <c r="CJW98" s="58"/>
      <c r="CJX98" s="58"/>
      <c r="CJY98" s="58"/>
      <c r="CJZ98" s="58"/>
      <c r="CKA98" s="58"/>
      <c r="CKB98" s="58"/>
      <c r="CKC98" s="58"/>
      <c r="CKD98" s="58"/>
      <c r="CKE98" s="58"/>
      <c r="CKF98" s="58"/>
      <c r="CKG98" s="58"/>
      <c r="CKH98" s="58"/>
      <c r="CKI98" s="58"/>
      <c r="CKJ98" s="58"/>
      <c r="CKK98" s="58"/>
      <c r="CKL98" s="58"/>
      <c r="CKM98" s="58"/>
      <c r="CKN98" s="58"/>
      <c r="CKO98" s="58"/>
      <c r="CKP98" s="58"/>
      <c r="CKQ98" s="58"/>
      <c r="CKR98" s="58"/>
      <c r="CKS98" s="58"/>
      <c r="CKT98" s="58"/>
      <c r="CKU98" s="58"/>
      <c r="CKV98" s="58"/>
      <c r="CKW98" s="58"/>
      <c r="CKX98" s="58"/>
      <c r="CKY98" s="58"/>
      <c r="CKZ98" s="58"/>
      <c r="CLA98" s="58"/>
      <c r="CLB98" s="58"/>
      <c r="CLC98" s="58"/>
      <c r="CLD98" s="58"/>
      <c r="CLE98" s="58"/>
      <c r="CLF98" s="58"/>
      <c r="CLG98" s="58"/>
      <c r="CLH98" s="58"/>
      <c r="CLI98" s="58"/>
      <c r="CLJ98" s="58"/>
      <c r="CLK98" s="58"/>
      <c r="CLL98" s="58"/>
      <c r="CLM98" s="58"/>
      <c r="CLN98" s="58"/>
      <c r="CLO98" s="58"/>
      <c r="CLP98" s="58"/>
      <c r="CLQ98" s="58"/>
      <c r="CLR98" s="58"/>
      <c r="CLS98" s="58"/>
      <c r="CLT98" s="58"/>
      <c r="CLU98" s="58"/>
      <c r="CLV98" s="58"/>
      <c r="CLW98" s="58"/>
      <c r="CLX98" s="58"/>
      <c r="CLY98" s="58"/>
      <c r="CLZ98" s="58"/>
      <c r="CMA98" s="58"/>
      <c r="CMB98" s="58"/>
      <c r="CMC98" s="58"/>
      <c r="CMD98" s="58"/>
      <c r="CME98" s="58"/>
      <c r="CMF98" s="58"/>
      <c r="CMG98" s="58"/>
      <c r="CMH98" s="58"/>
      <c r="CMI98" s="58"/>
      <c r="CMJ98" s="58"/>
      <c r="CMK98" s="58"/>
      <c r="CML98" s="58"/>
      <c r="CMM98" s="58"/>
      <c r="CMN98" s="58"/>
      <c r="CMO98" s="58"/>
      <c r="CMP98" s="58"/>
      <c r="CMQ98" s="58"/>
      <c r="CMR98" s="58"/>
      <c r="CMS98" s="58"/>
      <c r="CMT98" s="58"/>
      <c r="CMU98" s="58"/>
      <c r="CMV98" s="58"/>
      <c r="CMW98" s="58"/>
      <c r="CMX98" s="58"/>
      <c r="CMY98" s="58"/>
      <c r="CMZ98" s="58"/>
      <c r="CNA98" s="58"/>
      <c r="CNB98" s="58"/>
      <c r="CNC98" s="58"/>
      <c r="CND98" s="58"/>
      <c r="CNE98" s="58"/>
      <c r="CNF98" s="58"/>
      <c r="CNG98" s="58"/>
      <c r="CNH98" s="58"/>
      <c r="CNI98" s="58"/>
      <c r="CNJ98" s="58"/>
      <c r="CNK98" s="58"/>
      <c r="CNL98" s="58"/>
      <c r="CNM98" s="58"/>
      <c r="CNN98" s="58"/>
      <c r="CNO98" s="58"/>
      <c r="CNP98" s="58"/>
      <c r="CNQ98" s="58"/>
      <c r="CNR98" s="58"/>
      <c r="CNS98" s="58"/>
      <c r="CNT98" s="58"/>
      <c r="CNU98" s="58"/>
      <c r="CNV98" s="58"/>
      <c r="CNW98" s="58"/>
      <c r="CNX98" s="58"/>
      <c r="CNY98" s="58"/>
      <c r="CNZ98" s="58"/>
      <c r="COA98" s="58"/>
      <c r="COB98" s="58"/>
      <c r="COC98" s="58"/>
      <c r="COD98" s="58"/>
      <c r="COE98" s="58"/>
      <c r="COF98" s="58"/>
      <c r="COG98" s="58"/>
      <c r="COH98" s="58"/>
      <c r="COI98" s="58"/>
      <c r="COJ98" s="58"/>
      <c r="COK98" s="58"/>
      <c r="COL98" s="58"/>
      <c r="COM98" s="58"/>
      <c r="CON98" s="58"/>
      <c r="COO98" s="58"/>
      <c r="COP98" s="58"/>
      <c r="COQ98" s="58"/>
      <c r="COR98" s="58"/>
      <c r="COS98" s="58"/>
      <c r="COT98" s="58"/>
      <c r="COU98" s="58"/>
      <c r="COV98" s="58"/>
      <c r="COW98" s="58"/>
      <c r="COX98" s="58"/>
      <c r="COY98" s="58"/>
      <c r="COZ98" s="58"/>
      <c r="CPA98" s="58"/>
      <c r="CPB98" s="58"/>
      <c r="CPC98" s="58"/>
      <c r="CPD98" s="58"/>
      <c r="CPE98" s="58"/>
      <c r="CPF98" s="58"/>
      <c r="CPG98" s="58"/>
      <c r="CPH98" s="58"/>
      <c r="CPI98" s="58"/>
      <c r="CPJ98" s="58"/>
      <c r="CPK98" s="58"/>
      <c r="CPL98" s="58"/>
      <c r="CPM98" s="58"/>
      <c r="CPN98" s="58"/>
      <c r="CPO98" s="58"/>
      <c r="CPP98" s="58"/>
      <c r="CPQ98" s="58"/>
      <c r="CPR98" s="58"/>
      <c r="CPS98" s="58"/>
      <c r="CPT98" s="58"/>
      <c r="CPU98" s="58"/>
      <c r="CPV98" s="58"/>
      <c r="CPW98" s="58"/>
      <c r="CPX98" s="58"/>
      <c r="CPY98" s="58"/>
      <c r="CPZ98" s="58"/>
      <c r="CQA98" s="58"/>
      <c r="CQB98" s="58"/>
      <c r="CQC98" s="58"/>
      <c r="CQD98" s="58"/>
      <c r="CQE98" s="58"/>
      <c r="CQF98" s="58"/>
      <c r="CQG98" s="58"/>
      <c r="CQH98" s="58"/>
      <c r="CQI98" s="58"/>
      <c r="CQJ98" s="58"/>
      <c r="CQK98" s="58"/>
      <c r="CQL98" s="58"/>
      <c r="CQM98" s="58"/>
      <c r="CQN98" s="58"/>
      <c r="CQO98" s="58"/>
      <c r="CQP98" s="58"/>
      <c r="CQQ98" s="58"/>
      <c r="CQR98" s="58"/>
      <c r="CQS98" s="58"/>
      <c r="CQT98" s="58"/>
      <c r="CQU98" s="58"/>
      <c r="CQV98" s="58"/>
      <c r="CQW98" s="58"/>
      <c r="CQX98" s="58"/>
      <c r="CQY98" s="58"/>
      <c r="CQZ98" s="58"/>
      <c r="CRA98" s="58"/>
      <c r="CRB98" s="58"/>
      <c r="CRC98" s="58"/>
      <c r="CRD98" s="58"/>
      <c r="CRE98" s="58"/>
      <c r="CRF98" s="58"/>
      <c r="CRG98" s="58"/>
      <c r="CRH98" s="58"/>
      <c r="CRI98" s="58"/>
      <c r="CRJ98" s="58"/>
      <c r="CRK98" s="58"/>
      <c r="CRL98" s="58"/>
      <c r="CRM98" s="58"/>
      <c r="CRN98" s="58"/>
      <c r="CRO98" s="58"/>
      <c r="CRP98" s="58"/>
      <c r="CRQ98" s="58"/>
      <c r="CRR98" s="58"/>
      <c r="CRS98" s="58"/>
      <c r="CRT98" s="58"/>
      <c r="CRU98" s="58"/>
      <c r="CRV98" s="58"/>
      <c r="CRW98" s="58"/>
      <c r="CRX98" s="58"/>
      <c r="CRY98" s="58"/>
      <c r="CRZ98" s="58"/>
      <c r="CSA98" s="58"/>
      <c r="CSB98" s="58"/>
      <c r="CSC98" s="58"/>
      <c r="CSD98" s="58"/>
      <c r="CSE98" s="58"/>
      <c r="CSF98" s="58"/>
      <c r="CSG98" s="58"/>
      <c r="CSH98" s="58"/>
      <c r="CSI98" s="58"/>
      <c r="CSJ98" s="58"/>
      <c r="CSK98" s="58"/>
      <c r="CSL98" s="58"/>
      <c r="CSM98" s="58"/>
      <c r="CSN98" s="58"/>
      <c r="CSO98" s="58"/>
      <c r="CSP98" s="58"/>
      <c r="CSQ98" s="58"/>
      <c r="CSR98" s="58"/>
      <c r="CSS98" s="58"/>
      <c r="CST98" s="58"/>
      <c r="CSU98" s="58"/>
      <c r="CSV98" s="58"/>
      <c r="CSW98" s="58"/>
      <c r="CSX98" s="58"/>
      <c r="CSY98" s="58"/>
      <c r="CSZ98" s="58"/>
      <c r="CTA98" s="58"/>
      <c r="CTB98" s="58"/>
      <c r="CTC98" s="58"/>
      <c r="CTD98" s="58"/>
      <c r="CTE98" s="58"/>
      <c r="CTF98" s="58"/>
      <c r="CTG98" s="58"/>
      <c r="CTH98" s="58"/>
      <c r="CTI98" s="58"/>
      <c r="CTJ98" s="58"/>
      <c r="CTK98" s="58"/>
      <c r="CTL98" s="58"/>
      <c r="CTM98" s="58"/>
      <c r="CTN98" s="58"/>
      <c r="CTO98" s="58"/>
      <c r="CTP98" s="58"/>
      <c r="CTQ98" s="58"/>
      <c r="CTR98" s="58"/>
      <c r="CTS98" s="58"/>
      <c r="CTT98" s="58"/>
      <c r="CTU98" s="58"/>
      <c r="CTV98" s="58"/>
      <c r="CTW98" s="58"/>
      <c r="CTX98" s="58"/>
      <c r="CTY98" s="58"/>
      <c r="CTZ98" s="58"/>
      <c r="CUA98" s="58"/>
      <c r="CUB98" s="58"/>
      <c r="CUC98" s="58"/>
      <c r="CUD98" s="58"/>
      <c r="CUE98" s="58"/>
      <c r="CUF98" s="58"/>
      <c r="CUG98" s="58"/>
      <c r="CUH98" s="58"/>
      <c r="CUI98" s="58"/>
      <c r="CUJ98" s="58"/>
      <c r="CUK98" s="58"/>
      <c r="CUL98" s="58"/>
      <c r="CUM98" s="58"/>
      <c r="CUN98" s="58"/>
      <c r="CUO98" s="58"/>
      <c r="CUP98" s="58"/>
      <c r="CUQ98" s="58"/>
      <c r="CUR98" s="58"/>
      <c r="CUS98" s="58"/>
      <c r="CUT98" s="58"/>
      <c r="CUU98" s="58"/>
      <c r="CUV98" s="58"/>
      <c r="CUW98" s="58"/>
      <c r="CUX98" s="58"/>
      <c r="CUY98" s="58"/>
      <c r="CUZ98" s="58"/>
      <c r="CVA98" s="58"/>
      <c r="CVB98" s="58"/>
      <c r="CVC98" s="58"/>
      <c r="CVD98" s="58"/>
      <c r="CVE98" s="58"/>
      <c r="CVF98" s="58"/>
      <c r="CVG98" s="58"/>
      <c r="CVH98" s="58"/>
      <c r="CVI98" s="58"/>
      <c r="CVJ98" s="58"/>
      <c r="CVK98" s="58"/>
      <c r="CVL98" s="58"/>
      <c r="CVM98" s="58"/>
      <c r="CVN98" s="58"/>
      <c r="CVO98" s="58"/>
      <c r="CVP98" s="58"/>
      <c r="CVQ98" s="58"/>
      <c r="CVR98" s="58"/>
      <c r="CVS98" s="58"/>
      <c r="CVT98" s="58"/>
      <c r="CVU98" s="58"/>
      <c r="CVV98" s="58"/>
      <c r="CVW98" s="58"/>
      <c r="CVX98" s="58"/>
      <c r="CVY98" s="58"/>
      <c r="CVZ98" s="58"/>
      <c r="CWA98" s="58"/>
      <c r="CWB98" s="58"/>
      <c r="CWC98" s="58"/>
      <c r="CWD98" s="58"/>
      <c r="CWE98" s="58"/>
      <c r="CWF98" s="58"/>
      <c r="CWG98" s="58"/>
      <c r="CWH98" s="58"/>
      <c r="CWI98" s="58"/>
      <c r="CWJ98" s="58"/>
      <c r="CWK98" s="58"/>
      <c r="CWL98" s="58"/>
      <c r="CWM98" s="58"/>
      <c r="CWN98" s="58"/>
      <c r="CWO98" s="58"/>
      <c r="CWP98" s="58"/>
      <c r="CWQ98" s="58"/>
      <c r="CWR98" s="58"/>
      <c r="CWS98" s="58"/>
      <c r="CWT98" s="58"/>
      <c r="CWU98" s="58"/>
      <c r="CWV98" s="58"/>
      <c r="CWW98" s="58"/>
      <c r="CWX98" s="58"/>
      <c r="CWY98" s="58"/>
      <c r="CWZ98" s="58"/>
      <c r="CXA98" s="58"/>
      <c r="CXB98" s="58"/>
      <c r="CXC98" s="58"/>
      <c r="CXD98" s="58"/>
      <c r="CXE98" s="58"/>
      <c r="CXF98" s="58"/>
      <c r="CXG98" s="58"/>
      <c r="CXH98" s="58"/>
      <c r="CXI98" s="58"/>
      <c r="CXJ98" s="58"/>
      <c r="CXK98" s="58"/>
      <c r="CXL98" s="58"/>
      <c r="CXM98" s="58"/>
      <c r="CXN98" s="58"/>
      <c r="CXO98" s="58"/>
      <c r="CXP98" s="58"/>
      <c r="CXQ98" s="58"/>
      <c r="CXR98" s="58"/>
      <c r="CXS98" s="58"/>
      <c r="CXT98" s="58"/>
      <c r="CXU98" s="58"/>
      <c r="CXV98" s="58"/>
      <c r="CXW98" s="58"/>
      <c r="CXX98" s="58"/>
      <c r="CXY98" s="58"/>
      <c r="CXZ98" s="58"/>
      <c r="CYA98" s="58"/>
      <c r="CYB98" s="58"/>
      <c r="CYC98" s="58"/>
      <c r="CYD98" s="58"/>
      <c r="CYE98" s="58"/>
      <c r="CYF98" s="58"/>
      <c r="CYG98" s="58"/>
      <c r="CYH98" s="58"/>
      <c r="CYI98" s="58"/>
      <c r="CYJ98" s="58"/>
      <c r="CYK98" s="58"/>
      <c r="CYL98" s="58"/>
      <c r="CYM98" s="58"/>
      <c r="CYN98" s="58"/>
      <c r="CYO98" s="58"/>
      <c r="CYP98" s="58"/>
      <c r="CYQ98" s="58"/>
      <c r="CYR98" s="58"/>
      <c r="CYS98" s="58"/>
      <c r="CYT98" s="58"/>
      <c r="CYU98" s="58"/>
      <c r="CYV98" s="58"/>
      <c r="CYW98" s="58"/>
      <c r="CYX98" s="58"/>
      <c r="CYY98" s="58"/>
      <c r="CYZ98" s="58"/>
      <c r="CZA98" s="58"/>
      <c r="CZB98" s="58"/>
      <c r="CZC98" s="58"/>
      <c r="CZD98" s="58"/>
      <c r="CZE98" s="58"/>
      <c r="CZF98" s="58"/>
      <c r="CZG98" s="58"/>
      <c r="CZH98" s="58"/>
      <c r="CZI98" s="58"/>
      <c r="CZJ98" s="58"/>
      <c r="CZK98" s="58"/>
      <c r="CZL98" s="58"/>
      <c r="CZM98" s="58"/>
      <c r="CZN98" s="58"/>
      <c r="CZO98" s="58"/>
      <c r="CZP98" s="58"/>
      <c r="CZQ98" s="58"/>
      <c r="CZR98" s="58"/>
      <c r="CZS98" s="58"/>
      <c r="CZT98" s="58"/>
      <c r="CZU98" s="58"/>
      <c r="CZV98" s="58"/>
      <c r="CZW98" s="58"/>
      <c r="CZX98" s="58"/>
      <c r="CZY98" s="58"/>
      <c r="CZZ98" s="58"/>
      <c r="DAA98" s="58"/>
      <c r="DAB98" s="58"/>
      <c r="DAC98" s="58"/>
      <c r="DAD98" s="58"/>
      <c r="DAE98" s="58"/>
      <c r="DAF98" s="58"/>
      <c r="DAG98" s="58"/>
      <c r="DAH98" s="58"/>
      <c r="DAI98" s="58"/>
      <c r="DAJ98" s="58"/>
      <c r="DAK98" s="58"/>
      <c r="DAL98" s="58"/>
      <c r="DAM98" s="58"/>
      <c r="DAN98" s="58"/>
      <c r="DAO98" s="58"/>
      <c r="DAP98" s="58"/>
      <c r="DAQ98" s="58"/>
      <c r="DAR98" s="58"/>
      <c r="DAS98" s="58"/>
      <c r="DAT98" s="58"/>
      <c r="DAU98" s="58"/>
      <c r="DAV98" s="58"/>
      <c r="DAW98" s="58"/>
      <c r="DAX98" s="58"/>
      <c r="DAY98" s="58"/>
      <c r="DAZ98" s="58"/>
      <c r="DBA98" s="58"/>
      <c r="DBB98" s="58"/>
      <c r="DBC98" s="58"/>
      <c r="DBD98" s="58"/>
      <c r="DBE98" s="58"/>
      <c r="DBF98" s="58"/>
      <c r="DBG98" s="58"/>
      <c r="DBH98" s="58"/>
      <c r="DBI98" s="58"/>
      <c r="DBJ98" s="58"/>
      <c r="DBK98" s="58"/>
      <c r="DBL98" s="58"/>
      <c r="DBM98" s="58"/>
      <c r="DBN98" s="58"/>
      <c r="DBO98" s="58"/>
      <c r="DBP98" s="58"/>
      <c r="DBQ98" s="58"/>
      <c r="DBR98" s="58"/>
      <c r="DBS98" s="58"/>
      <c r="DBT98" s="58"/>
      <c r="DBU98" s="58"/>
      <c r="DBV98" s="58"/>
      <c r="DBW98" s="58"/>
      <c r="DBX98" s="58"/>
      <c r="DBY98" s="58"/>
      <c r="DBZ98" s="58"/>
      <c r="DCA98" s="58"/>
      <c r="DCB98" s="58"/>
      <c r="DCC98" s="58"/>
      <c r="DCD98" s="58"/>
      <c r="DCE98" s="58"/>
      <c r="DCF98" s="58"/>
      <c r="DCG98" s="58"/>
      <c r="DCH98" s="58"/>
      <c r="DCI98" s="58"/>
      <c r="DCJ98" s="58"/>
      <c r="DCK98" s="58"/>
      <c r="DCL98" s="58"/>
      <c r="DCM98" s="58"/>
      <c r="DCN98" s="58"/>
      <c r="DCO98" s="58"/>
      <c r="DCP98" s="58"/>
      <c r="DCQ98" s="58"/>
      <c r="DCR98" s="58"/>
      <c r="DCS98" s="58"/>
      <c r="DCT98" s="58"/>
      <c r="DCU98" s="58"/>
      <c r="DCV98" s="58"/>
      <c r="DCW98" s="58"/>
      <c r="DCX98" s="58"/>
      <c r="DCY98" s="58"/>
      <c r="DCZ98" s="58"/>
      <c r="DDA98" s="58"/>
      <c r="DDB98" s="58"/>
      <c r="DDC98" s="58"/>
      <c r="DDD98" s="58"/>
      <c r="DDE98" s="58"/>
      <c r="DDF98" s="58"/>
      <c r="DDG98" s="58"/>
      <c r="DDH98" s="58"/>
      <c r="DDI98" s="58"/>
      <c r="DDJ98" s="58"/>
      <c r="DDK98" s="58"/>
      <c r="DDL98" s="58"/>
      <c r="DDM98" s="58"/>
      <c r="DDN98" s="58"/>
      <c r="DDO98" s="58"/>
      <c r="DDP98" s="58"/>
      <c r="DDQ98" s="58"/>
      <c r="DDR98" s="58"/>
      <c r="DDS98" s="58"/>
      <c r="DDT98" s="58"/>
      <c r="DDU98" s="58"/>
      <c r="DDV98" s="58"/>
      <c r="DDW98" s="58"/>
      <c r="DDX98" s="58"/>
      <c r="DDY98" s="58"/>
      <c r="DDZ98" s="58"/>
      <c r="DEA98" s="58"/>
      <c r="DEB98" s="58"/>
      <c r="DEC98" s="58"/>
      <c r="DED98" s="58"/>
      <c r="DEE98" s="58"/>
      <c r="DEF98" s="58"/>
      <c r="DEG98" s="58"/>
      <c r="DEH98" s="58"/>
      <c r="DEI98" s="58"/>
      <c r="DEJ98" s="58"/>
      <c r="DEK98" s="58"/>
      <c r="DEL98" s="58"/>
      <c r="DEM98" s="58"/>
      <c r="DEN98" s="58"/>
      <c r="DEO98" s="58"/>
      <c r="DEP98" s="58"/>
      <c r="DEQ98" s="58"/>
      <c r="DER98" s="58"/>
      <c r="DES98" s="58"/>
      <c r="DET98" s="58"/>
      <c r="DEU98" s="58"/>
      <c r="DEV98" s="58"/>
      <c r="DEW98" s="58"/>
      <c r="DEX98" s="58"/>
      <c r="DEY98" s="58"/>
      <c r="DEZ98" s="58"/>
      <c r="DFA98" s="58"/>
      <c r="DFB98" s="58"/>
      <c r="DFC98" s="58"/>
      <c r="DFD98" s="58"/>
      <c r="DFE98" s="58"/>
      <c r="DFF98" s="58"/>
      <c r="DFG98" s="58"/>
      <c r="DFH98" s="58"/>
      <c r="DFI98" s="58"/>
      <c r="DFJ98" s="58"/>
      <c r="DFK98" s="58"/>
      <c r="DFL98" s="58"/>
      <c r="DFM98" s="58"/>
      <c r="DFN98" s="58"/>
      <c r="DFO98" s="58"/>
      <c r="DFP98" s="58"/>
      <c r="DFQ98" s="58"/>
      <c r="DFR98" s="58"/>
      <c r="DFS98" s="58"/>
      <c r="DFT98" s="58"/>
      <c r="DFU98" s="58"/>
      <c r="DFV98" s="58"/>
      <c r="DFW98" s="58"/>
      <c r="DFX98" s="58"/>
      <c r="DFY98" s="58"/>
      <c r="DFZ98" s="58"/>
      <c r="DGA98" s="58"/>
      <c r="DGB98" s="58"/>
      <c r="DGC98" s="58"/>
      <c r="DGD98" s="58"/>
      <c r="DGE98" s="58"/>
      <c r="DGF98" s="58"/>
      <c r="DGG98" s="58"/>
      <c r="DGH98" s="58"/>
      <c r="DGI98" s="58"/>
      <c r="DGJ98" s="58"/>
      <c r="DGK98" s="58"/>
      <c r="DGL98" s="58"/>
      <c r="DGM98" s="58"/>
      <c r="DGN98" s="58"/>
      <c r="DGO98" s="58"/>
      <c r="DGP98" s="58"/>
      <c r="DGQ98" s="58"/>
      <c r="DGR98" s="58"/>
      <c r="DGS98" s="58"/>
      <c r="DGT98" s="58"/>
      <c r="DGU98" s="58"/>
      <c r="DGV98" s="58"/>
      <c r="DGW98" s="58"/>
      <c r="DGX98" s="58"/>
      <c r="DGY98" s="58"/>
      <c r="DGZ98" s="58"/>
      <c r="DHA98" s="58"/>
      <c r="DHB98" s="58"/>
      <c r="DHC98" s="58"/>
      <c r="DHD98" s="58"/>
      <c r="DHE98" s="58"/>
      <c r="DHF98" s="58"/>
      <c r="DHG98" s="58"/>
      <c r="DHH98" s="58"/>
      <c r="DHI98" s="58"/>
      <c r="DHJ98" s="58"/>
      <c r="DHK98" s="58"/>
      <c r="DHL98" s="58"/>
      <c r="DHM98" s="58"/>
      <c r="DHN98" s="58"/>
      <c r="DHO98" s="58"/>
      <c r="DHP98" s="58"/>
      <c r="DHQ98" s="58"/>
      <c r="DHR98" s="58"/>
      <c r="DHS98" s="58"/>
      <c r="DHT98" s="58"/>
      <c r="DHU98" s="58"/>
      <c r="DHV98" s="58"/>
      <c r="DHW98" s="58"/>
      <c r="DHX98" s="58"/>
      <c r="DHY98" s="58"/>
      <c r="DHZ98" s="58"/>
      <c r="DIA98" s="58"/>
      <c r="DIB98" s="58"/>
      <c r="DIC98" s="58"/>
      <c r="DID98" s="58"/>
      <c r="DIE98" s="58"/>
      <c r="DIF98" s="58"/>
      <c r="DIG98" s="58"/>
      <c r="DIH98" s="58"/>
      <c r="DII98" s="58"/>
      <c r="DIJ98" s="58"/>
      <c r="DIK98" s="58"/>
      <c r="DIL98" s="58"/>
      <c r="DIM98" s="58"/>
      <c r="DIN98" s="58"/>
      <c r="DIO98" s="58"/>
      <c r="DIP98" s="58"/>
      <c r="DIQ98" s="58"/>
      <c r="DIR98" s="58"/>
      <c r="DIS98" s="58"/>
      <c r="DIT98" s="58"/>
      <c r="DIU98" s="58"/>
      <c r="DIV98" s="58"/>
      <c r="DIW98" s="58"/>
      <c r="DIX98" s="58"/>
      <c r="DIY98" s="58"/>
      <c r="DIZ98" s="58"/>
      <c r="DJA98" s="58"/>
      <c r="DJB98" s="58"/>
      <c r="DJC98" s="58"/>
      <c r="DJD98" s="58"/>
      <c r="DJE98" s="58"/>
      <c r="DJF98" s="58"/>
      <c r="DJG98" s="58"/>
      <c r="DJH98" s="58"/>
      <c r="DJI98" s="58"/>
      <c r="DJJ98" s="58"/>
      <c r="DJK98" s="58"/>
      <c r="DJL98" s="58"/>
      <c r="DJM98" s="58"/>
      <c r="DJN98" s="58"/>
      <c r="DJO98" s="58"/>
      <c r="DJP98" s="58"/>
      <c r="DJQ98" s="58"/>
      <c r="DJR98" s="58"/>
      <c r="DJS98" s="58"/>
      <c r="DJT98" s="58"/>
      <c r="DJU98" s="58"/>
      <c r="DJV98" s="58"/>
      <c r="DJW98" s="58"/>
      <c r="DJX98" s="58"/>
      <c r="DJY98" s="58"/>
      <c r="DJZ98" s="58"/>
      <c r="DKA98" s="58"/>
      <c r="DKB98" s="58"/>
      <c r="DKC98" s="58"/>
      <c r="DKD98" s="58"/>
      <c r="DKE98" s="58"/>
      <c r="DKF98" s="58"/>
      <c r="DKG98" s="58"/>
      <c r="DKH98" s="58"/>
      <c r="DKI98" s="58"/>
      <c r="DKJ98" s="58"/>
      <c r="DKK98" s="58"/>
      <c r="DKL98" s="58"/>
      <c r="DKM98" s="58"/>
      <c r="DKN98" s="58"/>
      <c r="DKO98" s="58"/>
      <c r="DKP98" s="58"/>
      <c r="DKQ98" s="58"/>
      <c r="DKR98" s="58"/>
      <c r="DKS98" s="58"/>
      <c r="DKT98" s="58"/>
      <c r="DKU98" s="58"/>
      <c r="DKV98" s="58"/>
      <c r="DKW98" s="58"/>
      <c r="DKX98" s="58"/>
      <c r="DKY98" s="58"/>
      <c r="DKZ98" s="58"/>
      <c r="DLA98" s="58"/>
      <c r="DLB98" s="58"/>
      <c r="DLC98" s="58"/>
      <c r="DLD98" s="58"/>
      <c r="DLE98" s="58"/>
      <c r="DLF98" s="58"/>
      <c r="DLG98" s="58"/>
      <c r="DLH98" s="58"/>
      <c r="DLI98" s="58"/>
      <c r="DLJ98" s="58"/>
      <c r="DLK98" s="58"/>
      <c r="DLL98" s="58"/>
      <c r="DLM98" s="58"/>
      <c r="DLN98" s="58"/>
      <c r="DLO98" s="58"/>
      <c r="DLP98" s="58"/>
      <c r="DLQ98" s="58"/>
      <c r="DLR98" s="58"/>
      <c r="DLS98" s="58"/>
      <c r="DLT98" s="58"/>
      <c r="DLU98" s="58"/>
      <c r="DLV98" s="58"/>
      <c r="DLW98" s="58"/>
      <c r="DLX98" s="58"/>
      <c r="DLY98" s="58"/>
      <c r="DLZ98" s="58"/>
      <c r="DMA98" s="58"/>
      <c r="DMB98" s="58"/>
      <c r="DMC98" s="58"/>
      <c r="DMD98" s="58"/>
      <c r="DME98" s="58"/>
      <c r="DMF98" s="58"/>
      <c r="DMG98" s="58"/>
      <c r="DMH98" s="58"/>
      <c r="DMI98" s="58"/>
      <c r="DMJ98" s="58"/>
      <c r="DMK98" s="58"/>
      <c r="DML98" s="58"/>
      <c r="DMM98" s="58"/>
      <c r="DMN98" s="58"/>
      <c r="DMO98" s="58"/>
      <c r="DMP98" s="58"/>
      <c r="DMQ98" s="58"/>
      <c r="DMR98" s="58"/>
      <c r="DMS98" s="58"/>
      <c r="DMT98" s="58"/>
      <c r="DMU98" s="58"/>
      <c r="DMV98" s="58"/>
      <c r="DMW98" s="58"/>
      <c r="DMX98" s="58"/>
      <c r="DMY98" s="58"/>
      <c r="DMZ98" s="58"/>
      <c r="DNA98" s="58"/>
      <c r="DNB98" s="58"/>
      <c r="DNC98" s="58"/>
      <c r="DND98" s="58"/>
      <c r="DNE98" s="58"/>
      <c r="DNF98" s="58"/>
      <c r="DNG98" s="58"/>
      <c r="DNH98" s="58"/>
      <c r="DNI98" s="58"/>
      <c r="DNJ98" s="58"/>
      <c r="DNK98" s="58"/>
      <c r="DNL98" s="58"/>
      <c r="DNM98" s="58"/>
      <c r="DNN98" s="58"/>
      <c r="DNO98" s="58"/>
      <c r="DNP98" s="58"/>
      <c r="DNQ98" s="58"/>
      <c r="DNR98" s="58"/>
      <c r="DNS98" s="58"/>
      <c r="DNT98" s="58"/>
      <c r="DNU98" s="58"/>
      <c r="DNV98" s="58"/>
      <c r="DNW98" s="58"/>
      <c r="DNX98" s="58"/>
      <c r="DNY98" s="58"/>
      <c r="DNZ98" s="58"/>
      <c r="DOA98" s="58"/>
      <c r="DOB98" s="58"/>
      <c r="DOC98" s="58"/>
      <c r="DOD98" s="58"/>
      <c r="DOE98" s="58"/>
      <c r="DOF98" s="58"/>
      <c r="DOG98" s="58"/>
      <c r="DOH98" s="58"/>
      <c r="DOI98" s="58"/>
      <c r="DOJ98" s="58"/>
      <c r="DOK98" s="58"/>
      <c r="DOL98" s="58"/>
      <c r="DOM98" s="58"/>
      <c r="DON98" s="58"/>
      <c r="DOO98" s="58"/>
      <c r="DOP98" s="58"/>
      <c r="DOQ98" s="58"/>
      <c r="DOR98" s="58"/>
      <c r="DOS98" s="58"/>
      <c r="DOT98" s="58"/>
      <c r="DOU98" s="58"/>
      <c r="DOV98" s="58"/>
      <c r="DOW98" s="58"/>
      <c r="DOX98" s="58"/>
      <c r="DOY98" s="58"/>
      <c r="DOZ98" s="58"/>
      <c r="DPA98" s="58"/>
      <c r="DPB98" s="58"/>
      <c r="DPC98" s="58"/>
      <c r="DPD98" s="58"/>
      <c r="DPE98" s="58"/>
      <c r="DPF98" s="58"/>
      <c r="DPG98" s="58"/>
      <c r="DPH98" s="58"/>
      <c r="DPI98" s="58"/>
      <c r="DPJ98" s="58"/>
      <c r="DPK98" s="58"/>
      <c r="DPL98" s="58"/>
      <c r="DPM98" s="58"/>
      <c r="DPN98" s="58"/>
      <c r="DPO98" s="58"/>
      <c r="DPP98" s="58"/>
      <c r="DPQ98" s="58"/>
      <c r="DPR98" s="58"/>
      <c r="DPS98" s="58"/>
      <c r="DPT98" s="58"/>
      <c r="DPU98" s="58"/>
      <c r="DPV98" s="58"/>
      <c r="DPW98" s="58"/>
      <c r="DPX98" s="58"/>
      <c r="DPY98" s="58"/>
      <c r="DPZ98" s="58"/>
      <c r="DQA98" s="58"/>
      <c r="DQB98" s="58"/>
      <c r="DQC98" s="58"/>
      <c r="DQD98" s="58"/>
      <c r="DQE98" s="58"/>
      <c r="DQF98" s="58"/>
      <c r="DQG98" s="58"/>
      <c r="DQH98" s="58"/>
      <c r="DQI98" s="58"/>
      <c r="DQJ98" s="58"/>
      <c r="DQK98" s="58"/>
      <c r="DQL98" s="58"/>
      <c r="DQM98" s="58"/>
      <c r="DQN98" s="58"/>
      <c r="DQO98" s="58"/>
      <c r="DQP98" s="58"/>
      <c r="DQQ98" s="58"/>
      <c r="DQR98" s="58"/>
      <c r="DQS98" s="58"/>
      <c r="DQT98" s="58"/>
      <c r="DQU98" s="58"/>
      <c r="DQV98" s="58"/>
      <c r="DQW98" s="58"/>
      <c r="DQX98" s="58"/>
      <c r="DQY98" s="58"/>
      <c r="DQZ98" s="58"/>
      <c r="DRA98" s="58"/>
      <c r="DRB98" s="58"/>
      <c r="DRC98" s="58"/>
      <c r="DRD98" s="58"/>
      <c r="DRE98" s="58"/>
      <c r="DRF98" s="58"/>
      <c r="DRG98" s="58"/>
      <c r="DRH98" s="58"/>
      <c r="DRI98" s="58"/>
      <c r="DRJ98" s="58"/>
      <c r="DRK98" s="58"/>
      <c r="DRL98" s="58"/>
      <c r="DRM98" s="58"/>
      <c r="DRN98" s="58"/>
      <c r="DRO98" s="58"/>
      <c r="DRP98" s="58"/>
      <c r="DRQ98" s="58"/>
      <c r="DRR98" s="58"/>
      <c r="DRS98" s="58"/>
      <c r="DRT98" s="58"/>
      <c r="DRU98" s="58"/>
      <c r="DRV98" s="58"/>
      <c r="DRW98" s="58"/>
      <c r="DRX98" s="58"/>
      <c r="DRY98" s="58"/>
      <c r="DRZ98" s="58"/>
      <c r="DSA98" s="58"/>
      <c r="DSB98" s="58"/>
      <c r="DSC98" s="58"/>
      <c r="DSD98" s="58"/>
      <c r="DSE98" s="58"/>
      <c r="DSF98" s="58"/>
      <c r="DSG98" s="58"/>
      <c r="DSH98" s="58"/>
      <c r="DSI98" s="58"/>
      <c r="DSJ98" s="58"/>
      <c r="DSK98" s="58"/>
      <c r="DSL98" s="58"/>
      <c r="DSM98" s="58"/>
      <c r="DSN98" s="58"/>
      <c r="DSO98" s="58"/>
      <c r="DSP98" s="58"/>
      <c r="DSQ98" s="58"/>
      <c r="DSR98" s="58"/>
      <c r="DSS98" s="58"/>
      <c r="DST98" s="58"/>
      <c r="DSU98" s="58"/>
      <c r="DSV98" s="58"/>
      <c r="DSW98" s="58"/>
      <c r="DSX98" s="58"/>
      <c r="DSY98" s="58"/>
      <c r="DSZ98" s="58"/>
      <c r="DTA98" s="58"/>
      <c r="DTB98" s="58"/>
      <c r="DTC98" s="58"/>
      <c r="DTD98" s="58"/>
      <c r="DTE98" s="58"/>
      <c r="DTF98" s="58"/>
      <c r="DTG98" s="58"/>
      <c r="DTH98" s="58"/>
      <c r="DTI98" s="58"/>
      <c r="DTJ98" s="58"/>
      <c r="DTK98" s="58"/>
      <c r="DTL98" s="58"/>
      <c r="DTM98" s="58"/>
      <c r="DTN98" s="58"/>
      <c r="DTO98" s="58"/>
      <c r="DTP98" s="58"/>
      <c r="DTQ98" s="58"/>
      <c r="DTR98" s="58"/>
      <c r="DTS98" s="58"/>
      <c r="DTT98" s="58"/>
      <c r="DTU98" s="58"/>
      <c r="DTV98" s="58"/>
      <c r="DTW98" s="58"/>
      <c r="DTX98" s="58"/>
      <c r="DTY98" s="58"/>
      <c r="DTZ98" s="58"/>
      <c r="DUA98" s="58"/>
      <c r="DUB98" s="58"/>
      <c r="DUC98" s="58"/>
      <c r="DUD98" s="58"/>
      <c r="DUE98" s="58"/>
      <c r="DUF98" s="58"/>
      <c r="DUG98" s="58"/>
      <c r="DUH98" s="58"/>
      <c r="DUI98" s="58"/>
      <c r="DUJ98" s="58"/>
      <c r="DUK98" s="58"/>
      <c r="DUL98" s="58"/>
      <c r="DUM98" s="58"/>
      <c r="DUN98" s="58"/>
      <c r="DUO98" s="58"/>
      <c r="DUP98" s="58"/>
      <c r="DUQ98" s="58"/>
      <c r="DUR98" s="58"/>
      <c r="DUS98" s="58"/>
      <c r="DUT98" s="58"/>
      <c r="DUU98" s="58"/>
      <c r="DUV98" s="58"/>
      <c r="DUW98" s="58"/>
      <c r="DUX98" s="58"/>
      <c r="DUY98" s="58"/>
      <c r="DUZ98" s="58"/>
      <c r="DVA98" s="58"/>
      <c r="DVB98" s="58"/>
      <c r="DVC98" s="58"/>
      <c r="DVD98" s="58"/>
      <c r="DVE98" s="58"/>
      <c r="DVF98" s="58"/>
      <c r="DVG98" s="58"/>
      <c r="DVH98" s="58"/>
      <c r="DVI98" s="58"/>
      <c r="DVJ98" s="58"/>
      <c r="DVK98" s="58"/>
      <c r="DVL98" s="58"/>
      <c r="DVM98" s="58"/>
      <c r="DVN98" s="58"/>
      <c r="DVO98" s="58"/>
      <c r="DVP98" s="58"/>
      <c r="DVQ98" s="58"/>
      <c r="DVR98" s="58"/>
      <c r="DVS98" s="58"/>
      <c r="DVT98" s="58"/>
      <c r="DVU98" s="58"/>
      <c r="DVV98" s="58"/>
      <c r="DVW98" s="58"/>
      <c r="DVX98" s="58"/>
      <c r="DVY98" s="58"/>
      <c r="DVZ98" s="58"/>
      <c r="DWA98" s="58"/>
      <c r="DWB98" s="58"/>
      <c r="DWC98" s="58"/>
      <c r="DWD98" s="58"/>
      <c r="DWE98" s="58"/>
      <c r="DWF98" s="58"/>
      <c r="DWG98" s="58"/>
      <c r="DWH98" s="58"/>
      <c r="DWI98" s="58"/>
      <c r="DWJ98" s="58"/>
      <c r="DWK98" s="58"/>
      <c r="DWL98" s="58"/>
      <c r="DWM98" s="58"/>
      <c r="DWN98" s="58"/>
      <c r="DWO98" s="58"/>
      <c r="DWP98" s="58"/>
      <c r="DWQ98" s="58"/>
      <c r="DWR98" s="58"/>
      <c r="DWS98" s="58"/>
      <c r="DWT98" s="58"/>
      <c r="DWU98" s="58"/>
      <c r="DWV98" s="58"/>
      <c r="DWW98" s="58"/>
      <c r="DWX98" s="58"/>
      <c r="DWY98" s="58"/>
      <c r="DWZ98" s="58"/>
      <c r="DXA98" s="58"/>
      <c r="DXB98" s="58"/>
      <c r="DXC98" s="58"/>
      <c r="DXD98" s="58"/>
      <c r="DXE98" s="58"/>
      <c r="DXF98" s="58"/>
      <c r="DXG98" s="58"/>
      <c r="DXH98" s="58"/>
      <c r="DXI98" s="58"/>
      <c r="DXJ98" s="58"/>
      <c r="DXK98" s="58"/>
      <c r="DXL98" s="58"/>
      <c r="DXM98" s="58"/>
      <c r="DXN98" s="58"/>
      <c r="DXO98" s="58"/>
      <c r="DXP98" s="58"/>
      <c r="DXQ98" s="58"/>
      <c r="DXR98" s="58"/>
      <c r="DXS98" s="58"/>
      <c r="DXT98" s="58"/>
      <c r="DXU98" s="58"/>
      <c r="DXV98" s="58"/>
      <c r="DXW98" s="58"/>
      <c r="DXX98" s="58"/>
      <c r="DXY98" s="58"/>
      <c r="DXZ98" s="58"/>
      <c r="DYA98" s="58"/>
      <c r="DYB98" s="58"/>
      <c r="DYC98" s="58"/>
      <c r="DYD98" s="58"/>
      <c r="DYE98" s="58"/>
      <c r="DYF98" s="58"/>
      <c r="DYG98" s="58"/>
      <c r="DYH98" s="58"/>
      <c r="DYI98" s="58"/>
      <c r="DYJ98" s="58"/>
      <c r="DYK98" s="58"/>
      <c r="DYL98" s="58"/>
      <c r="DYM98" s="58"/>
      <c r="DYN98" s="58"/>
      <c r="DYO98" s="58"/>
      <c r="DYP98" s="58"/>
      <c r="DYQ98" s="58"/>
      <c r="DYR98" s="58"/>
      <c r="DYS98" s="58"/>
      <c r="DYT98" s="58"/>
      <c r="DYU98" s="58"/>
      <c r="DYV98" s="58"/>
      <c r="DYW98" s="58"/>
      <c r="DYX98" s="58"/>
      <c r="DYY98" s="58"/>
      <c r="DYZ98" s="58"/>
      <c r="DZA98" s="58"/>
      <c r="DZB98" s="58"/>
      <c r="DZC98" s="58"/>
      <c r="DZD98" s="58"/>
      <c r="DZE98" s="58"/>
      <c r="DZF98" s="58"/>
      <c r="DZG98" s="58"/>
      <c r="DZH98" s="58"/>
      <c r="DZI98" s="58"/>
      <c r="DZJ98" s="58"/>
      <c r="DZK98" s="58"/>
      <c r="DZL98" s="58"/>
      <c r="DZM98" s="58"/>
      <c r="DZN98" s="58"/>
      <c r="DZO98" s="58"/>
      <c r="DZP98" s="58"/>
      <c r="DZQ98" s="58"/>
      <c r="DZR98" s="58"/>
      <c r="DZS98" s="58"/>
      <c r="DZT98" s="58"/>
      <c r="DZU98" s="58"/>
      <c r="DZV98" s="58"/>
      <c r="DZW98" s="58"/>
      <c r="DZX98" s="58"/>
      <c r="DZY98" s="58"/>
      <c r="DZZ98" s="58"/>
      <c r="EAA98" s="58"/>
      <c r="EAB98" s="58"/>
      <c r="EAC98" s="58"/>
      <c r="EAD98" s="58"/>
      <c r="EAE98" s="58"/>
      <c r="EAF98" s="58"/>
      <c r="EAG98" s="58"/>
      <c r="EAH98" s="58"/>
      <c r="EAI98" s="58"/>
      <c r="EAJ98" s="58"/>
      <c r="EAK98" s="58"/>
      <c r="EAL98" s="58"/>
      <c r="EAM98" s="58"/>
      <c r="EAN98" s="58"/>
      <c r="EAO98" s="58"/>
      <c r="EAP98" s="58"/>
      <c r="EAQ98" s="58"/>
      <c r="EAR98" s="58"/>
      <c r="EAS98" s="58"/>
      <c r="EAT98" s="58"/>
      <c r="EAU98" s="58"/>
      <c r="EAV98" s="58"/>
      <c r="EAW98" s="58"/>
      <c r="EAX98" s="58"/>
      <c r="EAY98" s="58"/>
      <c r="EAZ98" s="58"/>
      <c r="EBA98" s="58"/>
      <c r="EBB98" s="58"/>
      <c r="EBC98" s="58"/>
      <c r="EBD98" s="58"/>
      <c r="EBE98" s="58"/>
      <c r="EBF98" s="58"/>
      <c r="EBG98" s="58"/>
      <c r="EBH98" s="58"/>
      <c r="EBI98" s="58"/>
      <c r="EBJ98" s="58"/>
      <c r="EBK98" s="58"/>
      <c r="EBL98" s="58"/>
      <c r="EBM98" s="58"/>
      <c r="EBN98" s="58"/>
      <c r="EBO98" s="58"/>
      <c r="EBP98" s="58"/>
      <c r="EBQ98" s="58"/>
      <c r="EBR98" s="58"/>
      <c r="EBS98" s="58"/>
      <c r="EBT98" s="58"/>
      <c r="EBU98" s="58"/>
      <c r="EBV98" s="58"/>
      <c r="EBW98" s="58"/>
      <c r="EBX98" s="58"/>
      <c r="EBY98" s="58"/>
      <c r="EBZ98" s="58"/>
      <c r="ECA98" s="58"/>
      <c r="ECB98" s="58"/>
      <c r="ECC98" s="58"/>
      <c r="ECD98" s="58"/>
      <c r="ECE98" s="58"/>
      <c r="ECF98" s="58"/>
      <c r="ECG98" s="58"/>
      <c r="ECH98" s="58"/>
      <c r="ECI98" s="58"/>
      <c r="ECJ98" s="58"/>
      <c r="ECK98" s="58"/>
      <c r="ECL98" s="58"/>
      <c r="ECM98" s="58"/>
      <c r="ECN98" s="58"/>
      <c r="ECO98" s="58"/>
      <c r="ECP98" s="58"/>
      <c r="ECQ98" s="58"/>
      <c r="ECR98" s="58"/>
      <c r="ECS98" s="58"/>
      <c r="ECT98" s="58"/>
      <c r="ECU98" s="58"/>
      <c r="ECV98" s="58"/>
      <c r="ECW98" s="58"/>
      <c r="ECX98" s="58"/>
      <c r="ECY98" s="58"/>
      <c r="ECZ98" s="58"/>
      <c r="EDA98" s="58"/>
      <c r="EDB98" s="58"/>
      <c r="EDC98" s="58"/>
      <c r="EDD98" s="58"/>
      <c r="EDE98" s="58"/>
      <c r="EDF98" s="58"/>
      <c r="EDG98" s="58"/>
      <c r="EDH98" s="58"/>
      <c r="EDI98" s="58"/>
      <c r="EDJ98" s="58"/>
      <c r="EDK98" s="58"/>
      <c r="EDL98" s="58"/>
      <c r="EDM98" s="58"/>
      <c r="EDN98" s="58"/>
      <c r="EDO98" s="58"/>
      <c r="EDP98" s="58"/>
      <c r="EDQ98" s="58"/>
      <c r="EDR98" s="58"/>
      <c r="EDS98" s="58"/>
      <c r="EDT98" s="58"/>
      <c r="EDU98" s="58"/>
      <c r="EDV98" s="58"/>
      <c r="EDW98" s="58"/>
      <c r="EDX98" s="58"/>
      <c r="EDY98" s="58"/>
      <c r="EDZ98" s="58"/>
      <c r="EEA98" s="58"/>
      <c r="EEB98" s="58"/>
      <c r="EEC98" s="58"/>
      <c r="EED98" s="58"/>
      <c r="EEE98" s="58"/>
      <c r="EEF98" s="58"/>
      <c r="EEG98" s="58"/>
      <c r="EEH98" s="58"/>
      <c r="EEI98" s="58"/>
      <c r="EEJ98" s="58"/>
      <c r="EEK98" s="58"/>
      <c r="EEL98" s="58"/>
      <c r="EEM98" s="58"/>
      <c r="EEN98" s="58"/>
      <c r="EEO98" s="58"/>
      <c r="EEP98" s="58"/>
      <c r="EEQ98" s="58"/>
      <c r="EER98" s="58"/>
      <c r="EES98" s="58"/>
      <c r="EET98" s="58"/>
      <c r="EEU98" s="58"/>
      <c r="EEV98" s="58"/>
      <c r="EEW98" s="58"/>
      <c r="EEX98" s="58"/>
      <c r="EEY98" s="58"/>
      <c r="EEZ98" s="58"/>
      <c r="EFA98" s="58"/>
      <c r="EFB98" s="58"/>
      <c r="EFC98" s="58"/>
      <c r="EFD98" s="58"/>
      <c r="EFE98" s="58"/>
      <c r="EFF98" s="58"/>
      <c r="EFG98" s="58"/>
      <c r="EFH98" s="58"/>
      <c r="EFI98" s="58"/>
      <c r="EFJ98" s="58"/>
      <c r="EFK98" s="58"/>
      <c r="EFL98" s="58"/>
      <c r="EFM98" s="58"/>
      <c r="EFN98" s="58"/>
      <c r="EFO98" s="58"/>
      <c r="EFP98" s="58"/>
      <c r="EFQ98" s="58"/>
      <c r="EFR98" s="58"/>
      <c r="EFS98" s="58"/>
      <c r="EFT98" s="58"/>
      <c r="EFU98" s="58"/>
      <c r="EFV98" s="58"/>
      <c r="EFW98" s="58"/>
      <c r="EFX98" s="58"/>
      <c r="EFY98" s="58"/>
      <c r="EFZ98" s="58"/>
      <c r="EGA98" s="58"/>
      <c r="EGB98" s="58"/>
      <c r="EGC98" s="58"/>
      <c r="EGD98" s="58"/>
      <c r="EGE98" s="58"/>
      <c r="EGF98" s="58"/>
      <c r="EGG98" s="58"/>
      <c r="EGH98" s="58"/>
      <c r="EGI98" s="58"/>
      <c r="EGJ98" s="58"/>
      <c r="EGK98" s="58"/>
      <c r="EGL98" s="58"/>
      <c r="EGM98" s="58"/>
      <c r="EGN98" s="58"/>
      <c r="EGO98" s="58"/>
      <c r="EGP98" s="58"/>
      <c r="EGQ98" s="58"/>
      <c r="EGR98" s="58"/>
      <c r="EGS98" s="58"/>
      <c r="EGT98" s="58"/>
      <c r="EGU98" s="58"/>
      <c r="EGV98" s="58"/>
      <c r="EGW98" s="58"/>
      <c r="EGX98" s="58"/>
      <c r="EGY98" s="58"/>
      <c r="EGZ98" s="58"/>
      <c r="EHA98" s="58"/>
      <c r="EHB98" s="58"/>
      <c r="EHC98" s="58"/>
      <c r="EHD98" s="58"/>
      <c r="EHE98" s="58"/>
      <c r="EHF98" s="58"/>
      <c r="EHG98" s="58"/>
      <c r="EHH98" s="58"/>
      <c r="EHI98" s="58"/>
      <c r="EHJ98" s="58"/>
      <c r="EHK98" s="58"/>
      <c r="EHL98" s="58"/>
      <c r="EHM98" s="58"/>
      <c r="EHN98" s="58"/>
      <c r="EHO98" s="58"/>
      <c r="EHP98" s="58"/>
      <c r="EHQ98" s="58"/>
      <c r="EHR98" s="58"/>
      <c r="EHS98" s="58"/>
      <c r="EHT98" s="58"/>
      <c r="EHU98" s="58"/>
      <c r="EHV98" s="58"/>
      <c r="EHW98" s="58"/>
      <c r="EHX98" s="58"/>
      <c r="EHY98" s="58"/>
      <c r="EHZ98" s="58"/>
      <c r="EIA98" s="58"/>
      <c r="EIB98" s="58"/>
      <c r="EIC98" s="58"/>
      <c r="EID98" s="58"/>
      <c r="EIE98" s="58"/>
      <c r="EIF98" s="58"/>
      <c r="EIG98" s="58"/>
      <c r="EIH98" s="58"/>
      <c r="EII98" s="58"/>
      <c r="EIJ98" s="58"/>
      <c r="EIK98" s="58"/>
      <c r="EIL98" s="58"/>
      <c r="EIM98" s="58"/>
      <c r="EIN98" s="58"/>
      <c r="EIO98" s="58"/>
      <c r="EIP98" s="58"/>
      <c r="EIQ98" s="58"/>
      <c r="EIR98" s="58"/>
      <c r="EIS98" s="58"/>
      <c r="EIT98" s="58"/>
      <c r="EIU98" s="58"/>
      <c r="EIV98" s="58"/>
      <c r="EIW98" s="58"/>
      <c r="EIX98" s="58"/>
      <c r="EIY98" s="58"/>
      <c r="EIZ98" s="58"/>
      <c r="EJA98" s="58"/>
      <c r="EJB98" s="58"/>
      <c r="EJC98" s="58"/>
      <c r="EJD98" s="58"/>
      <c r="EJE98" s="58"/>
      <c r="EJF98" s="58"/>
      <c r="EJG98" s="58"/>
      <c r="EJH98" s="58"/>
      <c r="EJI98" s="58"/>
      <c r="EJJ98" s="58"/>
      <c r="EJK98" s="58"/>
      <c r="EJL98" s="58"/>
      <c r="EJM98" s="58"/>
      <c r="EJN98" s="58"/>
      <c r="EJO98" s="58"/>
      <c r="EJP98" s="58"/>
      <c r="EJQ98" s="58"/>
      <c r="EJR98" s="58"/>
      <c r="EJS98" s="58"/>
      <c r="EJT98" s="58"/>
      <c r="EJU98" s="58"/>
      <c r="EJV98" s="58"/>
      <c r="EJW98" s="58"/>
      <c r="EJX98" s="58"/>
      <c r="EJY98" s="58"/>
      <c r="EJZ98" s="58"/>
      <c r="EKA98" s="58"/>
      <c r="EKB98" s="58"/>
      <c r="EKC98" s="58"/>
      <c r="EKD98" s="58"/>
      <c r="EKE98" s="58"/>
      <c r="EKF98" s="58"/>
      <c r="EKG98" s="58"/>
      <c r="EKH98" s="58"/>
      <c r="EKI98" s="58"/>
      <c r="EKJ98" s="58"/>
      <c r="EKK98" s="58"/>
      <c r="EKL98" s="58"/>
      <c r="EKM98" s="58"/>
      <c r="EKN98" s="58"/>
      <c r="EKO98" s="58"/>
      <c r="EKP98" s="58"/>
      <c r="EKQ98" s="58"/>
      <c r="EKR98" s="58"/>
      <c r="EKS98" s="58"/>
      <c r="EKT98" s="58"/>
      <c r="EKU98" s="58"/>
      <c r="EKV98" s="58"/>
      <c r="EKW98" s="58"/>
      <c r="EKX98" s="58"/>
      <c r="EKY98" s="58"/>
      <c r="EKZ98" s="58"/>
      <c r="ELA98" s="58"/>
      <c r="ELB98" s="58"/>
      <c r="ELC98" s="58"/>
      <c r="ELD98" s="58"/>
      <c r="ELE98" s="58"/>
      <c r="ELF98" s="58"/>
      <c r="ELG98" s="58"/>
      <c r="ELH98" s="58"/>
      <c r="ELI98" s="58"/>
      <c r="ELJ98" s="58"/>
      <c r="ELK98" s="58"/>
      <c r="ELL98" s="58"/>
      <c r="ELM98" s="58"/>
      <c r="ELN98" s="58"/>
      <c r="ELO98" s="58"/>
      <c r="ELP98" s="58"/>
      <c r="ELQ98" s="58"/>
      <c r="ELR98" s="58"/>
      <c r="ELS98" s="58"/>
      <c r="ELT98" s="58"/>
      <c r="ELU98" s="58"/>
      <c r="ELV98" s="58"/>
      <c r="ELW98" s="58"/>
      <c r="ELX98" s="58"/>
      <c r="ELY98" s="58"/>
      <c r="ELZ98" s="58"/>
      <c r="EMA98" s="58"/>
      <c r="EMB98" s="58"/>
      <c r="EMC98" s="58"/>
      <c r="EMD98" s="58"/>
      <c r="EME98" s="58"/>
      <c r="EMF98" s="58"/>
      <c r="EMG98" s="58"/>
      <c r="EMH98" s="58"/>
      <c r="EMI98" s="58"/>
      <c r="EMJ98" s="58"/>
      <c r="EMK98" s="58"/>
      <c r="EML98" s="58"/>
      <c r="EMM98" s="58"/>
      <c r="EMN98" s="58"/>
      <c r="EMO98" s="58"/>
      <c r="EMP98" s="58"/>
      <c r="EMQ98" s="58"/>
      <c r="EMR98" s="58"/>
      <c r="EMS98" s="58"/>
      <c r="EMT98" s="58"/>
      <c r="EMU98" s="58"/>
      <c r="EMV98" s="58"/>
      <c r="EMW98" s="58"/>
      <c r="EMX98" s="58"/>
      <c r="EMY98" s="58"/>
      <c r="EMZ98" s="58"/>
      <c r="ENA98" s="58"/>
      <c r="ENB98" s="58"/>
      <c r="ENC98" s="58"/>
      <c r="END98" s="58"/>
      <c r="ENE98" s="58"/>
      <c r="ENF98" s="58"/>
      <c r="ENG98" s="58"/>
      <c r="ENH98" s="58"/>
      <c r="ENI98" s="58"/>
      <c r="ENJ98" s="58"/>
      <c r="ENK98" s="58"/>
      <c r="ENL98" s="58"/>
      <c r="ENM98" s="58"/>
      <c r="ENN98" s="58"/>
      <c r="ENO98" s="58"/>
      <c r="ENP98" s="58"/>
      <c r="ENQ98" s="58"/>
      <c r="ENR98" s="58"/>
      <c r="ENS98" s="58"/>
      <c r="ENT98" s="58"/>
      <c r="ENU98" s="58"/>
      <c r="ENV98" s="58"/>
      <c r="ENW98" s="58"/>
      <c r="ENX98" s="58"/>
      <c r="ENY98" s="58"/>
      <c r="ENZ98" s="58"/>
      <c r="EOA98" s="58"/>
      <c r="EOB98" s="58"/>
      <c r="EOC98" s="58"/>
      <c r="EOD98" s="58"/>
      <c r="EOE98" s="58"/>
      <c r="EOF98" s="58"/>
      <c r="EOG98" s="58"/>
      <c r="EOH98" s="58"/>
      <c r="EOI98" s="58"/>
      <c r="EOJ98" s="58"/>
      <c r="EOK98" s="58"/>
      <c r="EOL98" s="58"/>
      <c r="EOM98" s="58"/>
      <c r="EON98" s="58"/>
      <c r="EOO98" s="58"/>
      <c r="EOP98" s="58"/>
      <c r="EOQ98" s="58"/>
      <c r="EOR98" s="58"/>
      <c r="EOS98" s="58"/>
      <c r="EOT98" s="58"/>
      <c r="EOU98" s="58"/>
      <c r="EOV98" s="58"/>
      <c r="EOW98" s="58"/>
      <c r="EOX98" s="58"/>
      <c r="EOY98" s="58"/>
      <c r="EOZ98" s="58"/>
      <c r="EPA98" s="58"/>
      <c r="EPB98" s="58"/>
      <c r="EPC98" s="58"/>
      <c r="EPD98" s="58"/>
      <c r="EPE98" s="58"/>
      <c r="EPF98" s="58"/>
      <c r="EPG98" s="58"/>
      <c r="EPH98" s="58"/>
      <c r="EPI98" s="58"/>
      <c r="EPJ98" s="58"/>
      <c r="EPK98" s="58"/>
      <c r="EPL98" s="58"/>
      <c r="EPM98" s="58"/>
      <c r="EPN98" s="58"/>
      <c r="EPO98" s="58"/>
      <c r="EPP98" s="58"/>
      <c r="EPQ98" s="58"/>
      <c r="EPR98" s="58"/>
      <c r="EPS98" s="58"/>
      <c r="EPT98" s="58"/>
      <c r="EPU98" s="58"/>
      <c r="EPV98" s="58"/>
      <c r="EPW98" s="58"/>
      <c r="EPX98" s="58"/>
      <c r="EPY98" s="58"/>
      <c r="EPZ98" s="58"/>
      <c r="EQA98" s="58"/>
      <c r="EQB98" s="58"/>
      <c r="EQC98" s="58"/>
      <c r="EQD98" s="58"/>
      <c r="EQE98" s="58"/>
      <c r="EQF98" s="58"/>
      <c r="EQG98" s="58"/>
      <c r="EQH98" s="58"/>
      <c r="EQI98" s="58"/>
      <c r="EQJ98" s="58"/>
      <c r="EQK98" s="58"/>
      <c r="EQL98" s="58"/>
      <c r="EQM98" s="58"/>
      <c r="EQN98" s="58"/>
      <c r="EQO98" s="58"/>
      <c r="EQP98" s="58"/>
      <c r="EQQ98" s="58"/>
      <c r="EQR98" s="58"/>
      <c r="EQS98" s="58"/>
      <c r="EQT98" s="58"/>
      <c r="EQU98" s="58"/>
      <c r="EQV98" s="58"/>
      <c r="EQW98" s="58"/>
      <c r="EQX98" s="58"/>
      <c r="EQY98" s="58"/>
      <c r="EQZ98" s="58"/>
      <c r="ERA98" s="58"/>
      <c r="ERB98" s="58"/>
      <c r="ERC98" s="58"/>
      <c r="ERD98" s="58"/>
      <c r="ERE98" s="58"/>
      <c r="ERF98" s="58"/>
      <c r="ERG98" s="58"/>
      <c r="ERH98" s="58"/>
      <c r="ERI98" s="58"/>
      <c r="ERJ98" s="58"/>
      <c r="ERK98" s="58"/>
      <c r="ERL98" s="58"/>
      <c r="ERM98" s="58"/>
      <c r="ERN98" s="58"/>
      <c r="ERO98" s="58"/>
      <c r="ERP98" s="58"/>
      <c r="ERQ98" s="58"/>
      <c r="ERR98" s="58"/>
      <c r="ERS98" s="58"/>
      <c r="ERT98" s="58"/>
      <c r="ERU98" s="58"/>
      <c r="ERV98" s="58"/>
      <c r="ERW98" s="58"/>
      <c r="ERX98" s="58"/>
      <c r="ERY98" s="58"/>
      <c r="ERZ98" s="58"/>
      <c r="ESA98" s="58"/>
      <c r="ESB98" s="58"/>
      <c r="ESC98" s="58"/>
      <c r="ESD98" s="58"/>
      <c r="ESE98" s="58"/>
      <c r="ESF98" s="58"/>
      <c r="ESG98" s="58"/>
      <c r="ESH98" s="58"/>
      <c r="ESI98" s="58"/>
      <c r="ESJ98" s="58"/>
      <c r="ESK98" s="58"/>
      <c r="ESL98" s="58"/>
      <c r="ESM98" s="58"/>
      <c r="ESN98" s="58"/>
      <c r="ESO98" s="58"/>
      <c r="ESP98" s="58"/>
      <c r="ESQ98" s="58"/>
      <c r="ESR98" s="58"/>
      <c r="ESS98" s="58"/>
      <c r="EST98" s="58"/>
      <c r="ESU98" s="58"/>
      <c r="ESV98" s="58"/>
      <c r="ESW98" s="58"/>
      <c r="ESX98" s="58"/>
      <c r="ESY98" s="58"/>
      <c r="ESZ98" s="58"/>
      <c r="ETA98" s="58"/>
      <c r="ETB98" s="58"/>
      <c r="ETC98" s="58"/>
      <c r="ETD98" s="58"/>
      <c r="ETE98" s="58"/>
      <c r="ETF98" s="58"/>
      <c r="ETG98" s="58"/>
      <c r="ETH98" s="58"/>
      <c r="ETI98" s="58"/>
      <c r="ETJ98" s="58"/>
      <c r="ETK98" s="58"/>
      <c r="ETL98" s="58"/>
      <c r="ETM98" s="58"/>
      <c r="ETN98" s="58"/>
      <c r="ETO98" s="58"/>
      <c r="ETP98" s="58"/>
      <c r="ETQ98" s="58"/>
      <c r="ETR98" s="58"/>
      <c r="ETS98" s="58"/>
      <c r="ETT98" s="58"/>
      <c r="ETU98" s="58"/>
      <c r="ETV98" s="58"/>
      <c r="ETW98" s="58"/>
      <c r="ETX98" s="58"/>
      <c r="ETY98" s="58"/>
      <c r="ETZ98" s="58"/>
      <c r="EUA98" s="58"/>
      <c r="EUB98" s="58"/>
      <c r="EUC98" s="58"/>
      <c r="EUD98" s="58"/>
      <c r="EUE98" s="58"/>
      <c r="EUF98" s="58"/>
      <c r="EUG98" s="58"/>
      <c r="EUH98" s="58"/>
      <c r="EUI98" s="58"/>
      <c r="EUJ98" s="58"/>
      <c r="EUK98" s="58"/>
      <c r="EUL98" s="58"/>
      <c r="EUM98" s="58"/>
      <c r="EUN98" s="58"/>
      <c r="EUO98" s="58"/>
      <c r="EUP98" s="58"/>
      <c r="EUQ98" s="58"/>
      <c r="EUR98" s="58"/>
      <c r="EUS98" s="58"/>
      <c r="EUT98" s="58"/>
      <c r="EUU98" s="58"/>
      <c r="EUV98" s="58"/>
      <c r="EUW98" s="58"/>
      <c r="EUX98" s="58"/>
      <c r="EUY98" s="58"/>
      <c r="EUZ98" s="58"/>
      <c r="EVA98" s="58"/>
      <c r="EVB98" s="58"/>
      <c r="EVC98" s="58"/>
      <c r="EVD98" s="58"/>
      <c r="EVE98" s="58"/>
      <c r="EVF98" s="58"/>
      <c r="EVG98" s="58"/>
      <c r="EVH98" s="58"/>
      <c r="EVI98" s="58"/>
      <c r="EVJ98" s="58"/>
      <c r="EVK98" s="58"/>
      <c r="EVL98" s="58"/>
      <c r="EVM98" s="58"/>
      <c r="EVN98" s="58"/>
      <c r="EVO98" s="58"/>
      <c r="EVP98" s="58"/>
      <c r="EVQ98" s="58"/>
      <c r="EVR98" s="58"/>
      <c r="EVS98" s="58"/>
      <c r="EVT98" s="58"/>
      <c r="EVU98" s="58"/>
      <c r="EVV98" s="58"/>
      <c r="EVW98" s="58"/>
      <c r="EVX98" s="58"/>
      <c r="EVY98" s="58"/>
      <c r="EVZ98" s="58"/>
      <c r="EWA98" s="58"/>
      <c r="EWB98" s="58"/>
      <c r="EWC98" s="58"/>
      <c r="EWD98" s="58"/>
      <c r="EWE98" s="58"/>
      <c r="EWF98" s="58"/>
      <c r="EWG98" s="58"/>
      <c r="EWH98" s="58"/>
      <c r="EWI98" s="58"/>
      <c r="EWJ98" s="58"/>
      <c r="EWK98" s="58"/>
      <c r="EWL98" s="58"/>
      <c r="EWM98" s="58"/>
      <c r="EWN98" s="58"/>
      <c r="EWO98" s="58"/>
      <c r="EWP98" s="58"/>
      <c r="EWQ98" s="58"/>
      <c r="EWR98" s="58"/>
      <c r="EWS98" s="58"/>
      <c r="EWT98" s="58"/>
      <c r="EWU98" s="58"/>
      <c r="EWV98" s="58"/>
      <c r="EWW98" s="58"/>
      <c r="EWX98" s="58"/>
      <c r="EWY98" s="58"/>
      <c r="EWZ98" s="58"/>
      <c r="EXA98" s="58"/>
      <c r="EXB98" s="58"/>
      <c r="EXC98" s="58"/>
      <c r="EXD98" s="58"/>
      <c r="EXE98" s="58"/>
      <c r="EXF98" s="58"/>
      <c r="EXG98" s="58"/>
      <c r="EXH98" s="58"/>
      <c r="EXI98" s="58"/>
      <c r="EXJ98" s="58"/>
      <c r="EXK98" s="58"/>
      <c r="EXL98" s="58"/>
      <c r="EXM98" s="58"/>
      <c r="EXN98" s="58"/>
      <c r="EXO98" s="58"/>
      <c r="EXP98" s="58"/>
      <c r="EXQ98" s="58"/>
      <c r="EXR98" s="58"/>
      <c r="EXS98" s="58"/>
      <c r="EXT98" s="58"/>
      <c r="EXU98" s="58"/>
      <c r="EXV98" s="58"/>
      <c r="EXW98" s="58"/>
      <c r="EXX98" s="58"/>
      <c r="EXY98" s="58"/>
      <c r="EXZ98" s="58"/>
      <c r="EYA98" s="58"/>
      <c r="EYB98" s="58"/>
      <c r="EYC98" s="58"/>
      <c r="EYD98" s="58"/>
      <c r="EYE98" s="58"/>
      <c r="EYF98" s="58"/>
      <c r="EYG98" s="58"/>
      <c r="EYH98" s="58"/>
      <c r="EYI98" s="58"/>
      <c r="EYJ98" s="58"/>
      <c r="EYK98" s="58"/>
      <c r="EYL98" s="58"/>
      <c r="EYM98" s="58"/>
      <c r="EYN98" s="58"/>
      <c r="EYO98" s="58"/>
      <c r="EYP98" s="58"/>
      <c r="EYQ98" s="58"/>
      <c r="EYR98" s="58"/>
      <c r="EYS98" s="58"/>
      <c r="EYT98" s="58"/>
      <c r="EYU98" s="58"/>
      <c r="EYV98" s="58"/>
      <c r="EYW98" s="58"/>
      <c r="EYX98" s="58"/>
      <c r="EYY98" s="58"/>
      <c r="EYZ98" s="58"/>
      <c r="EZA98" s="58"/>
      <c r="EZB98" s="58"/>
      <c r="EZC98" s="58"/>
      <c r="EZD98" s="58"/>
      <c r="EZE98" s="58"/>
      <c r="EZF98" s="58"/>
      <c r="EZG98" s="58"/>
      <c r="EZH98" s="58"/>
      <c r="EZI98" s="58"/>
      <c r="EZJ98" s="58"/>
      <c r="EZK98" s="58"/>
      <c r="EZL98" s="58"/>
      <c r="EZM98" s="58"/>
      <c r="EZN98" s="58"/>
      <c r="EZO98" s="58"/>
      <c r="EZP98" s="58"/>
      <c r="EZQ98" s="58"/>
      <c r="EZR98" s="58"/>
      <c r="EZS98" s="58"/>
      <c r="EZT98" s="58"/>
      <c r="EZU98" s="58"/>
      <c r="EZV98" s="58"/>
      <c r="EZW98" s="58"/>
      <c r="EZX98" s="58"/>
      <c r="EZY98" s="58"/>
      <c r="EZZ98" s="58"/>
      <c r="FAA98" s="58"/>
      <c r="FAB98" s="58"/>
      <c r="FAC98" s="58"/>
      <c r="FAD98" s="58"/>
      <c r="FAE98" s="58"/>
      <c r="FAF98" s="58"/>
      <c r="FAG98" s="58"/>
      <c r="FAH98" s="58"/>
      <c r="FAI98" s="58"/>
      <c r="FAJ98" s="58"/>
      <c r="FAK98" s="58"/>
      <c r="FAL98" s="58"/>
      <c r="FAM98" s="58"/>
      <c r="FAN98" s="58"/>
      <c r="FAO98" s="58"/>
      <c r="FAP98" s="58"/>
      <c r="FAQ98" s="58"/>
      <c r="FAR98" s="58"/>
      <c r="FAS98" s="58"/>
      <c r="FAT98" s="58"/>
      <c r="FAU98" s="58"/>
      <c r="FAV98" s="58"/>
      <c r="FAW98" s="58"/>
      <c r="FAX98" s="58"/>
      <c r="FAY98" s="58"/>
      <c r="FAZ98" s="58"/>
      <c r="FBA98" s="58"/>
      <c r="FBB98" s="58"/>
      <c r="FBC98" s="58"/>
      <c r="FBD98" s="58"/>
      <c r="FBE98" s="58"/>
      <c r="FBF98" s="58"/>
      <c r="FBG98" s="58"/>
      <c r="FBH98" s="58"/>
      <c r="FBI98" s="58"/>
      <c r="FBJ98" s="58"/>
      <c r="FBK98" s="58"/>
      <c r="FBL98" s="58"/>
      <c r="FBM98" s="58"/>
      <c r="FBN98" s="58"/>
      <c r="FBO98" s="58"/>
      <c r="FBP98" s="58"/>
      <c r="FBQ98" s="58"/>
      <c r="FBR98" s="58"/>
      <c r="FBS98" s="58"/>
      <c r="FBT98" s="58"/>
      <c r="FBU98" s="58"/>
      <c r="FBV98" s="58"/>
      <c r="FBW98" s="58"/>
      <c r="FBX98" s="58"/>
      <c r="FBY98" s="58"/>
      <c r="FBZ98" s="58"/>
      <c r="FCA98" s="58"/>
      <c r="FCB98" s="58"/>
      <c r="FCC98" s="58"/>
      <c r="FCD98" s="58"/>
      <c r="FCE98" s="58"/>
      <c r="FCF98" s="58"/>
      <c r="FCG98" s="58"/>
      <c r="FCH98" s="58"/>
      <c r="FCI98" s="58"/>
      <c r="FCJ98" s="58"/>
      <c r="FCK98" s="58"/>
      <c r="FCL98" s="58"/>
      <c r="FCM98" s="58"/>
      <c r="FCN98" s="58"/>
      <c r="FCO98" s="58"/>
      <c r="FCP98" s="58"/>
      <c r="FCQ98" s="58"/>
      <c r="FCR98" s="58"/>
      <c r="FCS98" s="58"/>
      <c r="FCT98" s="58"/>
      <c r="FCU98" s="58"/>
      <c r="FCV98" s="58"/>
      <c r="FCW98" s="58"/>
      <c r="FCX98" s="58"/>
      <c r="FCY98" s="58"/>
      <c r="FCZ98" s="58"/>
      <c r="FDA98" s="58"/>
      <c r="FDB98" s="58"/>
      <c r="FDC98" s="58"/>
      <c r="FDD98" s="58"/>
      <c r="FDE98" s="58"/>
      <c r="FDF98" s="58"/>
      <c r="FDG98" s="58"/>
      <c r="FDH98" s="58"/>
      <c r="FDI98" s="58"/>
      <c r="FDJ98" s="58"/>
      <c r="FDK98" s="58"/>
      <c r="FDL98" s="58"/>
      <c r="FDM98" s="58"/>
      <c r="FDN98" s="58"/>
      <c r="FDO98" s="58"/>
      <c r="FDP98" s="58"/>
      <c r="FDQ98" s="58"/>
      <c r="FDR98" s="58"/>
      <c r="FDS98" s="58"/>
      <c r="FDT98" s="58"/>
      <c r="FDU98" s="58"/>
      <c r="FDV98" s="58"/>
      <c r="FDW98" s="58"/>
      <c r="FDX98" s="58"/>
      <c r="FDY98" s="58"/>
      <c r="FDZ98" s="58"/>
      <c r="FEA98" s="58"/>
      <c r="FEB98" s="58"/>
      <c r="FEC98" s="58"/>
      <c r="FED98" s="58"/>
      <c r="FEE98" s="58"/>
      <c r="FEF98" s="58"/>
      <c r="FEG98" s="58"/>
      <c r="FEH98" s="58"/>
      <c r="FEI98" s="58"/>
      <c r="FEJ98" s="58"/>
      <c r="FEK98" s="58"/>
      <c r="FEL98" s="58"/>
      <c r="FEM98" s="58"/>
      <c r="FEN98" s="58"/>
      <c r="FEO98" s="58"/>
      <c r="FEP98" s="58"/>
      <c r="FEQ98" s="58"/>
      <c r="FER98" s="58"/>
      <c r="FES98" s="58"/>
      <c r="FET98" s="58"/>
      <c r="FEU98" s="58"/>
      <c r="FEV98" s="58"/>
      <c r="FEW98" s="58"/>
      <c r="FEX98" s="58"/>
      <c r="FEY98" s="58"/>
      <c r="FEZ98" s="58"/>
      <c r="FFA98" s="58"/>
      <c r="FFB98" s="58"/>
      <c r="FFC98" s="58"/>
      <c r="FFD98" s="58"/>
      <c r="FFE98" s="58"/>
      <c r="FFF98" s="58"/>
      <c r="FFG98" s="58"/>
      <c r="FFH98" s="58"/>
      <c r="FFI98" s="58"/>
      <c r="FFJ98" s="58"/>
      <c r="FFK98" s="58"/>
      <c r="FFL98" s="58"/>
      <c r="FFM98" s="58"/>
      <c r="FFN98" s="58"/>
      <c r="FFO98" s="58"/>
      <c r="FFP98" s="58"/>
      <c r="FFQ98" s="58"/>
      <c r="FFR98" s="58"/>
      <c r="FFS98" s="58"/>
      <c r="FFT98" s="58"/>
      <c r="FFU98" s="58"/>
      <c r="FFV98" s="58"/>
      <c r="FFW98" s="58"/>
      <c r="FFX98" s="58"/>
      <c r="FFY98" s="58"/>
      <c r="FFZ98" s="58"/>
      <c r="FGA98" s="58"/>
      <c r="FGB98" s="58"/>
      <c r="FGC98" s="58"/>
      <c r="FGD98" s="58"/>
      <c r="FGE98" s="58"/>
      <c r="FGF98" s="58"/>
      <c r="FGG98" s="58"/>
      <c r="FGH98" s="58"/>
      <c r="FGI98" s="58"/>
      <c r="FGJ98" s="58"/>
      <c r="FGK98" s="58"/>
      <c r="FGL98" s="58"/>
      <c r="FGM98" s="58"/>
      <c r="FGN98" s="58"/>
      <c r="FGO98" s="58"/>
      <c r="FGP98" s="58"/>
      <c r="FGQ98" s="58"/>
      <c r="FGR98" s="58"/>
      <c r="FGS98" s="58"/>
      <c r="FGT98" s="58"/>
      <c r="FGU98" s="58"/>
      <c r="FGV98" s="58"/>
      <c r="FGW98" s="58"/>
      <c r="FGX98" s="58"/>
      <c r="FGY98" s="58"/>
      <c r="FGZ98" s="58"/>
      <c r="FHA98" s="58"/>
      <c r="FHB98" s="58"/>
      <c r="FHC98" s="58"/>
      <c r="FHD98" s="58"/>
      <c r="FHE98" s="58"/>
      <c r="FHF98" s="58"/>
      <c r="FHG98" s="58"/>
      <c r="FHH98" s="58"/>
      <c r="FHI98" s="58"/>
      <c r="FHJ98" s="58"/>
      <c r="FHK98" s="58"/>
      <c r="FHL98" s="58"/>
      <c r="FHM98" s="58"/>
      <c r="FHN98" s="58"/>
      <c r="FHO98" s="58"/>
      <c r="FHP98" s="58"/>
      <c r="FHQ98" s="58"/>
      <c r="FHR98" s="58"/>
      <c r="FHS98" s="58"/>
      <c r="FHT98" s="58"/>
      <c r="FHU98" s="58"/>
      <c r="FHV98" s="58"/>
      <c r="FHW98" s="58"/>
      <c r="FHX98" s="58"/>
      <c r="FHY98" s="58"/>
      <c r="FHZ98" s="58"/>
      <c r="FIA98" s="58"/>
      <c r="FIB98" s="58"/>
      <c r="FIC98" s="58"/>
      <c r="FID98" s="58"/>
      <c r="FIE98" s="58"/>
      <c r="FIF98" s="58"/>
      <c r="FIG98" s="58"/>
      <c r="FIH98" s="58"/>
      <c r="FII98" s="58"/>
      <c r="FIJ98" s="58"/>
      <c r="FIK98" s="58"/>
      <c r="FIL98" s="58"/>
      <c r="FIM98" s="58"/>
      <c r="FIN98" s="58"/>
      <c r="FIO98" s="58"/>
      <c r="FIP98" s="58"/>
      <c r="FIQ98" s="58"/>
      <c r="FIR98" s="58"/>
      <c r="FIS98" s="58"/>
      <c r="FIT98" s="58"/>
      <c r="FIU98" s="58"/>
      <c r="FIV98" s="58"/>
      <c r="FIW98" s="58"/>
      <c r="FIX98" s="58"/>
      <c r="FIY98" s="58"/>
      <c r="FIZ98" s="58"/>
      <c r="FJA98" s="58"/>
      <c r="FJB98" s="58"/>
      <c r="FJC98" s="58"/>
      <c r="FJD98" s="58"/>
      <c r="FJE98" s="58"/>
      <c r="FJF98" s="58"/>
      <c r="FJG98" s="58"/>
      <c r="FJH98" s="58"/>
      <c r="FJI98" s="58"/>
      <c r="FJJ98" s="58"/>
      <c r="FJK98" s="58"/>
      <c r="FJL98" s="58"/>
      <c r="FJM98" s="58"/>
      <c r="FJN98" s="58"/>
      <c r="FJO98" s="58"/>
      <c r="FJP98" s="58"/>
      <c r="FJQ98" s="58"/>
      <c r="FJR98" s="58"/>
      <c r="FJS98" s="58"/>
      <c r="FJT98" s="58"/>
      <c r="FJU98" s="58"/>
      <c r="FJV98" s="58"/>
      <c r="FJW98" s="58"/>
      <c r="FJX98" s="58"/>
      <c r="FJY98" s="58"/>
      <c r="FJZ98" s="58"/>
      <c r="FKA98" s="58"/>
      <c r="FKB98" s="58"/>
      <c r="FKC98" s="58"/>
      <c r="FKD98" s="58"/>
      <c r="FKE98" s="58"/>
      <c r="FKF98" s="58"/>
      <c r="FKG98" s="58"/>
      <c r="FKH98" s="58"/>
      <c r="FKI98" s="58"/>
      <c r="FKJ98" s="58"/>
      <c r="FKK98" s="58"/>
      <c r="FKL98" s="58"/>
      <c r="FKM98" s="58"/>
      <c r="FKN98" s="58"/>
      <c r="FKO98" s="58"/>
      <c r="FKP98" s="58"/>
      <c r="FKQ98" s="58"/>
      <c r="FKR98" s="58"/>
      <c r="FKS98" s="58"/>
      <c r="FKT98" s="58"/>
      <c r="FKU98" s="58"/>
      <c r="FKV98" s="58"/>
      <c r="FKW98" s="58"/>
      <c r="FKX98" s="58"/>
      <c r="FKY98" s="58"/>
      <c r="FKZ98" s="58"/>
      <c r="FLA98" s="58"/>
      <c r="FLB98" s="58"/>
      <c r="FLC98" s="58"/>
      <c r="FLD98" s="58"/>
      <c r="FLE98" s="58"/>
      <c r="FLF98" s="58"/>
      <c r="FLG98" s="58"/>
      <c r="FLH98" s="58"/>
      <c r="FLI98" s="58"/>
      <c r="FLJ98" s="58"/>
      <c r="FLK98" s="58"/>
      <c r="FLL98" s="58"/>
      <c r="FLM98" s="58"/>
      <c r="FLN98" s="58"/>
      <c r="FLO98" s="58"/>
      <c r="FLP98" s="58"/>
      <c r="FLQ98" s="58"/>
      <c r="FLR98" s="58"/>
      <c r="FLS98" s="58"/>
      <c r="FLT98" s="58"/>
      <c r="FLU98" s="58"/>
      <c r="FLV98" s="58"/>
      <c r="FLW98" s="58"/>
      <c r="FLX98" s="58"/>
      <c r="FLY98" s="58"/>
      <c r="FLZ98" s="58"/>
      <c r="FMA98" s="58"/>
      <c r="FMB98" s="58"/>
      <c r="FMC98" s="58"/>
      <c r="FMD98" s="58"/>
      <c r="FME98" s="58"/>
      <c r="FMF98" s="58"/>
      <c r="FMG98" s="58"/>
      <c r="FMH98" s="58"/>
      <c r="FMI98" s="58"/>
      <c r="FMJ98" s="58"/>
      <c r="FMK98" s="58"/>
      <c r="FML98" s="58"/>
      <c r="FMM98" s="58"/>
      <c r="FMN98" s="58"/>
      <c r="FMO98" s="58"/>
      <c r="FMP98" s="58"/>
      <c r="FMQ98" s="58"/>
      <c r="FMR98" s="58"/>
      <c r="FMS98" s="58"/>
      <c r="FMT98" s="58"/>
      <c r="FMU98" s="58"/>
      <c r="FMV98" s="58"/>
      <c r="FMW98" s="58"/>
      <c r="FMX98" s="58"/>
      <c r="FMY98" s="58"/>
      <c r="FMZ98" s="58"/>
      <c r="FNA98" s="58"/>
      <c r="FNB98" s="58"/>
      <c r="FNC98" s="58"/>
      <c r="FND98" s="58"/>
      <c r="FNE98" s="58"/>
      <c r="FNF98" s="58"/>
      <c r="FNG98" s="58"/>
      <c r="FNH98" s="58"/>
      <c r="FNI98" s="58"/>
      <c r="FNJ98" s="58"/>
      <c r="FNK98" s="58"/>
      <c r="FNL98" s="58"/>
      <c r="FNM98" s="58"/>
      <c r="FNN98" s="58"/>
      <c r="FNO98" s="58"/>
      <c r="FNP98" s="58"/>
      <c r="FNQ98" s="58"/>
      <c r="FNR98" s="58"/>
      <c r="FNS98" s="58"/>
      <c r="FNT98" s="58"/>
      <c r="FNU98" s="58"/>
      <c r="FNV98" s="58"/>
      <c r="FNW98" s="58"/>
      <c r="FNX98" s="58"/>
      <c r="FNY98" s="58"/>
      <c r="FNZ98" s="58"/>
      <c r="FOA98" s="58"/>
      <c r="FOB98" s="58"/>
      <c r="FOC98" s="58"/>
      <c r="FOD98" s="58"/>
      <c r="FOE98" s="58"/>
      <c r="FOF98" s="58"/>
      <c r="FOG98" s="58"/>
      <c r="FOH98" s="58"/>
      <c r="FOI98" s="58"/>
      <c r="FOJ98" s="58"/>
      <c r="FOK98" s="58"/>
      <c r="FOL98" s="58"/>
      <c r="FOM98" s="58"/>
      <c r="FON98" s="58"/>
      <c r="FOO98" s="58"/>
      <c r="FOP98" s="58"/>
      <c r="FOQ98" s="58"/>
      <c r="FOR98" s="58"/>
      <c r="FOS98" s="58"/>
      <c r="FOT98" s="58"/>
      <c r="FOU98" s="58"/>
      <c r="FOV98" s="58"/>
      <c r="FOW98" s="58"/>
      <c r="FOX98" s="58"/>
      <c r="FOY98" s="58"/>
      <c r="FOZ98" s="58"/>
      <c r="FPA98" s="58"/>
      <c r="FPB98" s="58"/>
      <c r="FPC98" s="58"/>
      <c r="FPD98" s="58"/>
      <c r="FPE98" s="58"/>
      <c r="FPF98" s="58"/>
      <c r="FPG98" s="58"/>
      <c r="FPH98" s="58"/>
      <c r="FPI98" s="58"/>
      <c r="FPJ98" s="58"/>
      <c r="FPK98" s="58"/>
      <c r="FPL98" s="58"/>
      <c r="FPM98" s="58"/>
      <c r="FPN98" s="58"/>
      <c r="FPO98" s="58"/>
      <c r="FPP98" s="58"/>
      <c r="FPQ98" s="58"/>
      <c r="FPR98" s="58"/>
      <c r="FPS98" s="58"/>
      <c r="FPT98" s="58"/>
      <c r="FPU98" s="58"/>
      <c r="FPV98" s="58"/>
      <c r="FPW98" s="58"/>
      <c r="FPX98" s="58"/>
      <c r="FPY98" s="58"/>
      <c r="FPZ98" s="58"/>
      <c r="FQA98" s="58"/>
      <c r="FQB98" s="58"/>
      <c r="FQC98" s="58"/>
      <c r="FQD98" s="58"/>
      <c r="FQE98" s="58"/>
      <c r="FQF98" s="58"/>
      <c r="FQG98" s="58"/>
      <c r="FQH98" s="58"/>
      <c r="FQI98" s="58"/>
      <c r="FQJ98" s="58"/>
      <c r="FQK98" s="58"/>
      <c r="FQL98" s="58"/>
      <c r="FQM98" s="58"/>
      <c r="FQN98" s="58"/>
      <c r="FQO98" s="58"/>
      <c r="FQP98" s="58"/>
      <c r="FQQ98" s="58"/>
      <c r="FQR98" s="58"/>
      <c r="FQS98" s="58"/>
      <c r="FQT98" s="58"/>
      <c r="FQU98" s="58"/>
      <c r="FQV98" s="58"/>
      <c r="FQW98" s="58"/>
      <c r="FQX98" s="58"/>
      <c r="FQY98" s="58"/>
      <c r="FQZ98" s="58"/>
      <c r="FRA98" s="58"/>
      <c r="FRB98" s="58"/>
      <c r="FRC98" s="58"/>
      <c r="FRD98" s="58"/>
      <c r="FRE98" s="58"/>
      <c r="FRF98" s="58"/>
      <c r="FRG98" s="58"/>
      <c r="FRH98" s="58"/>
      <c r="FRI98" s="58"/>
      <c r="FRJ98" s="58"/>
      <c r="FRK98" s="58"/>
      <c r="FRL98" s="58"/>
      <c r="FRM98" s="58"/>
      <c r="FRN98" s="58"/>
      <c r="FRO98" s="58"/>
      <c r="FRP98" s="58"/>
      <c r="FRQ98" s="58"/>
      <c r="FRR98" s="58"/>
      <c r="FRS98" s="58"/>
      <c r="FRT98" s="58"/>
      <c r="FRU98" s="58"/>
      <c r="FRV98" s="58"/>
      <c r="FRW98" s="58"/>
      <c r="FRX98" s="58"/>
      <c r="FRY98" s="58"/>
      <c r="FRZ98" s="58"/>
      <c r="FSA98" s="58"/>
      <c r="FSB98" s="58"/>
      <c r="FSC98" s="58"/>
      <c r="FSD98" s="58"/>
      <c r="FSE98" s="58"/>
      <c r="FSF98" s="58"/>
      <c r="FSG98" s="58"/>
      <c r="FSH98" s="58"/>
      <c r="FSI98" s="58"/>
      <c r="FSJ98" s="58"/>
      <c r="FSK98" s="58"/>
      <c r="FSL98" s="58"/>
      <c r="FSM98" s="58"/>
      <c r="FSN98" s="58"/>
      <c r="FSO98" s="58"/>
      <c r="FSP98" s="58"/>
      <c r="FSQ98" s="58"/>
      <c r="FSR98" s="58"/>
      <c r="FSS98" s="58"/>
      <c r="FST98" s="58"/>
      <c r="FSU98" s="58"/>
      <c r="FSV98" s="58"/>
      <c r="FSW98" s="58"/>
      <c r="FSX98" s="58"/>
      <c r="FSY98" s="58"/>
      <c r="FSZ98" s="58"/>
      <c r="FTA98" s="58"/>
      <c r="FTB98" s="58"/>
      <c r="FTC98" s="58"/>
      <c r="FTD98" s="58"/>
      <c r="FTE98" s="58"/>
      <c r="FTF98" s="58"/>
      <c r="FTG98" s="58"/>
      <c r="FTH98" s="58"/>
      <c r="FTI98" s="58"/>
      <c r="FTJ98" s="58"/>
      <c r="FTK98" s="58"/>
      <c r="FTL98" s="58"/>
      <c r="FTM98" s="58"/>
      <c r="FTN98" s="58"/>
      <c r="FTO98" s="58"/>
      <c r="FTP98" s="58"/>
      <c r="FTQ98" s="58"/>
      <c r="FTR98" s="58"/>
      <c r="FTS98" s="58"/>
      <c r="FTT98" s="58"/>
      <c r="FTU98" s="58"/>
      <c r="FTV98" s="58"/>
      <c r="FTW98" s="58"/>
      <c r="FTX98" s="58"/>
      <c r="FTY98" s="58"/>
      <c r="FTZ98" s="58"/>
      <c r="FUA98" s="58"/>
      <c r="FUB98" s="58"/>
      <c r="FUC98" s="58"/>
      <c r="FUD98" s="58"/>
      <c r="FUE98" s="58"/>
      <c r="FUF98" s="58"/>
      <c r="FUG98" s="58"/>
      <c r="FUH98" s="58"/>
      <c r="FUI98" s="58"/>
      <c r="FUJ98" s="58"/>
      <c r="FUK98" s="58"/>
      <c r="FUL98" s="58"/>
      <c r="FUM98" s="58"/>
      <c r="FUN98" s="58"/>
      <c r="FUO98" s="58"/>
      <c r="FUP98" s="58"/>
      <c r="FUQ98" s="58"/>
      <c r="FUR98" s="58"/>
      <c r="FUS98" s="58"/>
      <c r="FUT98" s="58"/>
      <c r="FUU98" s="58"/>
      <c r="FUV98" s="58"/>
      <c r="FUW98" s="58"/>
      <c r="FUX98" s="58"/>
      <c r="FUY98" s="58"/>
      <c r="FUZ98" s="58"/>
      <c r="FVA98" s="58"/>
      <c r="FVB98" s="58"/>
      <c r="FVC98" s="58"/>
      <c r="FVD98" s="58"/>
      <c r="FVE98" s="58"/>
      <c r="FVF98" s="58"/>
      <c r="FVG98" s="58"/>
      <c r="FVH98" s="58"/>
      <c r="FVI98" s="58"/>
      <c r="FVJ98" s="58"/>
      <c r="FVK98" s="58"/>
      <c r="FVL98" s="58"/>
      <c r="FVM98" s="58"/>
      <c r="FVN98" s="58"/>
      <c r="FVO98" s="58"/>
      <c r="FVP98" s="58"/>
      <c r="FVQ98" s="58"/>
      <c r="FVR98" s="58"/>
      <c r="FVS98" s="58"/>
      <c r="FVT98" s="58"/>
      <c r="FVU98" s="58"/>
      <c r="FVV98" s="58"/>
      <c r="FVW98" s="58"/>
      <c r="FVX98" s="58"/>
      <c r="FVY98" s="58"/>
      <c r="FVZ98" s="58"/>
      <c r="FWA98" s="58"/>
      <c r="FWB98" s="58"/>
      <c r="FWC98" s="58"/>
      <c r="FWD98" s="58"/>
      <c r="FWE98" s="58"/>
      <c r="FWF98" s="58"/>
      <c r="FWG98" s="58"/>
      <c r="FWH98" s="58"/>
      <c r="FWI98" s="58"/>
      <c r="FWJ98" s="58"/>
      <c r="FWK98" s="58"/>
      <c r="FWL98" s="58"/>
      <c r="FWM98" s="58"/>
      <c r="FWN98" s="58"/>
      <c r="FWO98" s="58"/>
      <c r="FWP98" s="58"/>
      <c r="FWQ98" s="58"/>
      <c r="FWR98" s="58"/>
      <c r="FWS98" s="58"/>
      <c r="FWT98" s="58"/>
      <c r="FWU98" s="58"/>
      <c r="FWV98" s="58"/>
      <c r="FWW98" s="58"/>
      <c r="FWX98" s="58"/>
      <c r="FWY98" s="58"/>
      <c r="FWZ98" s="58"/>
      <c r="FXA98" s="58"/>
      <c r="FXB98" s="58"/>
      <c r="FXC98" s="58"/>
      <c r="FXD98" s="58"/>
      <c r="FXE98" s="58"/>
      <c r="FXF98" s="58"/>
      <c r="FXG98" s="58"/>
      <c r="FXH98" s="58"/>
      <c r="FXI98" s="58"/>
      <c r="FXJ98" s="58"/>
      <c r="FXK98" s="58"/>
      <c r="FXL98" s="58"/>
      <c r="FXM98" s="58"/>
      <c r="FXN98" s="58"/>
      <c r="FXO98" s="58"/>
      <c r="FXP98" s="58"/>
      <c r="FXQ98" s="58"/>
      <c r="FXR98" s="58"/>
      <c r="FXS98" s="58"/>
      <c r="FXT98" s="58"/>
      <c r="FXU98" s="58"/>
      <c r="FXV98" s="58"/>
      <c r="FXW98" s="58"/>
      <c r="FXX98" s="58"/>
      <c r="FXY98" s="58"/>
      <c r="FXZ98" s="58"/>
      <c r="FYA98" s="58"/>
      <c r="FYB98" s="58"/>
      <c r="FYC98" s="58"/>
      <c r="FYD98" s="58"/>
      <c r="FYE98" s="58"/>
      <c r="FYF98" s="58"/>
      <c r="FYG98" s="58"/>
      <c r="FYH98" s="58"/>
      <c r="FYI98" s="58"/>
      <c r="FYJ98" s="58"/>
      <c r="FYK98" s="58"/>
      <c r="FYL98" s="58"/>
      <c r="FYM98" s="58"/>
      <c r="FYN98" s="58"/>
      <c r="FYO98" s="58"/>
      <c r="FYP98" s="58"/>
      <c r="FYQ98" s="58"/>
      <c r="FYR98" s="58"/>
      <c r="FYS98" s="58"/>
      <c r="FYT98" s="58"/>
      <c r="FYU98" s="58"/>
      <c r="FYV98" s="58"/>
      <c r="FYW98" s="58"/>
      <c r="FYX98" s="58"/>
      <c r="FYY98" s="58"/>
      <c r="FYZ98" s="58"/>
      <c r="FZA98" s="58"/>
      <c r="FZB98" s="58"/>
      <c r="FZC98" s="58"/>
      <c r="FZD98" s="58"/>
      <c r="FZE98" s="58"/>
      <c r="FZF98" s="58"/>
      <c r="FZG98" s="58"/>
      <c r="FZH98" s="58"/>
      <c r="FZI98" s="58"/>
      <c r="FZJ98" s="58"/>
      <c r="FZK98" s="58"/>
      <c r="FZL98" s="58"/>
      <c r="FZM98" s="58"/>
      <c r="FZN98" s="58"/>
      <c r="FZO98" s="58"/>
      <c r="FZP98" s="58"/>
      <c r="FZQ98" s="58"/>
      <c r="FZR98" s="58"/>
      <c r="FZS98" s="58"/>
      <c r="FZT98" s="58"/>
      <c r="FZU98" s="58"/>
      <c r="FZV98" s="58"/>
      <c r="FZW98" s="58"/>
      <c r="FZX98" s="58"/>
      <c r="FZY98" s="58"/>
      <c r="FZZ98" s="58"/>
      <c r="GAA98" s="58"/>
      <c r="GAB98" s="58"/>
      <c r="GAC98" s="58"/>
      <c r="GAD98" s="58"/>
      <c r="GAE98" s="58"/>
      <c r="GAF98" s="58"/>
      <c r="GAG98" s="58"/>
      <c r="GAH98" s="58"/>
      <c r="GAI98" s="58"/>
      <c r="GAJ98" s="58"/>
      <c r="GAK98" s="58"/>
      <c r="GAL98" s="58"/>
      <c r="GAM98" s="58"/>
      <c r="GAN98" s="58"/>
      <c r="GAO98" s="58"/>
      <c r="GAP98" s="58"/>
      <c r="GAQ98" s="58"/>
      <c r="GAR98" s="58"/>
      <c r="GAS98" s="58"/>
      <c r="GAT98" s="58"/>
      <c r="GAU98" s="58"/>
      <c r="GAV98" s="58"/>
      <c r="GAW98" s="58"/>
      <c r="GAX98" s="58"/>
      <c r="GAY98" s="58"/>
      <c r="GAZ98" s="58"/>
      <c r="GBA98" s="58"/>
      <c r="GBB98" s="58"/>
      <c r="GBC98" s="58"/>
      <c r="GBD98" s="58"/>
      <c r="GBE98" s="58"/>
      <c r="GBF98" s="58"/>
      <c r="GBG98" s="58"/>
      <c r="GBH98" s="58"/>
      <c r="GBI98" s="58"/>
      <c r="GBJ98" s="58"/>
      <c r="GBK98" s="58"/>
      <c r="GBL98" s="58"/>
      <c r="GBM98" s="58"/>
      <c r="GBN98" s="58"/>
      <c r="GBO98" s="58"/>
      <c r="GBP98" s="58"/>
      <c r="GBQ98" s="58"/>
      <c r="GBR98" s="58"/>
      <c r="GBS98" s="58"/>
      <c r="GBT98" s="58"/>
      <c r="GBU98" s="58"/>
      <c r="GBV98" s="58"/>
      <c r="GBW98" s="58"/>
      <c r="GBX98" s="58"/>
      <c r="GBY98" s="58"/>
      <c r="GBZ98" s="58"/>
      <c r="GCA98" s="58"/>
      <c r="GCB98" s="58"/>
      <c r="GCC98" s="58"/>
      <c r="GCD98" s="58"/>
      <c r="GCE98" s="58"/>
      <c r="GCF98" s="58"/>
      <c r="GCG98" s="58"/>
      <c r="GCH98" s="58"/>
      <c r="GCI98" s="58"/>
      <c r="GCJ98" s="58"/>
      <c r="GCK98" s="58"/>
      <c r="GCL98" s="58"/>
      <c r="GCM98" s="58"/>
      <c r="GCN98" s="58"/>
      <c r="GCO98" s="58"/>
      <c r="GCP98" s="58"/>
      <c r="GCQ98" s="58"/>
      <c r="GCR98" s="58"/>
      <c r="GCS98" s="58"/>
      <c r="GCT98" s="58"/>
      <c r="GCU98" s="58"/>
      <c r="GCV98" s="58"/>
      <c r="GCW98" s="58"/>
      <c r="GCX98" s="58"/>
      <c r="GCY98" s="58"/>
      <c r="GCZ98" s="58"/>
      <c r="GDA98" s="58"/>
      <c r="GDB98" s="58"/>
      <c r="GDC98" s="58"/>
      <c r="GDD98" s="58"/>
      <c r="GDE98" s="58"/>
      <c r="GDF98" s="58"/>
      <c r="GDG98" s="58"/>
      <c r="GDH98" s="58"/>
      <c r="GDI98" s="58"/>
      <c r="GDJ98" s="58"/>
      <c r="GDK98" s="58"/>
      <c r="GDL98" s="58"/>
      <c r="GDM98" s="58"/>
      <c r="GDN98" s="58"/>
      <c r="GDO98" s="58"/>
      <c r="GDP98" s="58"/>
      <c r="GDQ98" s="58"/>
      <c r="GDR98" s="58"/>
      <c r="GDS98" s="58"/>
      <c r="GDT98" s="58"/>
      <c r="GDU98" s="58"/>
      <c r="GDV98" s="58"/>
      <c r="GDW98" s="58"/>
      <c r="GDX98" s="58"/>
      <c r="GDY98" s="58"/>
      <c r="GDZ98" s="58"/>
      <c r="GEA98" s="58"/>
      <c r="GEB98" s="58"/>
      <c r="GEC98" s="58"/>
      <c r="GED98" s="58"/>
      <c r="GEE98" s="58"/>
      <c r="GEF98" s="58"/>
      <c r="GEG98" s="58"/>
      <c r="GEH98" s="58"/>
      <c r="GEI98" s="58"/>
      <c r="GEJ98" s="58"/>
      <c r="GEK98" s="58"/>
      <c r="GEL98" s="58"/>
      <c r="GEM98" s="58"/>
      <c r="GEN98" s="58"/>
      <c r="GEO98" s="58"/>
      <c r="GEP98" s="58"/>
      <c r="GEQ98" s="58"/>
      <c r="GER98" s="58"/>
      <c r="GES98" s="58"/>
      <c r="GET98" s="58"/>
      <c r="GEU98" s="58"/>
      <c r="GEV98" s="58"/>
      <c r="GEW98" s="58"/>
      <c r="GEX98" s="58"/>
      <c r="GEY98" s="58"/>
      <c r="GEZ98" s="58"/>
      <c r="GFA98" s="58"/>
      <c r="GFB98" s="58"/>
      <c r="GFC98" s="58"/>
      <c r="GFD98" s="58"/>
      <c r="GFE98" s="58"/>
      <c r="GFF98" s="58"/>
      <c r="GFG98" s="58"/>
      <c r="GFH98" s="58"/>
      <c r="GFI98" s="58"/>
      <c r="GFJ98" s="58"/>
      <c r="GFK98" s="58"/>
      <c r="GFL98" s="58"/>
      <c r="GFM98" s="58"/>
      <c r="GFN98" s="58"/>
      <c r="GFO98" s="58"/>
      <c r="GFP98" s="58"/>
      <c r="GFQ98" s="58"/>
      <c r="GFR98" s="58"/>
      <c r="GFS98" s="58"/>
      <c r="GFT98" s="58"/>
      <c r="GFU98" s="58"/>
      <c r="GFV98" s="58"/>
      <c r="GFW98" s="58"/>
      <c r="GFX98" s="58"/>
      <c r="GFY98" s="58"/>
      <c r="GFZ98" s="58"/>
      <c r="GGA98" s="58"/>
      <c r="GGB98" s="58"/>
      <c r="GGC98" s="58"/>
      <c r="GGD98" s="58"/>
      <c r="GGE98" s="58"/>
      <c r="GGF98" s="58"/>
      <c r="GGG98" s="58"/>
      <c r="GGH98" s="58"/>
      <c r="GGI98" s="58"/>
      <c r="GGJ98" s="58"/>
      <c r="GGK98" s="58"/>
      <c r="GGL98" s="58"/>
      <c r="GGM98" s="58"/>
      <c r="GGN98" s="58"/>
      <c r="GGO98" s="58"/>
      <c r="GGP98" s="58"/>
      <c r="GGQ98" s="58"/>
      <c r="GGR98" s="58"/>
      <c r="GGS98" s="58"/>
      <c r="GGT98" s="58"/>
      <c r="GGU98" s="58"/>
      <c r="GGV98" s="58"/>
      <c r="GGW98" s="58"/>
      <c r="GGX98" s="58"/>
      <c r="GGY98" s="58"/>
      <c r="GGZ98" s="58"/>
      <c r="GHA98" s="58"/>
      <c r="GHB98" s="58"/>
      <c r="GHC98" s="58"/>
      <c r="GHD98" s="58"/>
      <c r="GHE98" s="58"/>
      <c r="GHF98" s="58"/>
      <c r="GHG98" s="58"/>
      <c r="GHH98" s="58"/>
      <c r="GHI98" s="58"/>
      <c r="GHJ98" s="58"/>
      <c r="GHK98" s="58"/>
      <c r="GHL98" s="58"/>
      <c r="GHM98" s="58"/>
      <c r="GHN98" s="58"/>
      <c r="GHO98" s="58"/>
      <c r="GHP98" s="58"/>
      <c r="GHQ98" s="58"/>
      <c r="GHR98" s="58"/>
      <c r="GHS98" s="58"/>
      <c r="GHT98" s="58"/>
      <c r="GHU98" s="58"/>
      <c r="GHV98" s="58"/>
      <c r="GHW98" s="58"/>
      <c r="GHX98" s="58"/>
      <c r="GHY98" s="58"/>
      <c r="GHZ98" s="58"/>
      <c r="GIA98" s="58"/>
      <c r="GIB98" s="58"/>
      <c r="GIC98" s="58"/>
      <c r="GID98" s="58"/>
      <c r="GIE98" s="58"/>
      <c r="GIF98" s="58"/>
      <c r="GIG98" s="58"/>
      <c r="GIH98" s="58"/>
      <c r="GII98" s="58"/>
      <c r="GIJ98" s="58"/>
      <c r="GIK98" s="58"/>
      <c r="GIL98" s="58"/>
      <c r="GIM98" s="58"/>
      <c r="GIN98" s="58"/>
      <c r="GIO98" s="58"/>
      <c r="GIP98" s="58"/>
      <c r="GIQ98" s="58"/>
      <c r="GIR98" s="58"/>
      <c r="GIS98" s="58"/>
      <c r="GIT98" s="58"/>
      <c r="GIU98" s="58"/>
      <c r="GIV98" s="58"/>
      <c r="GIW98" s="58"/>
      <c r="GIX98" s="58"/>
      <c r="GIY98" s="58"/>
      <c r="GIZ98" s="58"/>
      <c r="GJA98" s="58"/>
      <c r="GJB98" s="58"/>
      <c r="GJC98" s="58"/>
      <c r="GJD98" s="58"/>
      <c r="GJE98" s="58"/>
      <c r="GJF98" s="58"/>
      <c r="GJG98" s="58"/>
      <c r="GJH98" s="58"/>
      <c r="GJI98" s="58"/>
      <c r="GJJ98" s="58"/>
      <c r="GJK98" s="58"/>
      <c r="GJL98" s="58"/>
      <c r="GJM98" s="58"/>
      <c r="GJN98" s="58"/>
      <c r="GJO98" s="58"/>
      <c r="GJP98" s="58"/>
      <c r="GJQ98" s="58"/>
      <c r="GJR98" s="58"/>
      <c r="GJS98" s="58"/>
      <c r="GJT98" s="58"/>
      <c r="GJU98" s="58"/>
      <c r="GJV98" s="58"/>
      <c r="GJW98" s="58"/>
      <c r="GJX98" s="58"/>
      <c r="GJY98" s="58"/>
      <c r="GJZ98" s="58"/>
      <c r="GKA98" s="58"/>
      <c r="GKB98" s="58"/>
      <c r="GKC98" s="58"/>
      <c r="GKD98" s="58"/>
      <c r="GKE98" s="58"/>
      <c r="GKF98" s="58"/>
      <c r="GKG98" s="58"/>
      <c r="GKH98" s="58"/>
      <c r="GKI98" s="58"/>
      <c r="GKJ98" s="58"/>
      <c r="GKK98" s="58"/>
      <c r="GKL98" s="58"/>
      <c r="GKM98" s="58"/>
      <c r="GKN98" s="58"/>
      <c r="GKO98" s="58"/>
      <c r="GKP98" s="58"/>
      <c r="GKQ98" s="58"/>
      <c r="GKR98" s="58"/>
      <c r="GKS98" s="58"/>
      <c r="GKT98" s="58"/>
      <c r="GKU98" s="58"/>
      <c r="GKV98" s="58"/>
      <c r="GKW98" s="58"/>
      <c r="GKX98" s="58"/>
      <c r="GKY98" s="58"/>
      <c r="GKZ98" s="58"/>
      <c r="GLA98" s="58"/>
      <c r="GLB98" s="58"/>
      <c r="GLC98" s="58"/>
      <c r="GLD98" s="58"/>
      <c r="GLE98" s="58"/>
      <c r="GLF98" s="58"/>
      <c r="GLG98" s="58"/>
      <c r="GLH98" s="58"/>
      <c r="GLI98" s="58"/>
      <c r="GLJ98" s="58"/>
      <c r="GLK98" s="58"/>
      <c r="GLL98" s="58"/>
      <c r="GLM98" s="58"/>
      <c r="GLN98" s="58"/>
      <c r="GLO98" s="58"/>
      <c r="GLP98" s="58"/>
      <c r="GLQ98" s="58"/>
      <c r="GLR98" s="58"/>
      <c r="GLS98" s="58"/>
      <c r="GLT98" s="58"/>
      <c r="GLU98" s="58"/>
      <c r="GLV98" s="58"/>
      <c r="GLW98" s="58"/>
      <c r="GLX98" s="58"/>
      <c r="GLY98" s="58"/>
      <c r="GLZ98" s="58"/>
      <c r="GMA98" s="58"/>
      <c r="GMB98" s="58"/>
      <c r="GMC98" s="58"/>
      <c r="GMD98" s="58"/>
      <c r="GME98" s="58"/>
      <c r="GMF98" s="58"/>
      <c r="GMG98" s="58"/>
      <c r="GMH98" s="58"/>
      <c r="GMI98" s="58"/>
      <c r="GMJ98" s="58"/>
      <c r="GMK98" s="58"/>
      <c r="GML98" s="58"/>
      <c r="GMM98" s="58"/>
      <c r="GMN98" s="58"/>
      <c r="GMO98" s="58"/>
      <c r="GMP98" s="58"/>
      <c r="GMQ98" s="58"/>
      <c r="GMR98" s="58"/>
      <c r="GMS98" s="58"/>
      <c r="GMT98" s="58"/>
      <c r="GMU98" s="58"/>
      <c r="GMV98" s="58"/>
      <c r="GMW98" s="58"/>
      <c r="GMX98" s="58"/>
      <c r="GMY98" s="58"/>
      <c r="GMZ98" s="58"/>
      <c r="GNA98" s="58"/>
      <c r="GNB98" s="58"/>
      <c r="GNC98" s="58"/>
      <c r="GND98" s="58"/>
      <c r="GNE98" s="58"/>
      <c r="GNF98" s="58"/>
      <c r="GNG98" s="58"/>
      <c r="GNH98" s="58"/>
      <c r="GNI98" s="58"/>
      <c r="GNJ98" s="58"/>
      <c r="GNK98" s="58"/>
      <c r="GNL98" s="58"/>
      <c r="GNM98" s="58"/>
      <c r="GNN98" s="58"/>
      <c r="GNO98" s="58"/>
      <c r="GNP98" s="58"/>
      <c r="GNQ98" s="58"/>
      <c r="GNR98" s="58"/>
      <c r="GNS98" s="58"/>
      <c r="GNT98" s="58"/>
      <c r="GNU98" s="58"/>
      <c r="GNV98" s="58"/>
      <c r="GNW98" s="58"/>
      <c r="GNX98" s="58"/>
      <c r="GNY98" s="58"/>
      <c r="GNZ98" s="58"/>
      <c r="GOA98" s="58"/>
      <c r="GOB98" s="58"/>
      <c r="GOC98" s="58"/>
      <c r="GOD98" s="58"/>
      <c r="GOE98" s="58"/>
      <c r="GOF98" s="58"/>
      <c r="GOG98" s="58"/>
      <c r="GOH98" s="58"/>
      <c r="GOI98" s="58"/>
      <c r="GOJ98" s="58"/>
      <c r="GOK98" s="58"/>
      <c r="GOL98" s="58"/>
      <c r="GOM98" s="58"/>
      <c r="GON98" s="58"/>
      <c r="GOO98" s="58"/>
      <c r="GOP98" s="58"/>
      <c r="GOQ98" s="58"/>
      <c r="GOR98" s="58"/>
      <c r="GOS98" s="58"/>
      <c r="GOT98" s="58"/>
      <c r="GOU98" s="58"/>
      <c r="GOV98" s="58"/>
      <c r="GOW98" s="58"/>
      <c r="GOX98" s="58"/>
      <c r="GOY98" s="58"/>
      <c r="GOZ98" s="58"/>
      <c r="GPA98" s="58"/>
      <c r="GPB98" s="58"/>
      <c r="GPC98" s="58"/>
      <c r="GPD98" s="58"/>
      <c r="GPE98" s="58"/>
      <c r="GPF98" s="58"/>
      <c r="GPG98" s="58"/>
      <c r="GPH98" s="58"/>
      <c r="GPI98" s="58"/>
      <c r="GPJ98" s="58"/>
      <c r="GPK98" s="58"/>
      <c r="GPL98" s="58"/>
      <c r="GPM98" s="58"/>
      <c r="GPN98" s="58"/>
      <c r="GPO98" s="58"/>
      <c r="GPP98" s="58"/>
      <c r="GPQ98" s="58"/>
      <c r="GPR98" s="58"/>
      <c r="GPS98" s="58"/>
      <c r="GPT98" s="58"/>
      <c r="GPU98" s="58"/>
      <c r="GPV98" s="58"/>
      <c r="GPW98" s="58"/>
      <c r="GPX98" s="58"/>
      <c r="GPY98" s="58"/>
      <c r="GPZ98" s="58"/>
      <c r="GQA98" s="58"/>
      <c r="GQB98" s="58"/>
      <c r="GQC98" s="58"/>
      <c r="GQD98" s="58"/>
      <c r="GQE98" s="58"/>
      <c r="GQF98" s="58"/>
      <c r="GQG98" s="58"/>
      <c r="GQH98" s="58"/>
      <c r="GQI98" s="58"/>
      <c r="GQJ98" s="58"/>
      <c r="GQK98" s="58"/>
      <c r="GQL98" s="58"/>
      <c r="GQM98" s="58"/>
      <c r="GQN98" s="58"/>
      <c r="GQO98" s="58"/>
      <c r="GQP98" s="58"/>
      <c r="GQQ98" s="58"/>
      <c r="GQR98" s="58"/>
      <c r="GQS98" s="58"/>
      <c r="GQT98" s="58"/>
      <c r="GQU98" s="58"/>
      <c r="GQV98" s="58"/>
      <c r="GQW98" s="58"/>
      <c r="GQX98" s="58"/>
      <c r="GQY98" s="58"/>
      <c r="GQZ98" s="58"/>
      <c r="GRA98" s="58"/>
      <c r="GRB98" s="58"/>
      <c r="GRC98" s="58"/>
      <c r="GRD98" s="58"/>
      <c r="GRE98" s="58"/>
      <c r="GRF98" s="58"/>
      <c r="GRG98" s="58"/>
      <c r="GRH98" s="58"/>
      <c r="GRI98" s="58"/>
      <c r="GRJ98" s="58"/>
      <c r="GRK98" s="58"/>
      <c r="GRL98" s="58"/>
      <c r="GRM98" s="58"/>
      <c r="GRN98" s="58"/>
      <c r="GRO98" s="58"/>
      <c r="GRP98" s="58"/>
      <c r="GRQ98" s="58"/>
      <c r="GRR98" s="58"/>
      <c r="GRS98" s="58"/>
      <c r="GRT98" s="58"/>
      <c r="GRU98" s="58"/>
      <c r="GRV98" s="58"/>
      <c r="GRW98" s="58"/>
      <c r="GRX98" s="58"/>
      <c r="GRY98" s="58"/>
      <c r="GRZ98" s="58"/>
      <c r="GSA98" s="58"/>
      <c r="GSB98" s="58"/>
      <c r="GSC98" s="58"/>
      <c r="GSD98" s="58"/>
      <c r="GSE98" s="58"/>
      <c r="GSF98" s="58"/>
      <c r="GSG98" s="58"/>
      <c r="GSH98" s="58"/>
      <c r="GSI98" s="58"/>
      <c r="GSJ98" s="58"/>
      <c r="GSK98" s="58"/>
      <c r="GSL98" s="58"/>
      <c r="GSM98" s="58"/>
      <c r="GSN98" s="58"/>
      <c r="GSO98" s="58"/>
      <c r="GSP98" s="58"/>
      <c r="GSQ98" s="58"/>
      <c r="GSR98" s="58"/>
      <c r="GSS98" s="58"/>
      <c r="GST98" s="58"/>
      <c r="GSU98" s="58"/>
      <c r="GSV98" s="58"/>
      <c r="GSW98" s="58"/>
      <c r="GSX98" s="58"/>
      <c r="GSY98" s="58"/>
      <c r="GSZ98" s="58"/>
      <c r="GTA98" s="58"/>
      <c r="GTB98" s="58"/>
      <c r="GTC98" s="58"/>
      <c r="GTD98" s="58"/>
      <c r="GTE98" s="58"/>
      <c r="GTF98" s="58"/>
      <c r="GTG98" s="58"/>
      <c r="GTH98" s="58"/>
      <c r="GTI98" s="58"/>
      <c r="GTJ98" s="58"/>
      <c r="GTK98" s="58"/>
      <c r="GTL98" s="58"/>
      <c r="GTM98" s="58"/>
      <c r="GTN98" s="58"/>
      <c r="GTO98" s="58"/>
      <c r="GTP98" s="58"/>
      <c r="GTQ98" s="58"/>
      <c r="GTR98" s="58"/>
      <c r="GTS98" s="58"/>
      <c r="GTT98" s="58"/>
      <c r="GTU98" s="58"/>
      <c r="GTV98" s="58"/>
      <c r="GTW98" s="58"/>
      <c r="GTX98" s="58"/>
      <c r="GTY98" s="58"/>
      <c r="GTZ98" s="58"/>
      <c r="GUA98" s="58"/>
      <c r="GUB98" s="58"/>
      <c r="GUC98" s="58"/>
      <c r="GUD98" s="58"/>
      <c r="GUE98" s="58"/>
      <c r="GUF98" s="58"/>
      <c r="GUG98" s="58"/>
      <c r="GUH98" s="58"/>
      <c r="GUI98" s="58"/>
      <c r="GUJ98" s="58"/>
      <c r="GUK98" s="58"/>
      <c r="GUL98" s="58"/>
      <c r="GUM98" s="58"/>
      <c r="GUN98" s="58"/>
      <c r="GUO98" s="58"/>
      <c r="GUP98" s="58"/>
      <c r="GUQ98" s="58"/>
      <c r="GUR98" s="58"/>
      <c r="GUS98" s="58"/>
      <c r="GUT98" s="58"/>
      <c r="GUU98" s="58"/>
      <c r="GUV98" s="58"/>
      <c r="GUW98" s="58"/>
      <c r="GUX98" s="58"/>
      <c r="GUY98" s="58"/>
      <c r="GUZ98" s="58"/>
      <c r="GVA98" s="58"/>
      <c r="GVB98" s="58"/>
      <c r="GVC98" s="58"/>
      <c r="GVD98" s="58"/>
      <c r="GVE98" s="58"/>
      <c r="GVF98" s="58"/>
      <c r="GVG98" s="58"/>
      <c r="GVH98" s="58"/>
      <c r="GVI98" s="58"/>
      <c r="GVJ98" s="58"/>
      <c r="GVK98" s="58"/>
      <c r="GVL98" s="58"/>
      <c r="GVM98" s="58"/>
      <c r="GVN98" s="58"/>
      <c r="GVO98" s="58"/>
      <c r="GVP98" s="58"/>
      <c r="GVQ98" s="58"/>
      <c r="GVR98" s="58"/>
      <c r="GVS98" s="58"/>
      <c r="GVT98" s="58"/>
      <c r="GVU98" s="58"/>
      <c r="GVV98" s="58"/>
      <c r="GVW98" s="58"/>
      <c r="GVX98" s="58"/>
      <c r="GVY98" s="58"/>
      <c r="GVZ98" s="58"/>
      <c r="GWA98" s="58"/>
      <c r="GWB98" s="58"/>
      <c r="GWC98" s="58"/>
      <c r="GWD98" s="58"/>
      <c r="GWE98" s="58"/>
      <c r="GWF98" s="58"/>
      <c r="GWG98" s="58"/>
      <c r="GWH98" s="58"/>
      <c r="GWI98" s="58"/>
      <c r="GWJ98" s="58"/>
      <c r="GWK98" s="58"/>
      <c r="GWL98" s="58"/>
      <c r="GWM98" s="58"/>
      <c r="GWN98" s="58"/>
      <c r="GWO98" s="58"/>
      <c r="GWP98" s="58"/>
      <c r="GWQ98" s="58"/>
      <c r="GWR98" s="58"/>
      <c r="GWS98" s="58"/>
      <c r="GWT98" s="58"/>
      <c r="GWU98" s="58"/>
      <c r="GWV98" s="58"/>
      <c r="GWW98" s="58"/>
      <c r="GWX98" s="58"/>
      <c r="GWY98" s="58"/>
      <c r="GWZ98" s="58"/>
      <c r="GXA98" s="58"/>
      <c r="GXB98" s="58"/>
      <c r="GXC98" s="58"/>
      <c r="GXD98" s="58"/>
      <c r="GXE98" s="58"/>
      <c r="GXF98" s="58"/>
      <c r="GXG98" s="58"/>
      <c r="GXH98" s="58"/>
      <c r="GXI98" s="58"/>
      <c r="GXJ98" s="58"/>
      <c r="GXK98" s="58"/>
      <c r="GXL98" s="58"/>
      <c r="GXM98" s="58"/>
      <c r="GXN98" s="58"/>
      <c r="GXO98" s="58"/>
      <c r="GXP98" s="58"/>
      <c r="GXQ98" s="58"/>
      <c r="GXR98" s="58"/>
      <c r="GXS98" s="58"/>
      <c r="GXT98" s="58"/>
      <c r="GXU98" s="58"/>
      <c r="GXV98" s="58"/>
      <c r="GXW98" s="58"/>
      <c r="GXX98" s="58"/>
      <c r="GXY98" s="58"/>
      <c r="GXZ98" s="58"/>
      <c r="GYA98" s="58"/>
      <c r="GYB98" s="58"/>
      <c r="GYC98" s="58"/>
      <c r="GYD98" s="58"/>
      <c r="GYE98" s="58"/>
      <c r="GYF98" s="58"/>
      <c r="GYG98" s="58"/>
      <c r="GYH98" s="58"/>
      <c r="GYI98" s="58"/>
      <c r="GYJ98" s="58"/>
      <c r="GYK98" s="58"/>
      <c r="GYL98" s="58"/>
      <c r="GYM98" s="58"/>
      <c r="GYN98" s="58"/>
      <c r="GYO98" s="58"/>
      <c r="GYP98" s="58"/>
      <c r="GYQ98" s="58"/>
      <c r="GYR98" s="58"/>
      <c r="GYS98" s="58"/>
      <c r="GYT98" s="58"/>
      <c r="GYU98" s="58"/>
      <c r="GYV98" s="58"/>
      <c r="GYW98" s="58"/>
      <c r="GYX98" s="58"/>
      <c r="GYY98" s="58"/>
      <c r="GYZ98" s="58"/>
      <c r="GZA98" s="58"/>
      <c r="GZB98" s="58"/>
      <c r="GZC98" s="58"/>
      <c r="GZD98" s="58"/>
      <c r="GZE98" s="58"/>
      <c r="GZF98" s="58"/>
      <c r="GZG98" s="58"/>
      <c r="GZH98" s="58"/>
      <c r="GZI98" s="58"/>
      <c r="GZJ98" s="58"/>
      <c r="GZK98" s="58"/>
      <c r="GZL98" s="58"/>
      <c r="GZM98" s="58"/>
      <c r="GZN98" s="58"/>
      <c r="GZO98" s="58"/>
      <c r="GZP98" s="58"/>
      <c r="GZQ98" s="58"/>
      <c r="GZR98" s="58"/>
      <c r="GZS98" s="58"/>
      <c r="GZT98" s="58"/>
      <c r="GZU98" s="58"/>
      <c r="GZV98" s="58"/>
      <c r="GZW98" s="58"/>
      <c r="GZX98" s="58"/>
      <c r="GZY98" s="58"/>
      <c r="GZZ98" s="58"/>
      <c r="HAA98" s="58"/>
      <c r="HAB98" s="58"/>
      <c r="HAC98" s="58"/>
      <c r="HAD98" s="58"/>
      <c r="HAE98" s="58"/>
      <c r="HAF98" s="58"/>
      <c r="HAG98" s="58"/>
      <c r="HAH98" s="58"/>
      <c r="HAI98" s="58"/>
      <c r="HAJ98" s="58"/>
      <c r="HAK98" s="58"/>
      <c r="HAL98" s="58"/>
      <c r="HAM98" s="58"/>
      <c r="HAN98" s="58"/>
      <c r="HAO98" s="58"/>
      <c r="HAP98" s="58"/>
      <c r="HAQ98" s="58"/>
      <c r="HAR98" s="58"/>
      <c r="HAS98" s="58"/>
      <c r="HAT98" s="58"/>
      <c r="HAU98" s="58"/>
      <c r="HAV98" s="58"/>
      <c r="HAW98" s="58"/>
      <c r="HAX98" s="58"/>
      <c r="HAY98" s="58"/>
      <c r="HAZ98" s="58"/>
      <c r="HBA98" s="58"/>
      <c r="HBB98" s="58"/>
      <c r="HBC98" s="58"/>
      <c r="HBD98" s="58"/>
      <c r="HBE98" s="58"/>
      <c r="HBF98" s="58"/>
      <c r="HBG98" s="58"/>
      <c r="HBH98" s="58"/>
      <c r="HBI98" s="58"/>
      <c r="HBJ98" s="58"/>
      <c r="HBK98" s="58"/>
      <c r="HBL98" s="58"/>
      <c r="HBM98" s="58"/>
      <c r="HBN98" s="58"/>
      <c r="HBO98" s="58"/>
      <c r="HBP98" s="58"/>
      <c r="HBQ98" s="58"/>
      <c r="HBR98" s="58"/>
      <c r="HBS98" s="58"/>
      <c r="HBT98" s="58"/>
      <c r="HBU98" s="58"/>
      <c r="HBV98" s="58"/>
      <c r="HBW98" s="58"/>
      <c r="HBX98" s="58"/>
      <c r="HBY98" s="58"/>
      <c r="HBZ98" s="58"/>
      <c r="HCA98" s="58"/>
      <c r="HCB98" s="58"/>
      <c r="HCC98" s="58"/>
      <c r="HCD98" s="58"/>
      <c r="HCE98" s="58"/>
      <c r="HCF98" s="58"/>
      <c r="HCG98" s="58"/>
      <c r="HCH98" s="58"/>
      <c r="HCI98" s="58"/>
      <c r="HCJ98" s="58"/>
      <c r="HCK98" s="58"/>
      <c r="HCL98" s="58"/>
      <c r="HCM98" s="58"/>
      <c r="HCN98" s="58"/>
      <c r="HCO98" s="58"/>
      <c r="HCP98" s="58"/>
      <c r="HCQ98" s="58"/>
      <c r="HCR98" s="58"/>
      <c r="HCS98" s="58"/>
      <c r="HCT98" s="58"/>
      <c r="HCU98" s="58"/>
      <c r="HCV98" s="58"/>
      <c r="HCW98" s="58"/>
      <c r="HCX98" s="58"/>
      <c r="HCY98" s="58"/>
      <c r="HCZ98" s="58"/>
      <c r="HDA98" s="58"/>
      <c r="HDB98" s="58"/>
      <c r="HDC98" s="58"/>
      <c r="HDD98" s="58"/>
      <c r="HDE98" s="58"/>
      <c r="HDF98" s="58"/>
      <c r="HDG98" s="58"/>
      <c r="HDH98" s="58"/>
      <c r="HDI98" s="58"/>
      <c r="HDJ98" s="58"/>
      <c r="HDK98" s="58"/>
      <c r="HDL98" s="58"/>
      <c r="HDM98" s="58"/>
      <c r="HDN98" s="58"/>
      <c r="HDO98" s="58"/>
      <c r="HDP98" s="58"/>
      <c r="HDQ98" s="58"/>
      <c r="HDR98" s="58"/>
      <c r="HDS98" s="58"/>
      <c r="HDT98" s="58"/>
      <c r="HDU98" s="58"/>
      <c r="HDV98" s="58"/>
      <c r="HDW98" s="58"/>
      <c r="HDX98" s="58"/>
      <c r="HDY98" s="58"/>
      <c r="HDZ98" s="58"/>
      <c r="HEA98" s="58"/>
      <c r="HEB98" s="58"/>
      <c r="HEC98" s="58"/>
      <c r="HED98" s="58"/>
      <c r="HEE98" s="58"/>
      <c r="HEF98" s="58"/>
      <c r="HEG98" s="58"/>
      <c r="HEH98" s="58"/>
      <c r="HEI98" s="58"/>
      <c r="HEJ98" s="58"/>
      <c r="HEK98" s="58"/>
      <c r="HEL98" s="58"/>
      <c r="HEM98" s="58"/>
      <c r="HEN98" s="58"/>
      <c r="HEO98" s="58"/>
      <c r="HEP98" s="58"/>
      <c r="HEQ98" s="58"/>
      <c r="HER98" s="58"/>
      <c r="HES98" s="58"/>
      <c r="HET98" s="58"/>
      <c r="HEU98" s="58"/>
      <c r="HEV98" s="58"/>
      <c r="HEW98" s="58"/>
      <c r="HEX98" s="58"/>
      <c r="HEY98" s="58"/>
      <c r="HEZ98" s="58"/>
      <c r="HFA98" s="58"/>
      <c r="HFB98" s="58"/>
      <c r="HFC98" s="58"/>
      <c r="HFD98" s="58"/>
      <c r="HFE98" s="58"/>
      <c r="HFF98" s="58"/>
      <c r="HFG98" s="58"/>
      <c r="HFH98" s="58"/>
      <c r="HFI98" s="58"/>
      <c r="HFJ98" s="58"/>
      <c r="HFK98" s="58"/>
      <c r="HFL98" s="58"/>
      <c r="HFM98" s="58"/>
      <c r="HFN98" s="58"/>
      <c r="HFO98" s="58"/>
      <c r="HFP98" s="58"/>
      <c r="HFQ98" s="58"/>
      <c r="HFR98" s="58"/>
      <c r="HFS98" s="58"/>
      <c r="HFT98" s="58"/>
      <c r="HFU98" s="58"/>
      <c r="HFV98" s="58"/>
      <c r="HFW98" s="58"/>
      <c r="HFX98" s="58"/>
      <c r="HFY98" s="58"/>
      <c r="HFZ98" s="58"/>
      <c r="HGA98" s="58"/>
      <c r="HGB98" s="58"/>
      <c r="HGC98" s="58"/>
      <c r="HGD98" s="58"/>
      <c r="HGE98" s="58"/>
      <c r="HGF98" s="58"/>
      <c r="HGG98" s="58"/>
      <c r="HGH98" s="58"/>
      <c r="HGI98" s="58"/>
      <c r="HGJ98" s="58"/>
      <c r="HGK98" s="58"/>
      <c r="HGL98" s="58"/>
      <c r="HGM98" s="58"/>
      <c r="HGN98" s="58"/>
      <c r="HGO98" s="58"/>
      <c r="HGP98" s="58"/>
      <c r="HGQ98" s="58"/>
      <c r="HGR98" s="58"/>
      <c r="HGS98" s="58"/>
      <c r="HGT98" s="58"/>
      <c r="HGU98" s="58"/>
      <c r="HGV98" s="58"/>
      <c r="HGW98" s="58"/>
      <c r="HGX98" s="58"/>
      <c r="HGY98" s="58"/>
      <c r="HGZ98" s="58"/>
      <c r="HHA98" s="58"/>
      <c r="HHB98" s="58"/>
      <c r="HHC98" s="58"/>
      <c r="HHD98" s="58"/>
      <c r="HHE98" s="58"/>
      <c r="HHF98" s="58"/>
      <c r="HHG98" s="58"/>
      <c r="HHH98" s="58"/>
      <c r="HHI98" s="58"/>
      <c r="HHJ98" s="58"/>
      <c r="HHK98" s="58"/>
      <c r="HHL98" s="58"/>
      <c r="HHM98" s="58"/>
      <c r="HHN98" s="58"/>
      <c r="HHO98" s="58"/>
      <c r="HHP98" s="58"/>
      <c r="HHQ98" s="58"/>
      <c r="HHR98" s="58"/>
      <c r="HHS98" s="58"/>
      <c r="HHT98" s="58"/>
      <c r="HHU98" s="58"/>
      <c r="HHV98" s="58"/>
      <c r="HHW98" s="58"/>
      <c r="HHX98" s="58"/>
      <c r="HHY98" s="58"/>
      <c r="HHZ98" s="58"/>
      <c r="HIA98" s="58"/>
      <c r="HIB98" s="58"/>
      <c r="HIC98" s="58"/>
      <c r="HID98" s="58"/>
      <c r="HIE98" s="58"/>
      <c r="HIF98" s="58"/>
      <c r="HIG98" s="58"/>
      <c r="HIH98" s="58"/>
      <c r="HII98" s="58"/>
      <c r="HIJ98" s="58"/>
      <c r="HIK98" s="58"/>
      <c r="HIL98" s="58"/>
      <c r="HIM98" s="58"/>
      <c r="HIN98" s="58"/>
      <c r="HIO98" s="58"/>
      <c r="HIP98" s="58"/>
      <c r="HIQ98" s="58"/>
      <c r="HIR98" s="58"/>
      <c r="HIS98" s="58"/>
      <c r="HIT98" s="58"/>
      <c r="HIU98" s="58"/>
      <c r="HIV98" s="58"/>
      <c r="HIW98" s="58"/>
      <c r="HIX98" s="58"/>
      <c r="HIY98" s="58"/>
      <c r="HIZ98" s="58"/>
      <c r="HJA98" s="58"/>
      <c r="HJB98" s="58"/>
      <c r="HJC98" s="58"/>
      <c r="HJD98" s="58"/>
      <c r="HJE98" s="58"/>
      <c r="HJF98" s="58"/>
      <c r="HJG98" s="58"/>
      <c r="HJH98" s="58"/>
      <c r="HJI98" s="58"/>
      <c r="HJJ98" s="58"/>
      <c r="HJK98" s="58"/>
      <c r="HJL98" s="58"/>
      <c r="HJM98" s="58"/>
      <c r="HJN98" s="58"/>
      <c r="HJO98" s="58"/>
      <c r="HJP98" s="58"/>
      <c r="HJQ98" s="58"/>
      <c r="HJR98" s="58"/>
      <c r="HJS98" s="58"/>
      <c r="HJT98" s="58"/>
      <c r="HJU98" s="58"/>
      <c r="HJV98" s="58"/>
      <c r="HJW98" s="58"/>
      <c r="HJX98" s="58"/>
      <c r="HJY98" s="58"/>
      <c r="HJZ98" s="58"/>
      <c r="HKA98" s="58"/>
      <c r="HKB98" s="58"/>
      <c r="HKC98" s="58"/>
      <c r="HKD98" s="58"/>
      <c r="HKE98" s="58"/>
      <c r="HKF98" s="58"/>
      <c r="HKG98" s="58"/>
      <c r="HKH98" s="58"/>
      <c r="HKI98" s="58"/>
      <c r="HKJ98" s="58"/>
      <c r="HKK98" s="58"/>
      <c r="HKL98" s="58"/>
      <c r="HKM98" s="58"/>
      <c r="HKN98" s="58"/>
      <c r="HKO98" s="58"/>
      <c r="HKP98" s="58"/>
      <c r="HKQ98" s="58"/>
      <c r="HKR98" s="58"/>
      <c r="HKS98" s="58"/>
      <c r="HKT98" s="58"/>
      <c r="HKU98" s="58"/>
      <c r="HKV98" s="58"/>
      <c r="HKW98" s="58"/>
      <c r="HKX98" s="58"/>
      <c r="HKY98" s="58"/>
      <c r="HKZ98" s="58"/>
      <c r="HLA98" s="58"/>
      <c r="HLB98" s="58"/>
      <c r="HLC98" s="58"/>
      <c r="HLD98" s="58"/>
      <c r="HLE98" s="58"/>
      <c r="HLF98" s="58"/>
      <c r="HLG98" s="58"/>
      <c r="HLH98" s="58"/>
      <c r="HLI98" s="58"/>
      <c r="HLJ98" s="58"/>
      <c r="HLK98" s="58"/>
      <c r="HLL98" s="58"/>
      <c r="HLM98" s="58"/>
      <c r="HLN98" s="58"/>
      <c r="HLO98" s="58"/>
      <c r="HLP98" s="58"/>
      <c r="HLQ98" s="58"/>
      <c r="HLR98" s="58"/>
      <c r="HLS98" s="58"/>
      <c r="HLT98" s="58"/>
      <c r="HLU98" s="58"/>
      <c r="HLV98" s="58"/>
      <c r="HLW98" s="58"/>
      <c r="HLX98" s="58"/>
      <c r="HLY98" s="58"/>
      <c r="HLZ98" s="58"/>
      <c r="HMA98" s="58"/>
      <c r="HMB98" s="58"/>
      <c r="HMC98" s="58"/>
      <c r="HMD98" s="58"/>
      <c r="HME98" s="58"/>
      <c r="HMF98" s="58"/>
      <c r="HMG98" s="58"/>
      <c r="HMH98" s="58"/>
      <c r="HMI98" s="58"/>
      <c r="HMJ98" s="58"/>
      <c r="HMK98" s="58"/>
      <c r="HML98" s="58"/>
      <c r="HMM98" s="58"/>
      <c r="HMN98" s="58"/>
      <c r="HMO98" s="58"/>
      <c r="HMP98" s="58"/>
      <c r="HMQ98" s="58"/>
      <c r="HMR98" s="58"/>
      <c r="HMS98" s="58"/>
      <c r="HMT98" s="58"/>
      <c r="HMU98" s="58"/>
      <c r="HMV98" s="58"/>
      <c r="HMW98" s="58"/>
      <c r="HMX98" s="58"/>
      <c r="HMY98" s="58"/>
      <c r="HMZ98" s="58"/>
      <c r="HNA98" s="58"/>
      <c r="HNB98" s="58"/>
      <c r="HNC98" s="58"/>
      <c r="HND98" s="58"/>
      <c r="HNE98" s="58"/>
      <c r="HNF98" s="58"/>
      <c r="HNG98" s="58"/>
      <c r="HNH98" s="58"/>
      <c r="HNI98" s="58"/>
      <c r="HNJ98" s="58"/>
      <c r="HNK98" s="58"/>
      <c r="HNL98" s="58"/>
      <c r="HNM98" s="58"/>
      <c r="HNN98" s="58"/>
      <c r="HNO98" s="58"/>
      <c r="HNP98" s="58"/>
      <c r="HNQ98" s="58"/>
      <c r="HNR98" s="58"/>
      <c r="HNS98" s="58"/>
      <c r="HNT98" s="58"/>
      <c r="HNU98" s="58"/>
      <c r="HNV98" s="58"/>
      <c r="HNW98" s="58"/>
      <c r="HNX98" s="58"/>
      <c r="HNY98" s="58"/>
      <c r="HNZ98" s="58"/>
      <c r="HOA98" s="58"/>
      <c r="HOB98" s="58"/>
      <c r="HOC98" s="58"/>
      <c r="HOD98" s="58"/>
      <c r="HOE98" s="58"/>
      <c r="HOF98" s="58"/>
      <c r="HOG98" s="58"/>
      <c r="HOH98" s="58"/>
      <c r="HOI98" s="58"/>
      <c r="HOJ98" s="58"/>
      <c r="HOK98" s="58"/>
      <c r="HOL98" s="58"/>
      <c r="HOM98" s="58"/>
      <c r="HON98" s="58"/>
      <c r="HOO98" s="58"/>
      <c r="HOP98" s="58"/>
      <c r="HOQ98" s="58"/>
      <c r="HOR98" s="58"/>
      <c r="HOS98" s="58"/>
      <c r="HOT98" s="58"/>
      <c r="HOU98" s="58"/>
      <c r="HOV98" s="58"/>
      <c r="HOW98" s="58"/>
      <c r="HOX98" s="58"/>
      <c r="HOY98" s="58"/>
      <c r="HOZ98" s="58"/>
      <c r="HPA98" s="58"/>
      <c r="HPB98" s="58"/>
      <c r="HPC98" s="58"/>
      <c r="HPD98" s="58"/>
      <c r="HPE98" s="58"/>
      <c r="HPF98" s="58"/>
      <c r="HPG98" s="58"/>
      <c r="HPH98" s="58"/>
      <c r="HPI98" s="58"/>
      <c r="HPJ98" s="58"/>
      <c r="HPK98" s="58"/>
      <c r="HPL98" s="58"/>
      <c r="HPM98" s="58"/>
      <c r="HPN98" s="58"/>
      <c r="HPO98" s="58"/>
      <c r="HPP98" s="58"/>
      <c r="HPQ98" s="58"/>
      <c r="HPR98" s="58"/>
      <c r="HPS98" s="58"/>
      <c r="HPT98" s="58"/>
      <c r="HPU98" s="58"/>
      <c r="HPV98" s="58"/>
      <c r="HPW98" s="58"/>
      <c r="HPX98" s="58"/>
      <c r="HPY98" s="58"/>
      <c r="HPZ98" s="58"/>
      <c r="HQA98" s="58"/>
      <c r="HQB98" s="58"/>
      <c r="HQC98" s="58"/>
      <c r="HQD98" s="58"/>
      <c r="HQE98" s="58"/>
      <c r="HQF98" s="58"/>
      <c r="HQG98" s="58"/>
      <c r="HQH98" s="58"/>
      <c r="HQI98" s="58"/>
      <c r="HQJ98" s="58"/>
      <c r="HQK98" s="58"/>
      <c r="HQL98" s="58"/>
      <c r="HQM98" s="58"/>
      <c r="HQN98" s="58"/>
      <c r="HQO98" s="58"/>
      <c r="HQP98" s="58"/>
      <c r="HQQ98" s="58"/>
      <c r="HQR98" s="58"/>
      <c r="HQS98" s="58"/>
      <c r="HQT98" s="58"/>
      <c r="HQU98" s="58"/>
      <c r="HQV98" s="58"/>
      <c r="HQW98" s="58"/>
      <c r="HQX98" s="58"/>
      <c r="HQY98" s="58"/>
      <c r="HQZ98" s="58"/>
      <c r="HRA98" s="58"/>
      <c r="HRB98" s="58"/>
      <c r="HRC98" s="58"/>
      <c r="HRD98" s="58"/>
      <c r="HRE98" s="58"/>
      <c r="HRF98" s="58"/>
      <c r="HRG98" s="58"/>
      <c r="HRH98" s="58"/>
      <c r="HRI98" s="58"/>
      <c r="HRJ98" s="58"/>
      <c r="HRK98" s="58"/>
      <c r="HRL98" s="58"/>
      <c r="HRM98" s="58"/>
      <c r="HRN98" s="58"/>
      <c r="HRO98" s="58"/>
      <c r="HRP98" s="58"/>
      <c r="HRQ98" s="58"/>
      <c r="HRR98" s="58"/>
      <c r="HRS98" s="58"/>
      <c r="HRT98" s="58"/>
      <c r="HRU98" s="58"/>
      <c r="HRV98" s="58"/>
      <c r="HRW98" s="58"/>
      <c r="HRX98" s="58"/>
      <c r="HRY98" s="58"/>
      <c r="HRZ98" s="58"/>
      <c r="HSA98" s="58"/>
      <c r="HSB98" s="58"/>
      <c r="HSC98" s="58"/>
      <c r="HSD98" s="58"/>
      <c r="HSE98" s="58"/>
      <c r="HSF98" s="58"/>
      <c r="HSG98" s="58"/>
      <c r="HSH98" s="58"/>
      <c r="HSI98" s="58"/>
      <c r="HSJ98" s="58"/>
      <c r="HSK98" s="58"/>
      <c r="HSL98" s="58"/>
      <c r="HSM98" s="58"/>
      <c r="HSN98" s="58"/>
      <c r="HSO98" s="58"/>
      <c r="HSP98" s="58"/>
      <c r="HSQ98" s="58"/>
      <c r="HSR98" s="58"/>
      <c r="HSS98" s="58"/>
      <c r="HST98" s="58"/>
      <c r="HSU98" s="58"/>
      <c r="HSV98" s="58"/>
      <c r="HSW98" s="58"/>
      <c r="HSX98" s="58"/>
      <c r="HSY98" s="58"/>
      <c r="HSZ98" s="58"/>
      <c r="HTA98" s="58"/>
      <c r="HTB98" s="58"/>
      <c r="HTC98" s="58"/>
      <c r="HTD98" s="58"/>
      <c r="HTE98" s="58"/>
      <c r="HTF98" s="58"/>
      <c r="HTG98" s="58"/>
      <c r="HTH98" s="58"/>
      <c r="HTI98" s="58"/>
      <c r="HTJ98" s="58"/>
      <c r="HTK98" s="58"/>
      <c r="HTL98" s="58"/>
      <c r="HTM98" s="58"/>
      <c r="HTN98" s="58"/>
      <c r="HTO98" s="58"/>
      <c r="HTP98" s="58"/>
      <c r="HTQ98" s="58"/>
      <c r="HTR98" s="58"/>
      <c r="HTS98" s="58"/>
      <c r="HTT98" s="58"/>
      <c r="HTU98" s="58"/>
      <c r="HTV98" s="58"/>
      <c r="HTW98" s="58"/>
      <c r="HTX98" s="58"/>
      <c r="HTY98" s="58"/>
      <c r="HTZ98" s="58"/>
      <c r="HUA98" s="58"/>
      <c r="HUB98" s="58"/>
      <c r="HUC98" s="58"/>
      <c r="HUD98" s="58"/>
      <c r="HUE98" s="58"/>
      <c r="HUF98" s="58"/>
      <c r="HUG98" s="58"/>
      <c r="HUH98" s="58"/>
      <c r="HUI98" s="58"/>
      <c r="HUJ98" s="58"/>
      <c r="HUK98" s="58"/>
      <c r="HUL98" s="58"/>
      <c r="HUM98" s="58"/>
      <c r="HUN98" s="58"/>
      <c r="HUO98" s="58"/>
      <c r="HUP98" s="58"/>
      <c r="HUQ98" s="58"/>
      <c r="HUR98" s="58"/>
      <c r="HUS98" s="58"/>
      <c r="HUT98" s="58"/>
      <c r="HUU98" s="58"/>
      <c r="HUV98" s="58"/>
      <c r="HUW98" s="58"/>
      <c r="HUX98" s="58"/>
      <c r="HUY98" s="58"/>
      <c r="HUZ98" s="58"/>
      <c r="HVA98" s="58"/>
      <c r="HVB98" s="58"/>
      <c r="HVC98" s="58"/>
      <c r="HVD98" s="58"/>
      <c r="HVE98" s="58"/>
      <c r="HVF98" s="58"/>
      <c r="HVG98" s="58"/>
      <c r="HVH98" s="58"/>
      <c r="HVI98" s="58"/>
      <c r="HVJ98" s="58"/>
      <c r="HVK98" s="58"/>
      <c r="HVL98" s="58"/>
      <c r="HVM98" s="58"/>
      <c r="HVN98" s="58"/>
      <c r="HVO98" s="58"/>
      <c r="HVP98" s="58"/>
      <c r="HVQ98" s="58"/>
      <c r="HVR98" s="58"/>
      <c r="HVS98" s="58"/>
      <c r="HVT98" s="58"/>
      <c r="HVU98" s="58"/>
      <c r="HVV98" s="58"/>
      <c r="HVW98" s="58"/>
      <c r="HVX98" s="58"/>
      <c r="HVY98" s="58"/>
      <c r="HVZ98" s="58"/>
      <c r="HWA98" s="58"/>
      <c r="HWB98" s="58"/>
      <c r="HWC98" s="58"/>
      <c r="HWD98" s="58"/>
      <c r="HWE98" s="58"/>
      <c r="HWF98" s="58"/>
      <c r="HWG98" s="58"/>
      <c r="HWH98" s="58"/>
      <c r="HWI98" s="58"/>
      <c r="HWJ98" s="58"/>
      <c r="HWK98" s="58"/>
      <c r="HWL98" s="58"/>
      <c r="HWM98" s="58"/>
      <c r="HWN98" s="58"/>
      <c r="HWO98" s="58"/>
      <c r="HWP98" s="58"/>
      <c r="HWQ98" s="58"/>
      <c r="HWR98" s="58"/>
      <c r="HWS98" s="58"/>
      <c r="HWT98" s="58"/>
      <c r="HWU98" s="58"/>
      <c r="HWV98" s="58"/>
      <c r="HWW98" s="58"/>
      <c r="HWX98" s="58"/>
      <c r="HWY98" s="58"/>
      <c r="HWZ98" s="58"/>
      <c r="HXA98" s="58"/>
      <c r="HXB98" s="58"/>
      <c r="HXC98" s="58"/>
      <c r="HXD98" s="58"/>
      <c r="HXE98" s="58"/>
      <c r="HXF98" s="58"/>
      <c r="HXG98" s="58"/>
      <c r="HXH98" s="58"/>
      <c r="HXI98" s="58"/>
      <c r="HXJ98" s="58"/>
      <c r="HXK98" s="58"/>
      <c r="HXL98" s="58"/>
      <c r="HXM98" s="58"/>
      <c r="HXN98" s="58"/>
      <c r="HXO98" s="58"/>
      <c r="HXP98" s="58"/>
      <c r="HXQ98" s="58"/>
      <c r="HXR98" s="58"/>
      <c r="HXS98" s="58"/>
      <c r="HXT98" s="58"/>
      <c r="HXU98" s="58"/>
      <c r="HXV98" s="58"/>
      <c r="HXW98" s="58"/>
      <c r="HXX98" s="58"/>
      <c r="HXY98" s="58"/>
      <c r="HXZ98" s="58"/>
      <c r="HYA98" s="58"/>
      <c r="HYB98" s="58"/>
      <c r="HYC98" s="58"/>
      <c r="HYD98" s="58"/>
      <c r="HYE98" s="58"/>
      <c r="HYF98" s="58"/>
      <c r="HYG98" s="58"/>
      <c r="HYH98" s="58"/>
      <c r="HYI98" s="58"/>
      <c r="HYJ98" s="58"/>
      <c r="HYK98" s="58"/>
      <c r="HYL98" s="58"/>
      <c r="HYM98" s="58"/>
      <c r="HYN98" s="58"/>
      <c r="HYO98" s="58"/>
      <c r="HYP98" s="58"/>
      <c r="HYQ98" s="58"/>
      <c r="HYR98" s="58"/>
      <c r="HYS98" s="58"/>
      <c r="HYT98" s="58"/>
      <c r="HYU98" s="58"/>
      <c r="HYV98" s="58"/>
      <c r="HYW98" s="58"/>
      <c r="HYX98" s="58"/>
      <c r="HYY98" s="58"/>
      <c r="HYZ98" s="58"/>
      <c r="HZA98" s="58"/>
      <c r="HZB98" s="58"/>
      <c r="HZC98" s="58"/>
      <c r="HZD98" s="58"/>
      <c r="HZE98" s="58"/>
      <c r="HZF98" s="58"/>
      <c r="HZG98" s="58"/>
      <c r="HZH98" s="58"/>
      <c r="HZI98" s="58"/>
      <c r="HZJ98" s="58"/>
      <c r="HZK98" s="58"/>
      <c r="HZL98" s="58"/>
      <c r="HZM98" s="58"/>
      <c r="HZN98" s="58"/>
      <c r="HZO98" s="58"/>
      <c r="HZP98" s="58"/>
      <c r="HZQ98" s="58"/>
      <c r="HZR98" s="58"/>
      <c r="HZS98" s="58"/>
      <c r="HZT98" s="58"/>
      <c r="HZU98" s="58"/>
      <c r="HZV98" s="58"/>
      <c r="HZW98" s="58"/>
      <c r="HZX98" s="58"/>
      <c r="HZY98" s="58"/>
      <c r="HZZ98" s="58"/>
      <c r="IAA98" s="58"/>
      <c r="IAB98" s="58"/>
      <c r="IAC98" s="58"/>
      <c r="IAD98" s="58"/>
      <c r="IAE98" s="58"/>
      <c r="IAF98" s="58"/>
      <c r="IAG98" s="58"/>
      <c r="IAH98" s="58"/>
      <c r="IAI98" s="58"/>
      <c r="IAJ98" s="58"/>
      <c r="IAK98" s="58"/>
      <c r="IAL98" s="58"/>
      <c r="IAM98" s="58"/>
      <c r="IAN98" s="58"/>
      <c r="IAO98" s="58"/>
      <c r="IAP98" s="58"/>
      <c r="IAQ98" s="58"/>
      <c r="IAR98" s="58"/>
      <c r="IAS98" s="58"/>
      <c r="IAT98" s="58"/>
      <c r="IAU98" s="58"/>
      <c r="IAV98" s="58"/>
      <c r="IAW98" s="58"/>
      <c r="IAX98" s="58"/>
      <c r="IAY98" s="58"/>
      <c r="IAZ98" s="58"/>
      <c r="IBA98" s="58"/>
      <c r="IBB98" s="58"/>
      <c r="IBC98" s="58"/>
      <c r="IBD98" s="58"/>
      <c r="IBE98" s="58"/>
      <c r="IBF98" s="58"/>
      <c r="IBG98" s="58"/>
      <c r="IBH98" s="58"/>
      <c r="IBI98" s="58"/>
      <c r="IBJ98" s="58"/>
      <c r="IBK98" s="58"/>
      <c r="IBL98" s="58"/>
      <c r="IBM98" s="58"/>
      <c r="IBN98" s="58"/>
      <c r="IBO98" s="58"/>
      <c r="IBP98" s="58"/>
      <c r="IBQ98" s="58"/>
      <c r="IBR98" s="58"/>
      <c r="IBS98" s="58"/>
      <c r="IBT98" s="58"/>
      <c r="IBU98" s="58"/>
      <c r="IBV98" s="58"/>
      <c r="IBW98" s="58"/>
      <c r="IBX98" s="58"/>
      <c r="IBY98" s="58"/>
      <c r="IBZ98" s="58"/>
      <c r="ICA98" s="58"/>
      <c r="ICB98" s="58"/>
      <c r="ICC98" s="58"/>
      <c r="ICD98" s="58"/>
      <c r="ICE98" s="58"/>
      <c r="ICF98" s="58"/>
      <c r="ICG98" s="58"/>
      <c r="ICH98" s="58"/>
      <c r="ICI98" s="58"/>
      <c r="ICJ98" s="58"/>
      <c r="ICK98" s="58"/>
      <c r="ICL98" s="58"/>
      <c r="ICM98" s="58"/>
      <c r="ICN98" s="58"/>
      <c r="ICO98" s="58"/>
      <c r="ICP98" s="58"/>
      <c r="ICQ98" s="58"/>
      <c r="ICR98" s="58"/>
      <c r="ICS98" s="58"/>
      <c r="ICT98" s="58"/>
      <c r="ICU98" s="58"/>
      <c r="ICV98" s="58"/>
      <c r="ICW98" s="58"/>
      <c r="ICX98" s="58"/>
      <c r="ICY98" s="58"/>
      <c r="ICZ98" s="58"/>
      <c r="IDA98" s="58"/>
      <c r="IDB98" s="58"/>
      <c r="IDC98" s="58"/>
      <c r="IDD98" s="58"/>
      <c r="IDE98" s="58"/>
      <c r="IDF98" s="58"/>
      <c r="IDG98" s="58"/>
      <c r="IDH98" s="58"/>
      <c r="IDI98" s="58"/>
      <c r="IDJ98" s="58"/>
      <c r="IDK98" s="58"/>
      <c r="IDL98" s="58"/>
      <c r="IDM98" s="58"/>
      <c r="IDN98" s="58"/>
      <c r="IDO98" s="58"/>
      <c r="IDP98" s="58"/>
      <c r="IDQ98" s="58"/>
      <c r="IDR98" s="58"/>
      <c r="IDS98" s="58"/>
      <c r="IDT98" s="58"/>
      <c r="IDU98" s="58"/>
      <c r="IDV98" s="58"/>
      <c r="IDW98" s="58"/>
      <c r="IDX98" s="58"/>
      <c r="IDY98" s="58"/>
      <c r="IDZ98" s="58"/>
      <c r="IEA98" s="58"/>
      <c r="IEB98" s="58"/>
      <c r="IEC98" s="58"/>
      <c r="IED98" s="58"/>
      <c r="IEE98" s="58"/>
      <c r="IEF98" s="58"/>
      <c r="IEG98" s="58"/>
      <c r="IEH98" s="58"/>
      <c r="IEI98" s="58"/>
      <c r="IEJ98" s="58"/>
      <c r="IEK98" s="58"/>
      <c r="IEL98" s="58"/>
      <c r="IEM98" s="58"/>
      <c r="IEN98" s="58"/>
      <c r="IEO98" s="58"/>
      <c r="IEP98" s="58"/>
      <c r="IEQ98" s="58"/>
      <c r="IER98" s="58"/>
      <c r="IES98" s="58"/>
      <c r="IET98" s="58"/>
      <c r="IEU98" s="58"/>
      <c r="IEV98" s="58"/>
      <c r="IEW98" s="58"/>
      <c r="IEX98" s="58"/>
      <c r="IEY98" s="58"/>
      <c r="IEZ98" s="58"/>
      <c r="IFA98" s="58"/>
      <c r="IFB98" s="58"/>
      <c r="IFC98" s="58"/>
      <c r="IFD98" s="58"/>
      <c r="IFE98" s="58"/>
      <c r="IFF98" s="58"/>
      <c r="IFG98" s="58"/>
      <c r="IFH98" s="58"/>
      <c r="IFI98" s="58"/>
      <c r="IFJ98" s="58"/>
      <c r="IFK98" s="58"/>
      <c r="IFL98" s="58"/>
      <c r="IFM98" s="58"/>
      <c r="IFN98" s="58"/>
      <c r="IFO98" s="58"/>
      <c r="IFP98" s="58"/>
      <c r="IFQ98" s="58"/>
      <c r="IFR98" s="58"/>
      <c r="IFS98" s="58"/>
      <c r="IFT98" s="58"/>
      <c r="IFU98" s="58"/>
      <c r="IFV98" s="58"/>
      <c r="IFW98" s="58"/>
      <c r="IFX98" s="58"/>
      <c r="IFY98" s="58"/>
      <c r="IFZ98" s="58"/>
      <c r="IGA98" s="58"/>
      <c r="IGB98" s="58"/>
      <c r="IGC98" s="58"/>
      <c r="IGD98" s="58"/>
      <c r="IGE98" s="58"/>
      <c r="IGF98" s="58"/>
      <c r="IGG98" s="58"/>
      <c r="IGH98" s="58"/>
      <c r="IGI98" s="58"/>
      <c r="IGJ98" s="58"/>
      <c r="IGK98" s="58"/>
      <c r="IGL98" s="58"/>
      <c r="IGM98" s="58"/>
      <c r="IGN98" s="58"/>
      <c r="IGO98" s="58"/>
      <c r="IGP98" s="58"/>
      <c r="IGQ98" s="58"/>
      <c r="IGR98" s="58"/>
      <c r="IGS98" s="58"/>
      <c r="IGT98" s="58"/>
      <c r="IGU98" s="58"/>
      <c r="IGV98" s="58"/>
      <c r="IGW98" s="58"/>
      <c r="IGX98" s="58"/>
      <c r="IGY98" s="58"/>
      <c r="IGZ98" s="58"/>
      <c r="IHA98" s="58"/>
      <c r="IHB98" s="58"/>
      <c r="IHC98" s="58"/>
      <c r="IHD98" s="58"/>
      <c r="IHE98" s="58"/>
      <c r="IHF98" s="58"/>
      <c r="IHG98" s="58"/>
      <c r="IHH98" s="58"/>
      <c r="IHI98" s="58"/>
      <c r="IHJ98" s="58"/>
      <c r="IHK98" s="58"/>
      <c r="IHL98" s="58"/>
      <c r="IHM98" s="58"/>
      <c r="IHN98" s="58"/>
      <c r="IHO98" s="58"/>
      <c r="IHP98" s="58"/>
      <c r="IHQ98" s="58"/>
      <c r="IHR98" s="58"/>
      <c r="IHS98" s="58"/>
      <c r="IHT98" s="58"/>
      <c r="IHU98" s="58"/>
      <c r="IHV98" s="58"/>
      <c r="IHW98" s="58"/>
      <c r="IHX98" s="58"/>
      <c r="IHY98" s="58"/>
      <c r="IHZ98" s="58"/>
      <c r="IIA98" s="58"/>
      <c r="IIB98" s="58"/>
      <c r="IIC98" s="58"/>
      <c r="IID98" s="58"/>
      <c r="IIE98" s="58"/>
      <c r="IIF98" s="58"/>
      <c r="IIG98" s="58"/>
      <c r="IIH98" s="58"/>
      <c r="III98" s="58"/>
      <c r="IIJ98" s="58"/>
      <c r="IIK98" s="58"/>
      <c r="IIL98" s="58"/>
      <c r="IIM98" s="58"/>
      <c r="IIN98" s="58"/>
      <c r="IIO98" s="58"/>
      <c r="IIP98" s="58"/>
      <c r="IIQ98" s="58"/>
      <c r="IIR98" s="58"/>
      <c r="IIS98" s="58"/>
      <c r="IIT98" s="58"/>
      <c r="IIU98" s="58"/>
      <c r="IIV98" s="58"/>
      <c r="IIW98" s="58"/>
      <c r="IIX98" s="58"/>
      <c r="IIY98" s="58"/>
      <c r="IIZ98" s="58"/>
      <c r="IJA98" s="58"/>
      <c r="IJB98" s="58"/>
      <c r="IJC98" s="58"/>
      <c r="IJD98" s="58"/>
      <c r="IJE98" s="58"/>
      <c r="IJF98" s="58"/>
      <c r="IJG98" s="58"/>
      <c r="IJH98" s="58"/>
      <c r="IJI98" s="58"/>
      <c r="IJJ98" s="58"/>
      <c r="IJK98" s="58"/>
      <c r="IJL98" s="58"/>
      <c r="IJM98" s="58"/>
      <c r="IJN98" s="58"/>
      <c r="IJO98" s="58"/>
      <c r="IJP98" s="58"/>
      <c r="IJQ98" s="58"/>
      <c r="IJR98" s="58"/>
      <c r="IJS98" s="58"/>
      <c r="IJT98" s="58"/>
      <c r="IJU98" s="58"/>
      <c r="IJV98" s="58"/>
      <c r="IJW98" s="58"/>
      <c r="IJX98" s="58"/>
      <c r="IJY98" s="58"/>
      <c r="IJZ98" s="58"/>
      <c r="IKA98" s="58"/>
      <c r="IKB98" s="58"/>
      <c r="IKC98" s="58"/>
      <c r="IKD98" s="58"/>
      <c r="IKE98" s="58"/>
      <c r="IKF98" s="58"/>
      <c r="IKG98" s="58"/>
      <c r="IKH98" s="58"/>
      <c r="IKI98" s="58"/>
      <c r="IKJ98" s="58"/>
      <c r="IKK98" s="58"/>
      <c r="IKL98" s="58"/>
      <c r="IKM98" s="58"/>
      <c r="IKN98" s="58"/>
      <c r="IKO98" s="58"/>
      <c r="IKP98" s="58"/>
      <c r="IKQ98" s="58"/>
      <c r="IKR98" s="58"/>
      <c r="IKS98" s="58"/>
      <c r="IKT98" s="58"/>
      <c r="IKU98" s="58"/>
      <c r="IKV98" s="58"/>
      <c r="IKW98" s="58"/>
      <c r="IKX98" s="58"/>
      <c r="IKY98" s="58"/>
      <c r="IKZ98" s="58"/>
      <c r="ILA98" s="58"/>
      <c r="ILB98" s="58"/>
      <c r="ILC98" s="58"/>
      <c r="ILD98" s="58"/>
      <c r="ILE98" s="58"/>
      <c r="ILF98" s="58"/>
      <c r="ILG98" s="58"/>
      <c r="ILH98" s="58"/>
      <c r="ILI98" s="58"/>
      <c r="ILJ98" s="58"/>
      <c r="ILK98" s="58"/>
      <c r="ILL98" s="58"/>
      <c r="ILM98" s="58"/>
      <c r="ILN98" s="58"/>
      <c r="ILO98" s="58"/>
      <c r="ILP98" s="58"/>
      <c r="ILQ98" s="58"/>
      <c r="ILR98" s="58"/>
      <c r="ILS98" s="58"/>
      <c r="ILT98" s="58"/>
      <c r="ILU98" s="58"/>
      <c r="ILV98" s="58"/>
      <c r="ILW98" s="58"/>
      <c r="ILX98" s="58"/>
      <c r="ILY98" s="58"/>
      <c r="ILZ98" s="58"/>
      <c r="IMA98" s="58"/>
      <c r="IMB98" s="58"/>
      <c r="IMC98" s="58"/>
      <c r="IMD98" s="58"/>
      <c r="IME98" s="58"/>
      <c r="IMF98" s="58"/>
      <c r="IMG98" s="58"/>
      <c r="IMH98" s="58"/>
      <c r="IMI98" s="58"/>
      <c r="IMJ98" s="58"/>
      <c r="IMK98" s="58"/>
      <c r="IML98" s="58"/>
      <c r="IMM98" s="58"/>
      <c r="IMN98" s="58"/>
      <c r="IMO98" s="58"/>
      <c r="IMP98" s="58"/>
      <c r="IMQ98" s="58"/>
      <c r="IMR98" s="58"/>
      <c r="IMS98" s="58"/>
      <c r="IMT98" s="58"/>
      <c r="IMU98" s="58"/>
      <c r="IMV98" s="58"/>
      <c r="IMW98" s="58"/>
      <c r="IMX98" s="58"/>
      <c r="IMY98" s="58"/>
      <c r="IMZ98" s="58"/>
      <c r="INA98" s="58"/>
      <c r="INB98" s="58"/>
      <c r="INC98" s="58"/>
      <c r="IND98" s="58"/>
      <c r="INE98" s="58"/>
      <c r="INF98" s="58"/>
      <c r="ING98" s="58"/>
      <c r="INH98" s="58"/>
      <c r="INI98" s="58"/>
      <c r="INJ98" s="58"/>
      <c r="INK98" s="58"/>
      <c r="INL98" s="58"/>
      <c r="INM98" s="58"/>
      <c r="INN98" s="58"/>
      <c r="INO98" s="58"/>
      <c r="INP98" s="58"/>
      <c r="INQ98" s="58"/>
      <c r="INR98" s="58"/>
      <c r="INS98" s="58"/>
      <c r="INT98" s="58"/>
      <c r="INU98" s="58"/>
      <c r="INV98" s="58"/>
      <c r="INW98" s="58"/>
      <c r="INX98" s="58"/>
      <c r="INY98" s="58"/>
      <c r="INZ98" s="58"/>
      <c r="IOA98" s="58"/>
      <c r="IOB98" s="58"/>
      <c r="IOC98" s="58"/>
      <c r="IOD98" s="58"/>
      <c r="IOE98" s="58"/>
      <c r="IOF98" s="58"/>
      <c r="IOG98" s="58"/>
      <c r="IOH98" s="58"/>
      <c r="IOI98" s="58"/>
      <c r="IOJ98" s="58"/>
      <c r="IOK98" s="58"/>
      <c r="IOL98" s="58"/>
      <c r="IOM98" s="58"/>
      <c r="ION98" s="58"/>
      <c r="IOO98" s="58"/>
      <c r="IOP98" s="58"/>
      <c r="IOQ98" s="58"/>
      <c r="IOR98" s="58"/>
      <c r="IOS98" s="58"/>
      <c r="IOT98" s="58"/>
      <c r="IOU98" s="58"/>
      <c r="IOV98" s="58"/>
      <c r="IOW98" s="58"/>
      <c r="IOX98" s="58"/>
      <c r="IOY98" s="58"/>
      <c r="IOZ98" s="58"/>
      <c r="IPA98" s="58"/>
      <c r="IPB98" s="58"/>
      <c r="IPC98" s="58"/>
      <c r="IPD98" s="58"/>
      <c r="IPE98" s="58"/>
      <c r="IPF98" s="58"/>
      <c r="IPG98" s="58"/>
      <c r="IPH98" s="58"/>
      <c r="IPI98" s="58"/>
      <c r="IPJ98" s="58"/>
      <c r="IPK98" s="58"/>
      <c r="IPL98" s="58"/>
      <c r="IPM98" s="58"/>
      <c r="IPN98" s="58"/>
      <c r="IPO98" s="58"/>
      <c r="IPP98" s="58"/>
      <c r="IPQ98" s="58"/>
      <c r="IPR98" s="58"/>
      <c r="IPS98" s="58"/>
      <c r="IPT98" s="58"/>
      <c r="IPU98" s="58"/>
      <c r="IPV98" s="58"/>
      <c r="IPW98" s="58"/>
      <c r="IPX98" s="58"/>
      <c r="IPY98" s="58"/>
      <c r="IPZ98" s="58"/>
      <c r="IQA98" s="58"/>
      <c r="IQB98" s="58"/>
      <c r="IQC98" s="58"/>
      <c r="IQD98" s="58"/>
      <c r="IQE98" s="58"/>
      <c r="IQF98" s="58"/>
      <c r="IQG98" s="58"/>
      <c r="IQH98" s="58"/>
      <c r="IQI98" s="58"/>
      <c r="IQJ98" s="58"/>
      <c r="IQK98" s="58"/>
      <c r="IQL98" s="58"/>
      <c r="IQM98" s="58"/>
      <c r="IQN98" s="58"/>
      <c r="IQO98" s="58"/>
      <c r="IQP98" s="58"/>
      <c r="IQQ98" s="58"/>
      <c r="IQR98" s="58"/>
      <c r="IQS98" s="58"/>
      <c r="IQT98" s="58"/>
      <c r="IQU98" s="58"/>
      <c r="IQV98" s="58"/>
      <c r="IQW98" s="58"/>
      <c r="IQX98" s="58"/>
      <c r="IQY98" s="58"/>
      <c r="IQZ98" s="58"/>
      <c r="IRA98" s="58"/>
      <c r="IRB98" s="58"/>
      <c r="IRC98" s="58"/>
      <c r="IRD98" s="58"/>
      <c r="IRE98" s="58"/>
      <c r="IRF98" s="58"/>
      <c r="IRG98" s="58"/>
      <c r="IRH98" s="58"/>
      <c r="IRI98" s="58"/>
      <c r="IRJ98" s="58"/>
      <c r="IRK98" s="58"/>
      <c r="IRL98" s="58"/>
      <c r="IRM98" s="58"/>
      <c r="IRN98" s="58"/>
      <c r="IRO98" s="58"/>
      <c r="IRP98" s="58"/>
      <c r="IRQ98" s="58"/>
      <c r="IRR98" s="58"/>
      <c r="IRS98" s="58"/>
      <c r="IRT98" s="58"/>
      <c r="IRU98" s="58"/>
      <c r="IRV98" s="58"/>
      <c r="IRW98" s="58"/>
      <c r="IRX98" s="58"/>
      <c r="IRY98" s="58"/>
      <c r="IRZ98" s="58"/>
      <c r="ISA98" s="58"/>
      <c r="ISB98" s="58"/>
      <c r="ISC98" s="58"/>
      <c r="ISD98" s="58"/>
      <c r="ISE98" s="58"/>
      <c r="ISF98" s="58"/>
      <c r="ISG98" s="58"/>
      <c r="ISH98" s="58"/>
      <c r="ISI98" s="58"/>
      <c r="ISJ98" s="58"/>
      <c r="ISK98" s="58"/>
      <c r="ISL98" s="58"/>
      <c r="ISM98" s="58"/>
      <c r="ISN98" s="58"/>
      <c r="ISO98" s="58"/>
      <c r="ISP98" s="58"/>
      <c r="ISQ98" s="58"/>
      <c r="ISR98" s="58"/>
      <c r="ISS98" s="58"/>
      <c r="IST98" s="58"/>
      <c r="ISU98" s="58"/>
      <c r="ISV98" s="58"/>
      <c r="ISW98" s="58"/>
      <c r="ISX98" s="58"/>
      <c r="ISY98" s="58"/>
      <c r="ISZ98" s="58"/>
      <c r="ITA98" s="58"/>
      <c r="ITB98" s="58"/>
      <c r="ITC98" s="58"/>
      <c r="ITD98" s="58"/>
      <c r="ITE98" s="58"/>
      <c r="ITF98" s="58"/>
      <c r="ITG98" s="58"/>
      <c r="ITH98" s="58"/>
      <c r="ITI98" s="58"/>
      <c r="ITJ98" s="58"/>
      <c r="ITK98" s="58"/>
      <c r="ITL98" s="58"/>
      <c r="ITM98" s="58"/>
      <c r="ITN98" s="58"/>
      <c r="ITO98" s="58"/>
      <c r="ITP98" s="58"/>
      <c r="ITQ98" s="58"/>
      <c r="ITR98" s="58"/>
      <c r="ITS98" s="58"/>
      <c r="ITT98" s="58"/>
      <c r="ITU98" s="58"/>
      <c r="ITV98" s="58"/>
      <c r="ITW98" s="58"/>
      <c r="ITX98" s="58"/>
      <c r="ITY98" s="58"/>
      <c r="ITZ98" s="58"/>
      <c r="IUA98" s="58"/>
      <c r="IUB98" s="58"/>
      <c r="IUC98" s="58"/>
      <c r="IUD98" s="58"/>
      <c r="IUE98" s="58"/>
      <c r="IUF98" s="58"/>
      <c r="IUG98" s="58"/>
      <c r="IUH98" s="58"/>
      <c r="IUI98" s="58"/>
      <c r="IUJ98" s="58"/>
      <c r="IUK98" s="58"/>
      <c r="IUL98" s="58"/>
      <c r="IUM98" s="58"/>
      <c r="IUN98" s="58"/>
      <c r="IUO98" s="58"/>
      <c r="IUP98" s="58"/>
      <c r="IUQ98" s="58"/>
      <c r="IUR98" s="58"/>
      <c r="IUS98" s="58"/>
      <c r="IUT98" s="58"/>
      <c r="IUU98" s="58"/>
      <c r="IUV98" s="58"/>
      <c r="IUW98" s="58"/>
      <c r="IUX98" s="58"/>
      <c r="IUY98" s="58"/>
      <c r="IUZ98" s="58"/>
      <c r="IVA98" s="58"/>
      <c r="IVB98" s="58"/>
      <c r="IVC98" s="58"/>
      <c r="IVD98" s="58"/>
      <c r="IVE98" s="58"/>
      <c r="IVF98" s="58"/>
      <c r="IVG98" s="58"/>
      <c r="IVH98" s="58"/>
      <c r="IVI98" s="58"/>
      <c r="IVJ98" s="58"/>
      <c r="IVK98" s="58"/>
      <c r="IVL98" s="58"/>
      <c r="IVM98" s="58"/>
      <c r="IVN98" s="58"/>
      <c r="IVO98" s="58"/>
      <c r="IVP98" s="58"/>
      <c r="IVQ98" s="58"/>
      <c r="IVR98" s="58"/>
      <c r="IVS98" s="58"/>
      <c r="IVT98" s="58"/>
      <c r="IVU98" s="58"/>
      <c r="IVV98" s="58"/>
      <c r="IVW98" s="58"/>
      <c r="IVX98" s="58"/>
      <c r="IVY98" s="58"/>
      <c r="IVZ98" s="58"/>
      <c r="IWA98" s="58"/>
      <c r="IWB98" s="58"/>
      <c r="IWC98" s="58"/>
      <c r="IWD98" s="58"/>
      <c r="IWE98" s="58"/>
      <c r="IWF98" s="58"/>
      <c r="IWG98" s="58"/>
      <c r="IWH98" s="58"/>
      <c r="IWI98" s="58"/>
      <c r="IWJ98" s="58"/>
      <c r="IWK98" s="58"/>
      <c r="IWL98" s="58"/>
      <c r="IWM98" s="58"/>
      <c r="IWN98" s="58"/>
      <c r="IWO98" s="58"/>
      <c r="IWP98" s="58"/>
      <c r="IWQ98" s="58"/>
      <c r="IWR98" s="58"/>
      <c r="IWS98" s="58"/>
      <c r="IWT98" s="58"/>
      <c r="IWU98" s="58"/>
      <c r="IWV98" s="58"/>
      <c r="IWW98" s="58"/>
      <c r="IWX98" s="58"/>
      <c r="IWY98" s="58"/>
      <c r="IWZ98" s="58"/>
      <c r="IXA98" s="58"/>
      <c r="IXB98" s="58"/>
      <c r="IXC98" s="58"/>
      <c r="IXD98" s="58"/>
      <c r="IXE98" s="58"/>
      <c r="IXF98" s="58"/>
      <c r="IXG98" s="58"/>
      <c r="IXH98" s="58"/>
      <c r="IXI98" s="58"/>
      <c r="IXJ98" s="58"/>
      <c r="IXK98" s="58"/>
      <c r="IXL98" s="58"/>
      <c r="IXM98" s="58"/>
      <c r="IXN98" s="58"/>
      <c r="IXO98" s="58"/>
      <c r="IXP98" s="58"/>
      <c r="IXQ98" s="58"/>
      <c r="IXR98" s="58"/>
      <c r="IXS98" s="58"/>
      <c r="IXT98" s="58"/>
      <c r="IXU98" s="58"/>
      <c r="IXV98" s="58"/>
      <c r="IXW98" s="58"/>
      <c r="IXX98" s="58"/>
      <c r="IXY98" s="58"/>
      <c r="IXZ98" s="58"/>
      <c r="IYA98" s="58"/>
      <c r="IYB98" s="58"/>
      <c r="IYC98" s="58"/>
      <c r="IYD98" s="58"/>
      <c r="IYE98" s="58"/>
      <c r="IYF98" s="58"/>
      <c r="IYG98" s="58"/>
      <c r="IYH98" s="58"/>
      <c r="IYI98" s="58"/>
      <c r="IYJ98" s="58"/>
      <c r="IYK98" s="58"/>
      <c r="IYL98" s="58"/>
      <c r="IYM98" s="58"/>
      <c r="IYN98" s="58"/>
      <c r="IYO98" s="58"/>
      <c r="IYP98" s="58"/>
      <c r="IYQ98" s="58"/>
      <c r="IYR98" s="58"/>
      <c r="IYS98" s="58"/>
      <c r="IYT98" s="58"/>
      <c r="IYU98" s="58"/>
      <c r="IYV98" s="58"/>
      <c r="IYW98" s="58"/>
      <c r="IYX98" s="58"/>
      <c r="IYY98" s="58"/>
      <c r="IYZ98" s="58"/>
      <c r="IZA98" s="58"/>
      <c r="IZB98" s="58"/>
      <c r="IZC98" s="58"/>
      <c r="IZD98" s="58"/>
      <c r="IZE98" s="58"/>
      <c r="IZF98" s="58"/>
      <c r="IZG98" s="58"/>
      <c r="IZH98" s="58"/>
      <c r="IZI98" s="58"/>
      <c r="IZJ98" s="58"/>
      <c r="IZK98" s="58"/>
      <c r="IZL98" s="58"/>
      <c r="IZM98" s="58"/>
      <c r="IZN98" s="58"/>
      <c r="IZO98" s="58"/>
      <c r="IZP98" s="58"/>
      <c r="IZQ98" s="58"/>
      <c r="IZR98" s="58"/>
      <c r="IZS98" s="58"/>
      <c r="IZT98" s="58"/>
      <c r="IZU98" s="58"/>
      <c r="IZV98" s="58"/>
      <c r="IZW98" s="58"/>
      <c r="IZX98" s="58"/>
      <c r="IZY98" s="58"/>
      <c r="IZZ98" s="58"/>
      <c r="JAA98" s="58"/>
      <c r="JAB98" s="58"/>
      <c r="JAC98" s="58"/>
      <c r="JAD98" s="58"/>
      <c r="JAE98" s="58"/>
      <c r="JAF98" s="58"/>
      <c r="JAG98" s="58"/>
      <c r="JAH98" s="58"/>
      <c r="JAI98" s="58"/>
      <c r="JAJ98" s="58"/>
      <c r="JAK98" s="58"/>
      <c r="JAL98" s="58"/>
      <c r="JAM98" s="58"/>
      <c r="JAN98" s="58"/>
      <c r="JAO98" s="58"/>
      <c r="JAP98" s="58"/>
      <c r="JAQ98" s="58"/>
      <c r="JAR98" s="58"/>
      <c r="JAS98" s="58"/>
      <c r="JAT98" s="58"/>
      <c r="JAU98" s="58"/>
      <c r="JAV98" s="58"/>
      <c r="JAW98" s="58"/>
      <c r="JAX98" s="58"/>
      <c r="JAY98" s="58"/>
      <c r="JAZ98" s="58"/>
      <c r="JBA98" s="58"/>
      <c r="JBB98" s="58"/>
      <c r="JBC98" s="58"/>
      <c r="JBD98" s="58"/>
      <c r="JBE98" s="58"/>
      <c r="JBF98" s="58"/>
      <c r="JBG98" s="58"/>
      <c r="JBH98" s="58"/>
      <c r="JBI98" s="58"/>
      <c r="JBJ98" s="58"/>
      <c r="JBK98" s="58"/>
      <c r="JBL98" s="58"/>
      <c r="JBM98" s="58"/>
      <c r="JBN98" s="58"/>
      <c r="JBO98" s="58"/>
      <c r="JBP98" s="58"/>
      <c r="JBQ98" s="58"/>
      <c r="JBR98" s="58"/>
      <c r="JBS98" s="58"/>
      <c r="JBT98" s="58"/>
      <c r="JBU98" s="58"/>
      <c r="JBV98" s="58"/>
      <c r="JBW98" s="58"/>
      <c r="JBX98" s="58"/>
      <c r="JBY98" s="58"/>
      <c r="JBZ98" s="58"/>
      <c r="JCA98" s="58"/>
      <c r="JCB98" s="58"/>
      <c r="JCC98" s="58"/>
      <c r="JCD98" s="58"/>
      <c r="JCE98" s="58"/>
      <c r="JCF98" s="58"/>
      <c r="JCG98" s="58"/>
      <c r="JCH98" s="58"/>
      <c r="JCI98" s="58"/>
      <c r="JCJ98" s="58"/>
      <c r="JCK98" s="58"/>
      <c r="JCL98" s="58"/>
      <c r="JCM98" s="58"/>
      <c r="JCN98" s="58"/>
      <c r="JCO98" s="58"/>
      <c r="JCP98" s="58"/>
      <c r="JCQ98" s="58"/>
      <c r="JCR98" s="58"/>
      <c r="JCS98" s="58"/>
      <c r="JCT98" s="58"/>
      <c r="JCU98" s="58"/>
      <c r="JCV98" s="58"/>
      <c r="JCW98" s="58"/>
      <c r="JCX98" s="58"/>
      <c r="JCY98" s="58"/>
      <c r="JCZ98" s="58"/>
      <c r="JDA98" s="58"/>
      <c r="JDB98" s="58"/>
      <c r="JDC98" s="58"/>
      <c r="JDD98" s="58"/>
      <c r="JDE98" s="58"/>
      <c r="JDF98" s="58"/>
      <c r="JDG98" s="58"/>
      <c r="JDH98" s="58"/>
      <c r="JDI98" s="58"/>
      <c r="JDJ98" s="58"/>
      <c r="JDK98" s="58"/>
      <c r="JDL98" s="58"/>
      <c r="JDM98" s="58"/>
      <c r="JDN98" s="58"/>
      <c r="JDO98" s="58"/>
      <c r="JDP98" s="58"/>
      <c r="JDQ98" s="58"/>
      <c r="JDR98" s="58"/>
      <c r="JDS98" s="58"/>
      <c r="JDT98" s="58"/>
      <c r="JDU98" s="58"/>
      <c r="JDV98" s="58"/>
      <c r="JDW98" s="58"/>
      <c r="JDX98" s="58"/>
      <c r="JDY98" s="58"/>
      <c r="JDZ98" s="58"/>
      <c r="JEA98" s="58"/>
      <c r="JEB98" s="58"/>
      <c r="JEC98" s="58"/>
      <c r="JED98" s="58"/>
      <c r="JEE98" s="58"/>
      <c r="JEF98" s="58"/>
      <c r="JEG98" s="58"/>
      <c r="JEH98" s="58"/>
      <c r="JEI98" s="58"/>
      <c r="JEJ98" s="58"/>
      <c r="JEK98" s="58"/>
      <c r="JEL98" s="58"/>
      <c r="JEM98" s="58"/>
      <c r="JEN98" s="58"/>
      <c r="JEO98" s="58"/>
      <c r="JEP98" s="58"/>
      <c r="JEQ98" s="58"/>
      <c r="JER98" s="58"/>
      <c r="JES98" s="58"/>
      <c r="JET98" s="58"/>
      <c r="JEU98" s="58"/>
      <c r="JEV98" s="58"/>
      <c r="JEW98" s="58"/>
      <c r="JEX98" s="58"/>
      <c r="JEY98" s="58"/>
      <c r="JEZ98" s="58"/>
      <c r="JFA98" s="58"/>
      <c r="JFB98" s="58"/>
      <c r="JFC98" s="58"/>
      <c r="JFD98" s="58"/>
      <c r="JFE98" s="58"/>
      <c r="JFF98" s="58"/>
      <c r="JFG98" s="58"/>
      <c r="JFH98" s="58"/>
      <c r="JFI98" s="58"/>
      <c r="JFJ98" s="58"/>
      <c r="JFK98" s="58"/>
      <c r="JFL98" s="58"/>
      <c r="JFM98" s="58"/>
      <c r="JFN98" s="58"/>
      <c r="JFO98" s="58"/>
      <c r="JFP98" s="58"/>
      <c r="JFQ98" s="58"/>
      <c r="JFR98" s="58"/>
      <c r="JFS98" s="58"/>
      <c r="JFT98" s="58"/>
      <c r="JFU98" s="58"/>
      <c r="JFV98" s="58"/>
      <c r="JFW98" s="58"/>
      <c r="JFX98" s="58"/>
      <c r="JFY98" s="58"/>
      <c r="JFZ98" s="58"/>
      <c r="JGA98" s="58"/>
      <c r="JGB98" s="58"/>
      <c r="JGC98" s="58"/>
      <c r="JGD98" s="58"/>
      <c r="JGE98" s="58"/>
      <c r="JGF98" s="58"/>
      <c r="JGG98" s="58"/>
      <c r="JGH98" s="58"/>
      <c r="JGI98" s="58"/>
      <c r="JGJ98" s="58"/>
      <c r="JGK98" s="58"/>
      <c r="JGL98" s="58"/>
      <c r="JGM98" s="58"/>
      <c r="JGN98" s="58"/>
      <c r="JGO98" s="58"/>
      <c r="JGP98" s="58"/>
      <c r="JGQ98" s="58"/>
      <c r="JGR98" s="58"/>
      <c r="JGS98" s="58"/>
      <c r="JGT98" s="58"/>
      <c r="JGU98" s="58"/>
      <c r="JGV98" s="58"/>
      <c r="JGW98" s="58"/>
      <c r="JGX98" s="58"/>
      <c r="JGY98" s="58"/>
      <c r="JGZ98" s="58"/>
      <c r="JHA98" s="58"/>
      <c r="JHB98" s="58"/>
      <c r="JHC98" s="58"/>
      <c r="JHD98" s="58"/>
      <c r="JHE98" s="58"/>
      <c r="JHF98" s="58"/>
      <c r="JHG98" s="58"/>
      <c r="JHH98" s="58"/>
      <c r="JHI98" s="58"/>
      <c r="JHJ98" s="58"/>
      <c r="JHK98" s="58"/>
      <c r="JHL98" s="58"/>
      <c r="JHM98" s="58"/>
      <c r="JHN98" s="58"/>
      <c r="JHO98" s="58"/>
      <c r="JHP98" s="58"/>
      <c r="JHQ98" s="58"/>
      <c r="JHR98" s="58"/>
      <c r="JHS98" s="58"/>
      <c r="JHT98" s="58"/>
      <c r="JHU98" s="58"/>
      <c r="JHV98" s="58"/>
      <c r="JHW98" s="58"/>
      <c r="JHX98" s="58"/>
      <c r="JHY98" s="58"/>
      <c r="JHZ98" s="58"/>
      <c r="JIA98" s="58"/>
      <c r="JIB98" s="58"/>
      <c r="JIC98" s="58"/>
      <c r="JID98" s="58"/>
      <c r="JIE98" s="58"/>
      <c r="JIF98" s="58"/>
      <c r="JIG98" s="58"/>
      <c r="JIH98" s="58"/>
      <c r="JII98" s="58"/>
      <c r="JIJ98" s="58"/>
      <c r="JIK98" s="58"/>
      <c r="JIL98" s="58"/>
      <c r="JIM98" s="58"/>
      <c r="JIN98" s="58"/>
      <c r="JIO98" s="58"/>
      <c r="JIP98" s="58"/>
      <c r="JIQ98" s="58"/>
      <c r="JIR98" s="58"/>
      <c r="JIS98" s="58"/>
      <c r="JIT98" s="58"/>
      <c r="JIU98" s="58"/>
      <c r="JIV98" s="58"/>
      <c r="JIW98" s="58"/>
      <c r="JIX98" s="58"/>
      <c r="JIY98" s="58"/>
      <c r="JIZ98" s="58"/>
      <c r="JJA98" s="58"/>
      <c r="JJB98" s="58"/>
      <c r="JJC98" s="58"/>
      <c r="JJD98" s="58"/>
      <c r="JJE98" s="58"/>
      <c r="JJF98" s="58"/>
      <c r="JJG98" s="58"/>
      <c r="JJH98" s="58"/>
      <c r="JJI98" s="58"/>
      <c r="JJJ98" s="58"/>
      <c r="JJK98" s="58"/>
      <c r="JJL98" s="58"/>
      <c r="JJM98" s="58"/>
      <c r="JJN98" s="58"/>
      <c r="JJO98" s="58"/>
      <c r="JJP98" s="58"/>
      <c r="JJQ98" s="58"/>
      <c r="JJR98" s="58"/>
      <c r="JJS98" s="58"/>
      <c r="JJT98" s="58"/>
      <c r="JJU98" s="58"/>
      <c r="JJV98" s="58"/>
      <c r="JJW98" s="58"/>
      <c r="JJX98" s="58"/>
      <c r="JJY98" s="58"/>
      <c r="JJZ98" s="58"/>
      <c r="JKA98" s="58"/>
      <c r="JKB98" s="58"/>
      <c r="JKC98" s="58"/>
      <c r="JKD98" s="58"/>
      <c r="JKE98" s="58"/>
      <c r="JKF98" s="58"/>
      <c r="JKG98" s="58"/>
      <c r="JKH98" s="58"/>
      <c r="JKI98" s="58"/>
      <c r="JKJ98" s="58"/>
      <c r="JKK98" s="58"/>
      <c r="JKL98" s="58"/>
      <c r="JKM98" s="58"/>
      <c r="JKN98" s="58"/>
      <c r="JKO98" s="58"/>
      <c r="JKP98" s="58"/>
      <c r="JKQ98" s="58"/>
      <c r="JKR98" s="58"/>
      <c r="JKS98" s="58"/>
      <c r="JKT98" s="58"/>
      <c r="JKU98" s="58"/>
      <c r="JKV98" s="58"/>
      <c r="JKW98" s="58"/>
      <c r="JKX98" s="58"/>
      <c r="JKY98" s="58"/>
      <c r="JKZ98" s="58"/>
      <c r="JLA98" s="58"/>
      <c r="JLB98" s="58"/>
      <c r="JLC98" s="58"/>
      <c r="JLD98" s="58"/>
      <c r="JLE98" s="58"/>
      <c r="JLF98" s="58"/>
      <c r="JLG98" s="58"/>
      <c r="JLH98" s="58"/>
      <c r="JLI98" s="58"/>
      <c r="JLJ98" s="58"/>
      <c r="JLK98" s="58"/>
      <c r="JLL98" s="58"/>
      <c r="JLM98" s="58"/>
      <c r="JLN98" s="58"/>
      <c r="JLO98" s="58"/>
      <c r="JLP98" s="58"/>
      <c r="JLQ98" s="58"/>
      <c r="JLR98" s="58"/>
      <c r="JLS98" s="58"/>
      <c r="JLT98" s="58"/>
      <c r="JLU98" s="58"/>
      <c r="JLV98" s="58"/>
      <c r="JLW98" s="58"/>
      <c r="JLX98" s="58"/>
      <c r="JLY98" s="58"/>
      <c r="JLZ98" s="58"/>
      <c r="JMA98" s="58"/>
      <c r="JMB98" s="58"/>
      <c r="JMC98" s="58"/>
      <c r="JMD98" s="58"/>
      <c r="JME98" s="58"/>
      <c r="JMF98" s="58"/>
      <c r="JMG98" s="58"/>
      <c r="JMH98" s="58"/>
      <c r="JMI98" s="58"/>
      <c r="JMJ98" s="58"/>
      <c r="JMK98" s="58"/>
      <c r="JML98" s="58"/>
      <c r="JMM98" s="58"/>
      <c r="JMN98" s="58"/>
      <c r="JMO98" s="58"/>
      <c r="JMP98" s="58"/>
      <c r="JMQ98" s="58"/>
      <c r="JMR98" s="58"/>
      <c r="JMS98" s="58"/>
      <c r="JMT98" s="58"/>
      <c r="JMU98" s="58"/>
      <c r="JMV98" s="58"/>
      <c r="JMW98" s="58"/>
      <c r="JMX98" s="58"/>
      <c r="JMY98" s="58"/>
      <c r="JMZ98" s="58"/>
      <c r="JNA98" s="58"/>
      <c r="JNB98" s="58"/>
      <c r="JNC98" s="58"/>
      <c r="JND98" s="58"/>
      <c r="JNE98" s="58"/>
      <c r="JNF98" s="58"/>
      <c r="JNG98" s="58"/>
      <c r="JNH98" s="58"/>
      <c r="JNI98" s="58"/>
      <c r="JNJ98" s="58"/>
      <c r="JNK98" s="58"/>
      <c r="JNL98" s="58"/>
      <c r="JNM98" s="58"/>
      <c r="JNN98" s="58"/>
      <c r="JNO98" s="58"/>
      <c r="JNP98" s="58"/>
      <c r="JNQ98" s="58"/>
      <c r="JNR98" s="58"/>
      <c r="JNS98" s="58"/>
      <c r="JNT98" s="58"/>
      <c r="JNU98" s="58"/>
      <c r="JNV98" s="58"/>
      <c r="JNW98" s="58"/>
      <c r="JNX98" s="58"/>
      <c r="JNY98" s="58"/>
      <c r="JNZ98" s="58"/>
      <c r="JOA98" s="58"/>
      <c r="JOB98" s="58"/>
      <c r="JOC98" s="58"/>
      <c r="JOD98" s="58"/>
      <c r="JOE98" s="58"/>
      <c r="JOF98" s="58"/>
      <c r="JOG98" s="58"/>
      <c r="JOH98" s="58"/>
      <c r="JOI98" s="58"/>
      <c r="JOJ98" s="58"/>
      <c r="JOK98" s="58"/>
      <c r="JOL98" s="58"/>
      <c r="JOM98" s="58"/>
      <c r="JON98" s="58"/>
      <c r="JOO98" s="58"/>
      <c r="JOP98" s="58"/>
      <c r="JOQ98" s="58"/>
      <c r="JOR98" s="58"/>
      <c r="JOS98" s="58"/>
      <c r="JOT98" s="58"/>
      <c r="JOU98" s="58"/>
      <c r="JOV98" s="58"/>
      <c r="JOW98" s="58"/>
      <c r="JOX98" s="58"/>
      <c r="JOY98" s="58"/>
      <c r="JOZ98" s="58"/>
      <c r="JPA98" s="58"/>
      <c r="JPB98" s="58"/>
      <c r="JPC98" s="58"/>
      <c r="JPD98" s="58"/>
      <c r="JPE98" s="58"/>
      <c r="JPF98" s="58"/>
      <c r="JPG98" s="58"/>
      <c r="JPH98" s="58"/>
      <c r="JPI98" s="58"/>
      <c r="JPJ98" s="58"/>
      <c r="JPK98" s="58"/>
      <c r="JPL98" s="58"/>
      <c r="JPM98" s="58"/>
      <c r="JPN98" s="58"/>
      <c r="JPO98" s="58"/>
      <c r="JPP98" s="58"/>
      <c r="JPQ98" s="58"/>
      <c r="JPR98" s="58"/>
      <c r="JPS98" s="58"/>
      <c r="JPT98" s="58"/>
      <c r="JPU98" s="58"/>
      <c r="JPV98" s="58"/>
      <c r="JPW98" s="58"/>
      <c r="JPX98" s="58"/>
      <c r="JPY98" s="58"/>
      <c r="JPZ98" s="58"/>
      <c r="JQA98" s="58"/>
      <c r="JQB98" s="58"/>
      <c r="JQC98" s="58"/>
      <c r="JQD98" s="58"/>
      <c r="JQE98" s="58"/>
      <c r="JQF98" s="58"/>
      <c r="JQG98" s="58"/>
      <c r="JQH98" s="58"/>
      <c r="JQI98" s="58"/>
      <c r="JQJ98" s="58"/>
      <c r="JQK98" s="58"/>
      <c r="JQL98" s="58"/>
      <c r="JQM98" s="58"/>
      <c r="JQN98" s="58"/>
      <c r="JQO98" s="58"/>
      <c r="JQP98" s="58"/>
      <c r="JQQ98" s="58"/>
      <c r="JQR98" s="58"/>
      <c r="JQS98" s="58"/>
      <c r="JQT98" s="58"/>
      <c r="JQU98" s="58"/>
      <c r="JQV98" s="58"/>
      <c r="JQW98" s="58"/>
      <c r="JQX98" s="58"/>
      <c r="JQY98" s="58"/>
      <c r="JQZ98" s="58"/>
      <c r="JRA98" s="58"/>
      <c r="JRB98" s="58"/>
      <c r="JRC98" s="58"/>
      <c r="JRD98" s="58"/>
      <c r="JRE98" s="58"/>
      <c r="JRF98" s="58"/>
      <c r="JRG98" s="58"/>
      <c r="JRH98" s="58"/>
      <c r="JRI98" s="58"/>
      <c r="JRJ98" s="58"/>
      <c r="JRK98" s="58"/>
      <c r="JRL98" s="58"/>
      <c r="JRM98" s="58"/>
      <c r="JRN98" s="58"/>
      <c r="JRO98" s="58"/>
      <c r="JRP98" s="58"/>
      <c r="JRQ98" s="58"/>
      <c r="JRR98" s="58"/>
      <c r="JRS98" s="58"/>
      <c r="JRT98" s="58"/>
      <c r="JRU98" s="58"/>
      <c r="JRV98" s="58"/>
      <c r="JRW98" s="58"/>
      <c r="JRX98" s="58"/>
      <c r="JRY98" s="58"/>
      <c r="JRZ98" s="58"/>
      <c r="JSA98" s="58"/>
      <c r="JSB98" s="58"/>
      <c r="JSC98" s="58"/>
      <c r="JSD98" s="58"/>
      <c r="JSE98" s="58"/>
      <c r="JSF98" s="58"/>
      <c r="JSG98" s="58"/>
      <c r="JSH98" s="58"/>
      <c r="JSI98" s="58"/>
      <c r="JSJ98" s="58"/>
      <c r="JSK98" s="58"/>
      <c r="JSL98" s="58"/>
      <c r="JSM98" s="58"/>
      <c r="JSN98" s="58"/>
      <c r="JSO98" s="58"/>
      <c r="JSP98" s="58"/>
      <c r="JSQ98" s="58"/>
      <c r="JSR98" s="58"/>
      <c r="JSS98" s="58"/>
      <c r="JST98" s="58"/>
      <c r="JSU98" s="58"/>
      <c r="JSV98" s="58"/>
      <c r="JSW98" s="58"/>
      <c r="JSX98" s="58"/>
      <c r="JSY98" s="58"/>
      <c r="JSZ98" s="58"/>
      <c r="JTA98" s="58"/>
      <c r="JTB98" s="58"/>
      <c r="JTC98" s="58"/>
      <c r="JTD98" s="58"/>
      <c r="JTE98" s="58"/>
      <c r="JTF98" s="58"/>
      <c r="JTG98" s="58"/>
      <c r="JTH98" s="58"/>
      <c r="JTI98" s="58"/>
      <c r="JTJ98" s="58"/>
      <c r="JTK98" s="58"/>
      <c r="JTL98" s="58"/>
      <c r="JTM98" s="58"/>
      <c r="JTN98" s="58"/>
      <c r="JTO98" s="58"/>
      <c r="JTP98" s="58"/>
      <c r="JTQ98" s="58"/>
      <c r="JTR98" s="58"/>
      <c r="JTS98" s="58"/>
      <c r="JTT98" s="58"/>
      <c r="JTU98" s="58"/>
      <c r="JTV98" s="58"/>
      <c r="JTW98" s="58"/>
      <c r="JTX98" s="58"/>
      <c r="JTY98" s="58"/>
      <c r="JTZ98" s="58"/>
      <c r="JUA98" s="58"/>
      <c r="JUB98" s="58"/>
      <c r="JUC98" s="58"/>
      <c r="JUD98" s="58"/>
      <c r="JUE98" s="58"/>
      <c r="JUF98" s="58"/>
      <c r="JUG98" s="58"/>
      <c r="JUH98" s="58"/>
      <c r="JUI98" s="58"/>
      <c r="JUJ98" s="58"/>
      <c r="JUK98" s="58"/>
      <c r="JUL98" s="58"/>
      <c r="JUM98" s="58"/>
      <c r="JUN98" s="58"/>
      <c r="JUO98" s="58"/>
      <c r="JUP98" s="58"/>
      <c r="JUQ98" s="58"/>
      <c r="JUR98" s="58"/>
      <c r="JUS98" s="58"/>
      <c r="JUT98" s="58"/>
      <c r="JUU98" s="58"/>
      <c r="JUV98" s="58"/>
      <c r="JUW98" s="58"/>
      <c r="JUX98" s="58"/>
      <c r="JUY98" s="58"/>
      <c r="JUZ98" s="58"/>
      <c r="JVA98" s="58"/>
      <c r="JVB98" s="58"/>
      <c r="JVC98" s="58"/>
      <c r="JVD98" s="58"/>
      <c r="JVE98" s="58"/>
      <c r="JVF98" s="58"/>
      <c r="JVG98" s="58"/>
      <c r="JVH98" s="58"/>
      <c r="JVI98" s="58"/>
      <c r="JVJ98" s="58"/>
      <c r="JVK98" s="58"/>
      <c r="JVL98" s="58"/>
      <c r="JVM98" s="58"/>
      <c r="JVN98" s="58"/>
      <c r="JVO98" s="58"/>
      <c r="JVP98" s="58"/>
      <c r="JVQ98" s="58"/>
      <c r="JVR98" s="58"/>
      <c r="JVS98" s="58"/>
      <c r="JVT98" s="58"/>
      <c r="JVU98" s="58"/>
      <c r="JVV98" s="58"/>
      <c r="JVW98" s="58"/>
      <c r="JVX98" s="58"/>
      <c r="JVY98" s="58"/>
      <c r="JVZ98" s="58"/>
      <c r="JWA98" s="58"/>
      <c r="JWB98" s="58"/>
      <c r="JWC98" s="58"/>
      <c r="JWD98" s="58"/>
      <c r="JWE98" s="58"/>
      <c r="JWF98" s="58"/>
      <c r="JWG98" s="58"/>
      <c r="JWH98" s="58"/>
      <c r="JWI98" s="58"/>
      <c r="JWJ98" s="58"/>
      <c r="JWK98" s="58"/>
      <c r="JWL98" s="58"/>
      <c r="JWM98" s="58"/>
      <c r="JWN98" s="58"/>
      <c r="JWO98" s="58"/>
      <c r="JWP98" s="58"/>
      <c r="JWQ98" s="58"/>
      <c r="JWR98" s="58"/>
      <c r="JWS98" s="58"/>
      <c r="JWT98" s="58"/>
      <c r="JWU98" s="58"/>
      <c r="JWV98" s="58"/>
      <c r="JWW98" s="58"/>
      <c r="JWX98" s="58"/>
      <c r="JWY98" s="58"/>
      <c r="JWZ98" s="58"/>
      <c r="JXA98" s="58"/>
      <c r="JXB98" s="58"/>
      <c r="JXC98" s="58"/>
      <c r="JXD98" s="58"/>
      <c r="JXE98" s="58"/>
      <c r="JXF98" s="58"/>
      <c r="JXG98" s="58"/>
      <c r="JXH98" s="58"/>
      <c r="JXI98" s="58"/>
      <c r="JXJ98" s="58"/>
      <c r="JXK98" s="58"/>
      <c r="JXL98" s="58"/>
      <c r="JXM98" s="58"/>
      <c r="JXN98" s="58"/>
      <c r="JXO98" s="58"/>
      <c r="JXP98" s="58"/>
      <c r="JXQ98" s="58"/>
      <c r="JXR98" s="58"/>
      <c r="JXS98" s="58"/>
      <c r="JXT98" s="58"/>
      <c r="JXU98" s="58"/>
      <c r="JXV98" s="58"/>
      <c r="JXW98" s="58"/>
      <c r="JXX98" s="58"/>
      <c r="JXY98" s="58"/>
      <c r="JXZ98" s="58"/>
      <c r="JYA98" s="58"/>
      <c r="JYB98" s="58"/>
      <c r="JYC98" s="58"/>
      <c r="JYD98" s="58"/>
      <c r="JYE98" s="58"/>
      <c r="JYF98" s="58"/>
      <c r="JYG98" s="58"/>
      <c r="JYH98" s="58"/>
      <c r="JYI98" s="58"/>
      <c r="JYJ98" s="58"/>
      <c r="JYK98" s="58"/>
      <c r="JYL98" s="58"/>
      <c r="JYM98" s="58"/>
      <c r="JYN98" s="58"/>
      <c r="JYO98" s="58"/>
      <c r="JYP98" s="58"/>
      <c r="JYQ98" s="58"/>
      <c r="JYR98" s="58"/>
      <c r="JYS98" s="58"/>
      <c r="JYT98" s="58"/>
      <c r="JYU98" s="58"/>
      <c r="JYV98" s="58"/>
      <c r="JYW98" s="58"/>
      <c r="JYX98" s="58"/>
      <c r="JYY98" s="58"/>
      <c r="JYZ98" s="58"/>
      <c r="JZA98" s="58"/>
      <c r="JZB98" s="58"/>
      <c r="JZC98" s="58"/>
      <c r="JZD98" s="58"/>
      <c r="JZE98" s="58"/>
      <c r="JZF98" s="58"/>
      <c r="JZG98" s="58"/>
      <c r="JZH98" s="58"/>
      <c r="JZI98" s="58"/>
      <c r="JZJ98" s="58"/>
      <c r="JZK98" s="58"/>
      <c r="JZL98" s="58"/>
      <c r="JZM98" s="58"/>
      <c r="JZN98" s="58"/>
      <c r="JZO98" s="58"/>
      <c r="JZP98" s="58"/>
      <c r="JZQ98" s="58"/>
      <c r="JZR98" s="58"/>
      <c r="JZS98" s="58"/>
      <c r="JZT98" s="58"/>
      <c r="JZU98" s="58"/>
      <c r="JZV98" s="58"/>
      <c r="JZW98" s="58"/>
      <c r="JZX98" s="58"/>
      <c r="JZY98" s="58"/>
      <c r="JZZ98" s="58"/>
      <c r="KAA98" s="58"/>
      <c r="KAB98" s="58"/>
      <c r="KAC98" s="58"/>
      <c r="KAD98" s="58"/>
      <c r="KAE98" s="58"/>
      <c r="KAF98" s="58"/>
      <c r="KAG98" s="58"/>
      <c r="KAH98" s="58"/>
      <c r="KAI98" s="58"/>
      <c r="KAJ98" s="58"/>
      <c r="KAK98" s="58"/>
      <c r="KAL98" s="58"/>
      <c r="KAM98" s="58"/>
      <c r="KAN98" s="58"/>
      <c r="KAO98" s="58"/>
      <c r="KAP98" s="58"/>
      <c r="KAQ98" s="58"/>
      <c r="KAR98" s="58"/>
      <c r="KAS98" s="58"/>
      <c r="KAT98" s="58"/>
      <c r="KAU98" s="58"/>
      <c r="KAV98" s="58"/>
      <c r="KAW98" s="58"/>
      <c r="KAX98" s="58"/>
      <c r="KAY98" s="58"/>
      <c r="KAZ98" s="58"/>
      <c r="KBA98" s="58"/>
      <c r="KBB98" s="58"/>
      <c r="KBC98" s="58"/>
      <c r="KBD98" s="58"/>
      <c r="KBE98" s="58"/>
      <c r="KBF98" s="58"/>
      <c r="KBG98" s="58"/>
      <c r="KBH98" s="58"/>
      <c r="KBI98" s="58"/>
      <c r="KBJ98" s="58"/>
      <c r="KBK98" s="58"/>
      <c r="KBL98" s="58"/>
      <c r="KBM98" s="58"/>
      <c r="KBN98" s="58"/>
      <c r="KBO98" s="58"/>
      <c r="KBP98" s="58"/>
      <c r="KBQ98" s="58"/>
      <c r="KBR98" s="58"/>
      <c r="KBS98" s="58"/>
      <c r="KBT98" s="58"/>
      <c r="KBU98" s="58"/>
      <c r="KBV98" s="58"/>
      <c r="KBW98" s="58"/>
      <c r="KBX98" s="58"/>
      <c r="KBY98" s="58"/>
      <c r="KBZ98" s="58"/>
      <c r="KCA98" s="58"/>
      <c r="KCB98" s="58"/>
      <c r="KCC98" s="58"/>
      <c r="KCD98" s="58"/>
      <c r="KCE98" s="58"/>
      <c r="KCF98" s="58"/>
      <c r="KCG98" s="58"/>
      <c r="KCH98" s="58"/>
      <c r="KCI98" s="58"/>
      <c r="KCJ98" s="58"/>
      <c r="KCK98" s="58"/>
      <c r="KCL98" s="58"/>
      <c r="KCM98" s="58"/>
      <c r="KCN98" s="58"/>
      <c r="KCO98" s="58"/>
      <c r="KCP98" s="58"/>
      <c r="KCQ98" s="58"/>
      <c r="KCR98" s="58"/>
      <c r="KCS98" s="58"/>
      <c r="KCT98" s="58"/>
      <c r="KCU98" s="58"/>
      <c r="KCV98" s="58"/>
      <c r="KCW98" s="58"/>
      <c r="KCX98" s="58"/>
      <c r="KCY98" s="58"/>
      <c r="KCZ98" s="58"/>
      <c r="KDA98" s="58"/>
      <c r="KDB98" s="58"/>
      <c r="KDC98" s="58"/>
      <c r="KDD98" s="58"/>
      <c r="KDE98" s="58"/>
      <c r="KDF98" s="58"/>
      <c r="KDG98" s="58"/>
      <c r="KDH98" s="58"/>
      <c r="KDI98" s="58"/>
      <c r="KDJ98" s="58"/>
      <c r="KDK98" s="58"/>
      <c r="KDL98" s="58"/>
      <c r="KDM98" s="58"/>
      <c r="KDN98" s="58"/>
      <c r="KDO98" s="58"/>
      <c r="KDP98" s="58"/>
      <c r="KDQ98" s="58"/>
      <c r="KDR98" s="58"/>
      <c r="KDS98" s="58"/>
      <c r="KDT98" s="58"/>
      <c r="KDU98" s="58"/>
      <c r="KDV98" s="58"/>
      <c r="KDW98" s="58"/>
      <c r="KDX98" s="58"/>
      <c r="KDY98" s="58"/>
      <c r="KDZ98" s="58"/>
      <c r="KEA98" s="58"/>
      <c r="KEB98" s="58"/>
      <c r="KEC98" s="58"/>
      <c r="KED98" s="58"/>
      <c r="KEE98" s="58"/>
      <c r="KEF98" s="58"/>
      <c r="KEG98" s="58"/>
      <c r="KEH98" s="58"/>
      <c r="KEI98" s="58"/>
      <c r="KEJ98" s="58"/>
      <c r="KEK98" s="58"/>
      <c r="KEL98" s="58"/>
      <c r="KEM98" s="58"/>
      <c r="KEN98" s="58"/>
      <c r="KEO98" s="58"/>
      <c r="KEP98" s="58"/>
      <c r="KEQ98" s="58"/>
      <c r="KER98" s="58"/>
      <c r="KES98" s="58"/>
      <c r="KET98" s="58"/>
      <c r="KEU98" s="58"/>
      <c r="KEV98" s="58"/>
      <c r="KEW98" s="58"/>
      <c r="KEX98" s="58"/>
      <c r="KEY98" s="58"/>
      <c r="KEZ98" s="58"/>
      <c r="KFA98" s="58"/>
      <c r="KFB98" s="58"/>
      <c r="KFC98" s="58"/>
      <c r="KFD98" s="58"/>
      <c r="KFE98" s="58"/>
      <c r="KFF98" s="58"/>
      <c r="KFG98" s="58"/>
      <c r="KFH98" s="58"/>
      <c r="KFI98" s="58"/>
      <c r="KFJ98" s="58"/>
      <c r="KFK98" s="58"/>
      <c r="KFL98" s="58"/>
      <c r="KFM98" s="58"/>
      <c r="KFN98" s="58"/>
      <c r="KFO98" s="58"/>
      <c r="KFP98" s="58"/>
      <c r="KFQ98" s="58"/>
      <c r="KFR98" s="58"/>
      <c r="KFS98" s="58"/>
      <c r="KFT98" s="58"/>
      <c r="KFU98" s="58"/>
      <c r="KFV98" s="58"/>
      <c r="KFW98" s="58"/>
      <c r="KFX98" s="58"/>
      <c r="KFY98" s="58"/>
      <c r="KFZ98" s="58"/>
      <c r="KGA98" s="58"/>
      <c r="KGB98" s="58"/>
      <c r="KGC98" s="58"/>
      <c r="KGD98" s="58"/>
      <c r="KGE98" s="58"/>
      <c r="KGF98" s="58"/>
      <c r="KGG98" s="58"/>
      <c r="KGH98" s="58"/>
      <c r="KGI98" s="58"/>
      <c r="KGJ98" s="58"/>
      <c r="KGK98" s="58"/>
      <c r="KGL98" s="58"/>
      <c r="KGM98" s="58"/>
      <c r="KGN98" s="58"/>
      <c r="KGO98" s="58"/>
      <c r="KGP98" s="58"/>
      <c r="KGQ98" s="58"/>
      <c r="KGR98" s="58"/>
      <c r="KGS98" s="58"/>
      <c r="KGT98" s="58"/>
      <c r="KGU98" s="58"/>
      <c r="KGV98" s="58"/>
      <c r="KGW98" s="58"/>
      <c r="KGX98" s="58"/>
      <c r="KGY98" s="58"/>
      <c r="KGZ98" s="58"/>
      <c r="KHA98" s="58"/>
      <c r="KHB98" s="58"/>
      <c r="KHC98" s="58"/>
      <c r="KHD98" s="58"/>
      <c r="KHE98" s="58"/>
      <c r="KHF98" s="58"/>
      <c r="KHG98" s="58"/>
      <c r="KHH98" s="58"/>
      <c r="KHI98" s="58"/>
      <c r="KHJ98" s="58"/>
      <c r="KHK98" s="58"/>
      <c r="KHL98" s="58"/>
      <c r="KHM98" s="58"/>
      <c r="KHN98" s="58"/>
      <c r="KHO98" s="58"/>
      <c r="KHP98" s="58"/>
      <c r="KHQ98" s="58"/>
      <c r="KHR98" s="58"/>
      <c r="KHS98" s="58"/>
      <c r="KHT98" s="58"/>
      <c r="KHU98" s="58"/>
      <c r="KHV98" s="58"/>
      <c r="KHW98" s="58"/>
      <c r="KHX98" s="58"/>
      <c r="KHY98" s="58"/>
      <c r="KHZ98" s="58"/>
      <c r="KIA98" s="58"/>
      <c r="KIB98" s="58"/>
      <c r="KIC98" s="58"/>
      <c r="KID98" s="58"/>
      <c r="KIE98" s="58"/>
      <c r="KIF98" s="58"/>
      <c r="KIG98" s="58"/>
      <c r="KIH98" s="58"/>
      <c r="KII98" s="58"/>
      <c r="KIJ98" s="58"/>
      <c r="KIK98" s="58"/>
      <c r="KIL98" s="58"/>
      <c r="KIM98" s="58"/>
      <c r="KIN98" s="58"/>
      <c r="KIO98" s="58"/>
      <c r="KIP98" s="58"/>
      <c r="KIQ98" s="58"/>
      <c r="KIR98" s="58"/>
      <c r="KIS98" s="58"/>
      <c r="KIT98" s="58"/>
      <c r="KIU98" s="58"/>
      <c r="KIV98" s="58"/>
      <c r="KIW98" s="58"/>
      <c r="KIX98" s="58"/>
      <c r="KIY98" s="58"/>
      <c r="KIZ98" s="58"/>
      <c r="KJA98" s="58"/>
      <c r="KJB98" s="58"/>
      <c r="KJC98" s="58"/>
      <c r="KJD98" s="58"/>
      <c r="KJE98" s="58"/>
      <c r="KJF98" s="58"/>
      <c r="KJG98" s="58"/>
      <c r="KJH98" s="58"/>
      <c r="KJI98" s="58"/>
      <c r="KJJ98" s="58"/>
      <c r="KJK98" s="58"/>
      <c r="KJL98" s="58"/>
      <c r="KJM98" s="58"/>
      <c r="KJN98" s="58"/>
      <c r="KJO98" s="58"/>
      <c r="KJP98" s="58"/>
      <c r="KJQ98" s="58"/>
      <c r="KJR98" s="58"/>
      <c r="KJS98" s="58"/>
      <c r="KJT98" s="58"/>
      <c r="KJU98" s="58"/>
      <c r="KJV98" s="58"/>
      <c r="KJW98" s="58"/>
      <c r="KJX98" s="58"/>
      <c r="KJY98" s="58"/>
      <c r="KJZ98" s="58"/>
      <c r="KKA98" s="58"/>
      <c r="KKB98" s="58"/>
      <c r="KKC98" s="58"/>
      <c r="KKD98" s="58"/>
      <c r="KKE98" s="58"/>
      <c r="KKF98" s="58"/>
      <c r="KKG98" s="58"/>
      <c r="KKH98" s="58"/>
      <c r="KKI98" s="58"/>
      <c r="KKJ98" s="58"/>
      <c r="KKK98" s="58"/>
      <c r="KKL98" s="58"/>
      <c r="KKM98" s="58"/>
      <c r="KKN98" s="58"/>
      <c r="KKO98" s="58"/>
      <c r="KKP98" s="58"/>
      <c r="KKQ98" s="58"/>
      <c r="KKR98" s="58"/>
      <c r="KKS98" s="58"/>
      <c r="KKT98" s="58"/>
      <c r="KKU98" s="58"/>
      <c r="KKV98" s="58"/>
      <c r="KKW98" s="58"/>
      <c r="KKX98" s="58"/>
      <c r="KKY98" s="58"/>
      <c r="KKZ98" s="58"/>
      <c r="KLA98" s="58"/>
      <c r="KLB98" s="58"/>
      <c r="KLC98" s="58"/>
      <c r="KLD98" s="58"/>
      <c r="KLE98" s="58"/>
      <c r="KLF98" s="58"/>
      <c r="KLG98" s="58"/>
      <c r="KLH98" s="58"/>
      <c r="KLI98" s="58"/>
      <c r="KLJ98" s="58"/>
      <c r="KLK98" s="58"/>
      <c r="KLL98" s="58"/>
      <c r="KLM98" s="58"/>
      <c r="KLN98" s="58"/>
      <c r="KLO98" s="58"/>
      <c r="KLP98" s="58"/>
      <c r="KLQ98" s="58"/>
      <c r="KLR98" s="58"/>
      <c r="KLS98" s="58"/>
      <c r="KLT98" s="58"/>
      <c r="KLU98" s="58"/>
      <c r="KLV98" s="58"/>
      <c r="KLW98" s="58"/>
      <c r="KLX98" s="58"/>
      <c r="KLY98" s="58"/>
      <c r="KLZ98" s="58"/>
      <c r="KMA98" s="58"/>
      <c r="KMB98" s="58"/>
      <c r="KMC98" s="58"/>
      <c r="KMD98" s="58"/>
      <c r="KME98" s="58"/>
      <c r="KMF98" s="58"/>
      <c r="KMG98" s="58"/>
      <c r="KMH98" s="58"/>
      <c r="KMI98" s="58"/>
      <c r="KMJ98" s="58"/>
      <c r="KMK98" s="58"/>
      <c r="KML98" s="58"/>
      <c r="KMM98" s="58"/>
      <c r="KMN98" s="58"/>
      <c r="KMO98" s="58"/>
      <c r="KMP98" s="58"/>
      <c r="KMQ98" s="58"/>
      <c r="KMR98" s="58"/>
      <c r="KMS98" s="58"/>
      <c r="KMT98" s="58"/>
      <c r="KMU98" s="58"/>
      <c r="KMV98" s="58"/>
      <c r="KMW98" s="58"/>
      <c r="KMX98" s="58"/>
      <c r="KMY98" s="58"/>
      <c r="KMZ98" s="58"/>
      <c r="KNA98" s="58"/>
      <c r="KNB98" s="58"/>
      <c r="KNC98" s="58"/>
      <c r="KND98" s="58"/>
      <c r="KNE98" s="58"/>
      <c r="KNF98" s="58"/>
      <c r="KNG98" s="58"/>
      <c r="KNH98" s="58"/>
      <c r="KNI98" s="58"/>
      <c r="KNJ98" s="58"/>
      <c r="KNK98" s="58"/>
      <c r="KNL98" s="58"/>
      <c r="KNM98" s="58"/>
      <c r="KNN98" s="58"/>
      <c r="KNO98" s="58"/>
      <c r="KNP98" s="58"/>
      <c r="KNQ98" s="58"/>
      <c r="KNR98" s="58"/>
      <c r="KNS98" s="58"/>
      <c r="KNT98" s="58"/>
      <c r="KNU98" s="58"/>
      <c r="KNV98" s="58"/>
      <c r="KNW98" s="58"/>
      <c r="KNX98" s="58"/>
      <c r="KNY98" s="58"/>
      <c r="KNZ98" s="58"/>
      <c r="KOA98" s="58"/>
      <c r="KOB98" s="58"/>
      <c r="KOC98" s="58"/>
      <c r="KOD98" s="58"/>
      <c r="KOE98" s="58"/>
      <c r="KOF98" s="58"/>
      <c r="KOG98" s="58"/>
      <c r="KOH98" s="58"/>
      <c r="KOI98" s="58"/>
      <c r="KOJ98" s="58"/>
      <c r="KOK98" s="58"/>
      <c r="KOL98" s="58"/>
      <c r="KOM98" s="58"/>
      <c r="KON98" s="58"/>
      <c r="KOO98" s="58"/>
      <c r="KOP98" s="58"/>
      <c r="KOQ98" s="58"/>
      <c r="KOR98" s="58"/>
      <c r="KOS98" s="58"/>
      <c r="KOT98" s="58"/>
      <c r="KOU98" s="58"/>
      <c r="KOV98" s="58"/>
      <c r="KOW98" s="58"/>
      <c r="KOX98" s="58"/>
      <c r="KOY98" s="58"/>
      <c r="KOZ98" s="58"/>
      <c r="KPA98" s="58"/>
      <c r="KPB98" s="58"/>
      <c r="KPC98" s="58"/>
      <c r="KPD98" s="58"/>
      <c r="KPE98" s="58"/>
      <c r="KPF98" s="58"/>
      <c r="KPG98" s="58"/>
      <c r="KPH98" s="58"/>
      <c r="KPI98" s="58"/>
      <c r="KPJ98" s="58"/>
      <c r="KPK98" s="58"/>
      <c r="KPL98" s="58"/>
      <c r="KPM98" s="58"/>
      <c r="KPN98" s="58"/>
      <c r="KPO98" s="58"/>
      <c r="KPP98" s="58"/>
      <c r="KPQ98" s="58"/>
      <c r="KPR98" s="58"/>
      <c r="KPS98" s="58"/>
      <c r="KPT98" s="58"/>
      <c r="KPU98" s="58"/>
      <c r="KPV98" s="58"/>
      <c r="KPW98" s="58"/>
      <c r="KPX98" s="58"/>
      <c r="KPY98" s="58"/>
      <c r="KPZ98" s="58"/>
      <c r="KQA98" s="58"/>
      <c r="KQB98" s="58"/>
      <c r="KQC98" s="58"/>
      <c r="KQD98" s="58"/>
      <c r="KQE98" s="58"/>
      <c r="KQF98" s="58"/>
      <c r="KQG98" s="58"/>
      <c r="KQH98" s="58"/>
      <c r="KQI98" s="58"/>
      <c r="KQJ98" s="58"/>
      <c r="KQK98" s="58"/>
      <c r="KQL98" s="58"/>
      <c r="KQM98" s="58"/>
      <c r="KQN98" s="58"/>
      <c r="KQO98" s="58"/>
      <c r="KQP98" s="58"/>
      <c r="KQQ98" s="58"/>
      <c r="KQR98" s="58"/>
      <c r="KQS98" s="58"/>
      <c r="KQT98" s="58"/>
      <c r="KQU98" s="58"/>
      <c r="KQV98" s="58"/>
      <c r="KQW98" s="58"/>
      <c r="KQX98" s="58"/>
      <c r="KQY98" s="58"/>
      <c r="KQZ98" s="58"/>
      <c r="KRA98" s="58"/>
      <c r="KRB98" s="58"/>
      <c r="KRC98" s="58"/>
      <c r="KRD98" s="58"/>
      <c r="KRE98" s="58"/>
      <c r="KRF98" s="58"/>
      <c r="KRG98" s="58"/>
      <c r="KRH98" s="58"/>
      <c r="KRI98" s="58"/>
      <c r="KRJ98" s="58"/>
      <c r="KRK98" s="58"/>
      <c r="KRL98" s="58"/>
      <c r="KRM98" s="58"/>
      <c r="KRN98" s="58"/>
      <c r="KRO98" s="58"/>
      <c r="KRP98" s="58"/>
      <c r="KRQ98" s="58"/>
      <c r="KRR98" s="58"/>
      <c r="KRS98" s="58"/>
      <c r="KRT98" s="58"/>
      <c r="KRU98" s="58"/>
      <c r="KRV98" s="58"/>
      <c r="KRW98" s="58"/>
      <c r="KRX98" s="58"/>
      <c r="KRY98" s="58"/>
      <c r="KRZ98" s="58"/>
      <c r="KSA98" s="58"/>
      <c r="KSB98" s="58"/>
      <c r="KSC98" s="58"/>
      <c r="KSD98" s="58"/>
      <c r="KSE98" s="58"/>
      <c r="KSF98" s="58"/>
      <c r="KSG98" s="58"/>
      <c r="KSH98" s="58"/>
      <c r="KSI98" s="58"/>
      <c r="KSJ98" s="58"/>
      <c r="KSK98" s="58"/>
      <c r="KSL98" s="58"/>
      <c r="KSM98" s="58"/>
      <c r="KSN98" s="58"/>
      <c r="KSO98" s="58"/>
      <c r="KSP98" s="58"/>
      <c r="KSQ98" s="58"/>
      <c r="KSR98" s="58"/>
      <c r="KSS98" s="58"/>
      <c r="KST98" s="58"/>
      <c r="KSU98" s="58"/>
      <c r="KSV98" s="58"/>
      <c r="KSW98" s="58"/>
      <c r="KSX98" s="58"/>
      <c r="KSY98" s="58"/>
      <c r="KSZ98" s="58"/>
      <c r="KTA98" s="58"/>
      <c r="KTB98" s="58"/>
      <c r="KTC98" s="58"/>
      <c r="KTD98" s="58"/>
      <c r="KTE98" s="58"/>
      <c r="KTF98" s="58"/>
      <c r="KTG98" s="58"/>
      <c r="KTH98" s="58"/>
      <c r="KTI98" s="58"/>
      <c r="KTJ98" s="58"/>
      <c r="KTK98" s="58"/>
      <c r="KTL98" s="58"/>
      <c r="KTM98" s="58"/>
      <c r="KTN98" s="58"/>
      <c r="KTO98" s="58"/>
      <c r="KTP98" s="58"/>
      <c r="KTQ98" s="58"/>
      <c r="KTR98" s="58"/>
      <c r="KTS98" s="58"/>
      <c r="KTT98" s="58"/>
      <c r="KTU98" s="58"/>
      <c r="KTV98" s="58"/>
      <c r="KTW98" s="58"/>
      <c r="KTX98" s="58"/>
      <c r="KTY98" s="58"/>
      <c r="KTZ98" s="58"/>
      <c r="KUA98" s="58"/>
      <c r="KUB98" s="58"/>
      <c r="KUC98" s="58"/>
      <c r="KUD98" s="58"/>
      <c r="KUE98" s="58"/>
      <c r="KUF98" s="58"/>
      <c r="KUG98" s="58"/>
      <c r="KUH98" s="58"/>
      <c r="KUI98" s="58"/>
      <c r="KUJ98" s="58"/>
      <c r="KUK98" s="58"/>
      <c r="KUL98" s="58"/>
      <c r="KUM98" s="58"/>
      <c r="KUN98" s="58"/>
      <c r="KUO98" s="58"/>
      <c r="KUP98" s="58"/>
      <c r="KUQ98" s="58"/>
      <c r="KUR98" s="58"/>
      <c r="KUS98" s="58"/>
      <c r="KUT98" s="58"/>
      <c r="KUU98" s="58"/>
      <c r="KUV98" s="58"/>
      <c r="KUW98" s="58"/>
      <c r="KUX98" s="58"/>
      <c r="KUY98" s="58"/>
      <c r="KUZ98" s="58"/>
      <c r="KVA98" s="58"/>
      <c r="KVB98" s="58"/>
      <c r="KVC98" s="58"/>
      <c r="KVD98" s="58"/>
      <c r="KVE98" s="58"/>
      <c r="KVF98" s="58"/>
      <c r="KVG98" s="58"/>
      <c r="KVH98" s="58"/>
      <c r="KVI98" s="58"/>
      <c r="KVJ98" s="58"/>
      <c r="KVK98" s="58"/>
      <c r="KVL98" s="58"/>
      <c r="KVM98" s="58"/>
      <c r="KVN98" s="58"/>
      <c r="KVO98" s="58"/>
      <c r="KVP98" s="58"/>
      <c r="KVQ98" s="58"/>
      <c r="KVR98" s="58"/>
      <c r="KVS98" s="58"/>
      <c r="KVT98" s="58"/>
      <c r="KVU98" s="58"/>
      <c r="KVV98" s="58"/>
      <c r="KVW98" s="58"/>
      <c r="KVX98" s="58"/>
      <c r="KVY98" s="58"/>
      <c r="KVZ98" s="58"/>
      <c r="KWA98" s="58"/>
      <c r="KWB98" s="58"/>
      <c r="KWC98" s="58"/>
      <c r="KWD98" s="58"/>
      <c r="KWE98" s="58"/>
      <c r="KWF98" s="58"/>
      <c r="KWG98" s="58"/>
      <c r="KWH98" s="58"/>
      <c r="KWI98" s="58"/>
      <c r="KWJ98" s="58"/>
      <c r="KWK98" s="58"/>
      <c r="KWL98" s="58"/>
      <c r="KWM98" s="58"/>
      <c r="KWN98" s="58"/>
      <c r="KWO98" s="58"/>
      <c r="KWP98" s="58"/>
      <c r="KWQ98" s="58"/>
      <c r="KWR98" s="58"/>
      <c r="KWS98" s="58"/>
      <c r="KWT98" s="58"/>
      <c r="KWU98" s="58"/>
      <c r="KWV98" s="58"/>
      <c r="KWW98" s="58"/>
      <c r="KWX98" s="58"/>
      <c r="KWY98" s="58"/>
      <c r="KWZ98" s="58"/>
      <c r="KXA98" s="58"/>
      <c r="KXB98" s="58"/>
      <c r="KXC98" s="58"/>
      <c r="KXD98" s="58"/>
      <c r="KXE98" s="58"/>
      <c r="KXF98" s="58"/>
      <c r="KXG98" s="58"/>
      <c r="KXH98" s="58"/>
      <c r="KXI98" s="58"/>
      <c r="KXJ98" s="58"/>
      <c r="KXK98" s="58"/>
      <c r="KXL98" s="58"/>
      <c r="KXM98" s="58"/>
      <c r="KXN98" s="58"/>
      <c r="KXO98" s="58"/>
      <c r="KXP98" s="58"/>
      <c r="KXQ98" s="58"/>
      <c r="KXR98" s="58"/>
      <c r="KXS98" s="58"/>
      <c r="KXT98" s="58"/>
      <c r="KXU98" s="58"/>
      <c r="KXV98" s="58"/>
      <c r="KXW98" s="58"/>
      <c r="KXX98" s="58"/>
      <c r="KXY98" s="58"/>
      <c r="KXZ98" s="58"/>
      <c r="KYA98" s="58"/>
      <c r="KYB98" s="58"/>
      <c r="KYC98" s="58"/>
      <c r="KYD98" s="58"/>
      <c r="KYE98" s="58"/>
      <c r="KYF98" s="58"/>
      <c r="KYG98" s="58"/>
      <c r="KYH98" s="58"/>
      <c r="KYI98" s="58"/>
      <c r="KYJ98" s="58"/>
      <c r="KYK98" s="58"/>
      <c r="KYL98" s="58"/>
      <c r="KYM98" s="58"/>
      <c r="KYN98" s="58"/>
      <c r="KYO98" s="58"/>
      <c r="KYP98" s="58"/>
      <c r="KYQ98" s="58"/>
      <c r="KYR98" s="58"/>
      <c r="KYS98" s="58"/>
      <c r="KYT98" s="58"/>
      <c r="KYU98" s="58"/>
      <c r="KYV98" s="58"/>
      <c r="KYW98" s="58"/>
      <c r="KYX98" s="58"/>
      <c r="KYY98" s="58"/>
      <c r="KYZ98" s="58"/>
      <c r="KZA98" s="58"/>
      <c r="KZB98" s="58"/>
      <c r="KZC98" s="58"/>
      <c r="KZD98" s="58"/>
      <c r="KZE98" s="58"/>
      <c r="KZF98" s="58"/>
      <c r="KZG98" s="58"/>
      <c r="KZH98" s="58"/>
      <c r="KZI98" s="58"/>
      <c r="KZJ98" s="58"/>
      <c r="KZK98" s="58"/>
      <c r="KZL98" s="58"/>
      <c r="KZM98" s="58"/>
      <c r="KZN98" s="58"/>
      <c r="KZO98" s="58"/>
      <c r="KZP98" s="58"/>
      <c r="KZQ98" s="58"/>
      <c r="KZR98" s="58"/>
      <c r="KZS98" s="58"/>
      <c r="KZT98" s="58"/>
      <c r="KZU98" s="58"/>
      <c r="KZV98" s="58"/>
      <c r="KZW98" s="58"/>
      <c r="KZX98" s="58"/>
      <c r="KZY98" s="58"/>
      <c r="KZZ98" s="58"/>
      <c r="LAA98" s="58"/>
      <c r="LAB98" s="58"/>
      <c r="LAC98" s="58"/>
      <c r="LAD98" s="58"/>
      <c r="LAE98" s="58"/>
      <c r="LAF98" s="58"/>
      <c r="LAG98" s="58"/>
      <c r="LAH98" s="58"/>
      <c r="LAI98" s="58"/>
      <c r="LAJ98" s="58"/>
      <c r="LAK98" s="58"/>
      <c r="LAL98" s="58"/>
      <c r="LAM98" s="58"/>
      <c r="LAN98" s="58"/>
      <c r="LAO98" s="58"/>
      <c r="LAP98" s="58"/>
      <c r="LAQ98" s="58"/>
      <c r="LAR98" s="58"/>
      <c r="LAS98" s="58"/>
      <c r="LAT98" s="58"/>
      <c r="LAU98" s="58"/>
      <c r="LAV98" s="58"/>
      <c r="LAW98" s="58"/>
      <c r="LAX98" s="58"/>
      <c r="LAY98" s="58"/>
      <c r="LAZ98" s="58"/>
      <c r="LBA98" s="58"/>
      <c r="LBB98" s="58"/>
      <c r="LBC98" s="58"/>
      <c r="LBD98" s="58"/>
      <c r="LBE98" s="58"/>
      <c r="LBF98" s="58"/>
      <c r="LBG98" s="58"/>
      <c r="LBH98" s="58"/>
      <c r="LBI98" s="58"/>
      <c r="LBJ98" s="58"/>
      <c r="LBK98" s="58"/>
      <c r="LBL98" s="58"/>
      <c r="LBM98" s="58"/>
      <c r="LBN98" s="58"/>
      <c r="LBO98" s="58"/>
      <c r="LBP98" s="58"/>
      <c r="LBQ98" s="58"/>
      <c r="LBR98" s="58"/>
      <c r="LBS98" s="58"/>
      <c r="LBT98" s="58"/>
      <c r="LBU98" s="58"/>
      <c r="LBV98" s="58"/>
      <c r="LBW98" s="58"/>
      <c r="LBX98" s="58"/>
      <c r="LBY98" s="58"/>
      <c r="LBZ98" s="58"/>
      <c r="LCA98" s="58"/>
      <c r="LCB98" s="58"/>
      <c r="LCC98" s="58"/>
      <c r="LCD98" s="58"/>
      <c r="LCE98" s="58"/>
      <c r="LCF98" s="58"/>
      <c r="LCG98" s="58"/>
      <c r="LCH98" s="58"/>
      <c r="LCI98" s="58"/>
      <c r="LCJ98" s="58"/>
      <c r="LCK98" s="58"/>
      <c r="LCL98" s="58"/>
      <c r="LCM98" s="58"/>
      <c r="LCN98" s="58"/>
      <c r="LCO98" s="58"/>
      <c r="LCP98" s="58"/>
      <c r="LCQ98" s="58"/>
      <c r="LCR98" s="58"/>
      <c r="LCS98" s="58"/>
      <c r="LCT98" s="58"/>
      <c r="LCU98" s="58"/>
      <c r="LCV98" s="58"/>
      <c r="LCW98" s="58"/>
      <c r="LCX98" s="58"/>
      <c r="LCY98" s="58"/>
      <c r="LCZ98" s="58"/>
      <c r="LDA98" s="58"/>
      <c r="LDB98" s="58"/>
      <c r="LDC98" s="58"/>
      <c r="LDD98" s="58"/>
      <c r="LDE98" s="58"/>
      <c r="LDF98" s="58"/>
      <c r="LDG98" s="58"/>
      <c r="LDH98" s="58"/>
      <c r="LDI98" s="58"/>
      <c r="LDJ98" s="58"/>
      <c r="LDK98" s="58"/>
      <c r="LDL98" s="58"/>
      <c r="LDM98" s="58"/>
      <c r="LDN98" s="58"/>
      <c r="LDO98" s="58"/>
      <c r="LDP98" s="58"/>
      <c r="LDQ98" s="58"/>
      <c r="LDR98" s="58"/>
      <c r="LDS98" s="58"/>
      <c r="LDT98" s="58"/>
      <c r="LDU98" s="58"/>
      <c r="LDV98" s="58"/>
      <c r="LDW98" s="58"/>
      <c r="LDX98" s="58"/>
      <c r="LDY98" s="58"/>
      <c r="LDZ98" s="58"/>
      <c r="LEA98" s="58"/>
      <c r="LEB98" s="58"/>
      <c r="LEC98" s="58"/>
      <c r="LED98" s="58"/>
      <c r="LEE98" s="58"/>
      <c r="LEF98" s="58"/>
      <c r="LEG98" s="58"/>
      <c r="LEH98" s="58"/>
      <c r="LEI98" s="58"/>
      <c r="LEJ98" s="58"/>
      <c r="LEK98" s="58"/>
      <c r="LEL98" s="58"/>
      <c r="LEM98" s="58"/>
      <c r="LEN98" s="58"/>
      <c r="LEO98" s="58"/>
      <c r="LEP98" s="58"/>
      <c r="LEQ98" s="58"/>
      <c r="LER98" s="58"/>
      <c r="LES98" s="58"/>
      <c r="LET98" s="58"/>
      <c r="LEU98" s="58"/>
      <c r="LEV98" s="58"/>
      <c r="LEW98" s="58"/>
      <c r="LEX98" s="58"/>
      <c r="LEY98" s="58"/>
      <c r="LEZ98" s="58"/>
      <c r="LFA98" s="58"/>
      <c r="LFB98" s="58"/>
      <c r="LFC98" s="58"/>
      <c r="LFD98" s="58"/>
      <c r="LFE98" s="58"/>
      <c r="LFF98" s="58"/>
      <c r="LFG98" s="58"/>
      <c r="LFH98" s="58"/>
      <c r="LFI98" s="58"/>
      <c r="LFJ98" s="58"/>
      <c r="LFK98" s="58"/>
      <c r="LFL98" s="58"/>
      <c r="LFM98" s="58"/>
      <c r="LFN98" s="58"/>
      <c r="LFO98" s="58"/>
      <c r="LFP98" s="58"/>
      <c r="LFQ98" s="58"/>
      <c r="LFR98" s="58"/>
      <c r="LFS98" s="58"/>
      <c r="LFT98" s="58"/>
      <c r="LFU98" s="58"/>
      <c r="LFV98" s="58"/>
      <c r="LFW98" s="58"/>
      <c r="LFX98" s="58"/>
      <c r="LFY98" s="58"/>
      <c r="LFZ98" s="58"/>
      <c r="LGA98" s="58"/>
      <c r="LGB98" s="58"/>
      <c r="LGC98" s="58"/>
      <c r="LGD98" s="58"/>
      <c r="LGE98" s="58"/>
      <c r="LGF98" s="58"/>
      <c r="LGG98" s="58"/>
      <c r="LGH98" s="58"/>
      <c r="LGI98" s="58"/>
      <c r="LGJ98" s="58"/>
      <c r="LGK98" s="58"/>
      <c r="LGL98" s="58"/>
      <c r="LGM98" s="58"/>
      <c r="LGN98" s="58"/>
      <c r="LGO98" s="58"/>
      <c r="LGP98" s="58"/>
      <c r="LGQ98" s="58"/>
      <c r="LGR98" s="58"/>
      <c r="LGS98" s="58"/>
      <c r="LGT98" s="58"/>
      <c r="LGU98" s="58"/>
      <c r="LGV98" s="58"/>
      <c r="LGW98" s="58"/>
      <c r="LGX98" s="58"/>
      <c r="LGY98" s="58"/>
      <c r="LGZ98" s="58"/>
      <c r="LHA98" s="58"/>
      <c r="LHB98" s="58"/>
      <c r="LHC98" s="58"/>
      <c r="LHD98" s="58"/>
      <c r="LHE98" s="58"/>
      <c r="LHF98" s="58"/>
      <c r="LHG98" s="58"/>
      <c r="LHH98" s="58"/>
      <c r="LHI98" s="58"/>
      <c r="LHJ98" s="58"/>
      <c r="LHK98" s="58"/>
      <c r="LHL98" s="58"/>
      <c r="LHM98" s="58"/>
      <c r="LHN98" s="58"/>
      <c r="LHO98" s="58"/>
      <c r="LHP98" s="58"/>
      <c r="LHQ98" s="58"/>
      <c r="LHR98" s="58"/>
      <c r="LHS98" s="58"/>
      <c r="LHT98" s="58"/>
      <c r="LHU98" s="58"/>
      <c r="LHV98" s="58"/>
      <c r="LHW98" s="58"/>
      <c r="LHX98" s="58"/>
      <c r="LHY98" s="58"/>
      <c r="LHZ98" s="58"/>
      <c r="LIA98" s="58"/>
      <c r="LIB98" s="58"/>
      <c r="LIC98" s="58"/>
      <c r="LID98" s="58"/>
      <c r="LIE98" s="58"/>
      <c r="LIF98" s="58"/>
      <c r="LIG98" s="58"/>
      <c r="LIH98" s="58"/>
      <c r="LII98" s="58"/>
      <c r="LIJ98" s="58"/>
      <c r="LIK98" s="58"/>
      <c r="LIL98" s="58"/>
      <c r="LIM98" s="58"/>
      <c r="LIN98" s="58"/>
      <c r="LIO98" s="58"/>
      <c r="LIP98" s="58"/>
      <c r="LIQ98" s="58"/>
      <c r="LIR98" s="58"/>
      <c r="LIS98" s="58"/>
      <c r="LIT98" s="58"/>
      <c r="LIU98" s="58"/>
      <c r="LIV98" s="58"/>
      <c r="LIW98" s="58"/>
      <c r="LIX98" s="58"/>
      <c r="LIY98" s="58"/>
      <c r="LIZ98" s="58"/>
      <c r="LJA98" s="58"/>
      <c r="LJB98" s="58"/>
      <c r="LJC98" s="58"/>
      <c r="LJD98" s="58"/>
      <c r="LJE98" s="58"/>
      <c r="LJF98" s="58"/>
      <c r="LJG98" s="58"/>
      <c r="LJH98" s="58"/>
      <c r="LJI98" s="58"/>
      <c r="LJJ98" s="58"/>
      <c r="LJK98" s="58"/>
      <c r="LJL98" s="58"/>
      <c r="LJM98" s="58"/>
      <c r="LJN98" s="58"/>
      <c r="LJO98" s="58"/>
      <c r="LJP98" s="58"/>
      <c r="LJQ98" s="58"/>
      <c r="LJR98" s="58"/>
      <c r="LJS98" s="58"/>
      <c r="LJT98" s="58"/>
      <c r="LJU98" s="58"/>
      <c r="LJV98" s="58"/>
      <c r="LJW98" s="58"/>
      <c r="LJX98" s="58"/>
      <c r="LJY98" s="58"/>
      <c r="LJZ98" s="58"/>
      <c r="LKA98" s="58"/>
      <c r="LKB98" s="58"/>
      <c r="LKC98" s="58"/>
      <c r="LKD98" s="58"/>
      <c r="LKE98" s="58"/>
      <c r="LKF98" s="58"/>
      <c r="LKG98" s="58"/>
      <c r="LKH98" s="58"/>
      <c r="LKI98" s="58"/>
      <c r="LKJ98" s="58"/>
      <c r="LKK98" s="58"/>
      <c r="LKL98" s="58"/>
      <c r="LKM98" s="58"/>
      <c r="LKN98" s="58"/>
      <c r="LKO98" s="58"/>
      <c r="LKP98" s="58"/>
      <c r="LKQ98" s="58"/>
      <c r="LKR98" s="58"/>
      <c r="LKS98" s="58"/>
      <c r="LKT98" s="58"/>
      <c r="LKU98" s="58"/>
      <c r="LKV98" s="58"/>
      <c r="LKW98" s="58"/>
      <c r="LKX98" s="58"/>
      <c r="LKY98" s="58"/>
      <c r="LKZ98" s="58"/>
      <c r="LLA98" s="58"/>
      <c r="LLB98" s="58"/>
      <c r="LLC98" s="58"/>
      <c r="LLD98" s="58"/>
      <c r="LLE98" s="58"/>
      <c r="LLF98" s="58"/>
      <c r="LLG98" s="58"/>
      <c r="LLH98" s="58"/>
      <c r="LLI98" s="58"/>
      <c r="LLJ98" s="58"/>
      <c r="LLK98" s="58"/>
      <c r="LLL98" s="58"/>
      <c r="LLM98" s="58"/>
      <c r="LLN98" s="58"/>
      <c r="LLO98" s="58"/>
      <c r="LLP98" s="58"/>
      <c r="LLQ98" s="58"/>
      <c r="LLR98" s="58"/>
      <c r="LLS98" s="58"/>
      <c r="LLT98" s="58"/>
      <c r="LLU98" s="58"/>
      <c r="LLV98" s="58"/>
      <c r="LLW98" s="58"/>
      <c r="LLX98" s="58"/>
      <c r="LLY98" s="58"/>
      <c r="LLZ98" s="58"/>
      <c r="LMA98" s="58"/>
      <c r="LMB98" s="58"/>
      <c r="LMC98" s="58"/>
      <c r="LMD98" s="58"/>
      <c r="LME98" s="58"/>
      <c r="LMF98" s="58"/>
      <c r="LMG98" s="58"/>
      <c r="LMH98" s="58"/>
      <c r="LMI98" s="58"/>
      <c r="LMJ98" s="58"/>
      <c r="LMK98" s="58"/>
      <c r="LML98" s="58"/>
      <c r="LMM98" s="58"/>
      <c r="LMN98" s="58"/>
      <c r="LMO98" s="58"/>
      <c r="LMP98" s="58"/>
      <c r="LMQ98" s="58"/>
      <c r="LMR98" s="58"/>
      <c r="LMS98" s="58"/>
      <c r="LMT98" s="58"/>
      <c r="LMU98" s="58"/>
      <c r="LMV98" s="58"/>
      <c r="LMW98" s="58"/>
      <c r="LMX98" s="58"/>
      <c r="LMY98" s="58"/>
      <c r="LMZ98" s="58"/>
      <c r="LNA98" s="58"/>
      <c r="LNB98" s="58"/>
      <c r="LNC98" s="58"/>
      <c r="LND98" s="58"/>
      <c r="LNE98" s="58"/>
      <c r="LNF98" s="58"/>
      <c r="LNG98" s="58"/>
      <c r="LNH98" s="58"/>
      <c r="LNI98" s="58"/>
      <c r="LNJ98" s="58"/>
      <c r="LNK98" s="58"/>
      <c r="LNL98" s="58"/>
      <c r="LNM98" s="58"/>
      <c r="LNN98" s="58"/>
      <c r="LNO98" s="58"/>
      <c r="LNP98" s="58"/>
      <c r="LNQ98" s="58"/>
      <c r="LNR98" s="58"/>
      <c r="LNS98" s="58"/>
      <c r="LNT98" s="58"/>
      <c r="LNU98" s="58"/>
      <c r="LNV98" s="58"/>
      <c r="LNW98" s="58"/>
      <c r="LNX98" s="58"/>
      <c r="LNY98" s="58"/>
      <c r="LNZ98" s="58"/>
      <c r="LOA98" s="58"/>
      <c r="LOB98" s="58"/>
      <c r="LOC98" s="58"/>
      <c r="LOD98" s="58"/>
      <c r="LOE98" s="58"/>
      <c r="LOF98" s="58"/>
      <c r="LOG98" s="58"/>
      <c r="LOH98" s="58"/>
      <c r="LOI98" s="58"/>
      <c r="LOJ98" s="58"/>
      <c r="LOK98" s="58"/>
      <c r="LOL98" s="58"/>
      <c r="LOM98" s="58"/>
      <c r="LON98" s="58"/>
      <c r="LOO98" s="58"/>
      <c r="LOP98" s="58"/>
      <c r="LOQ98" s="58"/>
      <c r="LOR98" s="58"/>
      <c r="LOS98" s="58"/>
      <c r="LOT98" s="58"/>
      <c r="LOU98" s="58"/>
      <c r="LOV98" s="58"/>
      <c r="LOW98" s="58"/>
      <c r="LOX98" s="58"/>
      <c r="LOY98" s="58"/>
      <c r="LOZ98" s="58"/>
      <c r="LPA98" s="58"/>
      <c r="LPB98" s="58"/>
      <c r="LPC98" s="58"/>
      <c r="LPD98" s="58"/>
      <c r="LPE98" s="58"/>
      <c r="LPF98" s="58"/>
      <c r="LPG98" s="58"/>
      <c r="LPH98" s="58"/>
      <c r="LPI98" s="58"/>
      <c r="LPJ98" s="58"/>
      <c r="LPK98" s="58"/>
      <c r="LPL98" s="58"/>
      <c r="LPM98" s="58"/>
      <c r="LPN98" s="58"/>
      <c r="LPO98" s="58"/>
      <c r="LPP98" s="58"/>
      <c r="LPQ98" s="58"/>
      <c r="LPR98" s="58"/>
      <c r="LPS98" s="58"/>
      <c r="LPT98" s="58"/>
      <c r="LPU98" s="58"/>
      <c r="LPV98" s="58"/>
      <c r="LPW98" s="58"/>
      <c r="LPX98" s="58"/>
      <c r="LPY98" s="58"/>
      <c r="LPZ98" s="58"/>
      <c r="LQA98" s="58"/>
      <c r="LQB98" s="58"/>
      <c r="LQC98" s="58"/>
      <c r="LQD98" s="58"/>
      <c r="LQE98" s="58"/>
      <c r="LQF98" s="58"/>
      <c r="LQG98" s="58"/>
      <c r="LQH98" s="58"/>
      <c r="LQI98" s="58"/>
      <c r="LQJ98" s="58"/>
      <c r="LQK98" s="58"/>
      <c r="LQL98" s="58"/>
      <c r="LQM98" s="58"/>
      <c r="LQN98" s="58"/>
      <c r="LQO98" s="58"/>
      <c r="LQP98" s="58"/>
      <c r="LQQ98" s="58"/>
      <c r="LQR98" s="58"/>
      <c r="LQS98" s="58"/>
      <c r="LQT98" s="58"/>
      <c r="LQU98" s="58"/>
      <c r="LQV98" s="58"/>
      <c r="LQW98" s="58"/>
      <c r="LQX98" s="58"/>
      <c r="LQY98" s="58"/>
      <c r="LQZ98" s="58"/>
      <c r="LRA98" s="58"/>
      <c r="LRB98" s="58"/>
      <c r="LRC98" s="58"/>
      <c r="LRD98" s="58"/>
      <c r="LRE98" s="58"/>
      <c r="LRF98" s="58"/>
      <c r="LRG98" s="58"/>
      <c r="LRH98" s="58"/>
      <c r="LRI98" s="58"/>
      <c r="LRJ98" s="58"/>
      <c r="LRK98" s="58"/>
      <c r="LRL98" s="58"/>
      <c r="LRM98" s="58"/>
      <c r="LRN98" s="58"/>
      <c r="LRO98" s="58"/>
      <c r="LRP98" s="58"/>
      <c r="LRQ98" s="58"/>
      <c r="LRR98" s="58"/>
      <c r="LRS98" s="58"/>
      <c r="LRT98" s="58"/>
      <c r="LRU98" s="58"/>
      <c r="LRV98" s="58"/>
      <c r="LRW98" s="58"/>
      <c r="LRX98" s="58"/>
      <c r="LRY98" s="58"/>
      <c r="LRZ98" s="58"/>
      <c r="LSA98" s="58"/>
      <c r="LSB98" s="58"/>
      <c r="LSC98" s="58"/>
      <c r="LSD98" s="58"/>
      <c r="LSE98" s="58"/>
      <c r="LSF98" s="58"/>
      <c r="LSG98" s="58"/>
      <c r="LSH98" s="58"/>
      <c r="LSI98" s="58"/>
      <c r="LSJ98" s="58"/>
      <c r="LSK98" s="58"/>
      <c r="LSL98" s="58"/>
      <c r="LSM98" s="58"/>
      <c r="LSN98" s="58"/>
      <c r="LSO98" s="58"/>
      <c r="LSP98" s="58"/>
      <c r="LSQ98" s="58"/>
      <c r="LSR98" s="58"/>
      <c r="LSS98" s="58"/>
      <c r="LST98" s="58"/>
      <c r="LSU98" s="58"/>
      <c r="LSV98" s="58"/>
      <c r="LSW98" s="58"/>
      <c r="LSX98" s="58"/>
      <c r="LSY98" s="58"/>
      <c r="LSZ98" s="58"/>
      <c r="LTA98" s="58"/>
      <c r="LTB98" s="58"/>
      <c r="LTC98" s="58"/>
      <c r="LTD98" s="58"/>
      <c r="LTE98" s="58"/>
      <c r="LTF98" s="58"/>
      <c r="LTG98" s="58"/>
      <c r="LTH98" s="58"/>
      <c r="LTI98" s="58"/>
      <c r="LTJ98" s="58"/>
      <c r="LTK98" s="58"/>
      <c r="LTL98" s="58"/>
      <c r="LTM98" s="58"/>
      <c r="LTN98" s="58"/>
      <c r="LTO98" s="58"/>
      <c r="LTP98" s="58"/>
      <c r="LTQ98" s="58"/>
      <c r="LTR98" s="58"/>
      <c r="LTS98" s="58"/>
      <c r="LTT98" s="58"/>
      <c r="LTU98" s="58"/>
      <c r="LTV98" s="58"/>
      <c r="LTW98" s="58"/>
      <c r="LTX98" s="58"/>
      <c r="LTY98" s="58"/>
      <c r="LTZ98" s="58"/>
      <c r="LUA98" s="58"/>
      <c r="LUB98" s="58"/>
      <c r="LUC98" s="58"/>
      <c r="LUD98" s="58"/>
      <c r="LUE98" s="58"/>
      <c r="LUF98" s="58"/>
      <c r="LUG98" s="58"/>
      <c r="LUH98" s="58"/>
      <c r="LUI98" s="58"/>
      <c r="LUJ98" s="58"/>
      <c r="LUK98" s="58"/>
      <c r="LUL98" s="58"/>
      <c r="LUM98" s="58"/>
      <c r="LUN98" s="58"/>
      <c r="LUO98" s="58"/>
      <c r="LUP98" s="58"/>
      <c r="LUQ98" s="58"/>
      <c r="LUR98" s="58"/>
      <c r="LUS98" s="58"/>
      <c r="LUT98" s="58"/>
      <c r="LUU98" s="58"/>
      <c r="LUV98" s="58"/>
      <c r="LUW98" s="58"/>
      <c r="LUX98" s="58"/>
      <c r="LUY98" s="58"/>
      <c r="LUZ98" s="58"/>
      <c r="LVA98" s="58"/>
      <c r="LVB98" s="58"/>
      <c r="LVC98" s="58"/>
      <c r="LVD98" s="58"/>
      <c r="LVE98" s="58"/>
      <c r="LVF98" s="58"/>
      <c r="LVG98" s="58"/>
      <c r="LVH98" s="58"/>
      <c r="LVI98" s="58"/>
      <c r="LVJ98" s="58"/>
      <c r="LVK98" s="58"/>
      <c r="LVL98" s="58"/>
      <c r="LVM98" s="58"/>
      <c r="LVN98" s="58"/>
      <c r="LVO98" s="58"/>
      <c r="LVP98" s="58"/>
      <c r="LVQ98" s="58"/>
      <c r="LVR98" s="58"/>
      <c r="LVS98" s="58"/>
      <c r="LVT98" s="58"/>
      <c r="LVU98" s="58"/>
      <c r="LVV98" s="58"/>
      <c r="LVW98" s="58"/>
      <c r="LVX98" s="58"/>
      <c r="LVY98" s="58"/>
      <c r="LVZ98" s="58"/>
      <c r="LWA98" s="58"/>
      <c r="LWB98" s="58"/>
      <c r="LWC98" s="58"/>
      <c r="LWD98" s="58"/>
      <c r="LWE98" s="58"/>
      <c r="LWF98" s="58"/>
      <c r="LWG98" s="58"/>
      <c r="LWH98" s="58"/>
      <c r="LWI98" s="58"/>
      <c r="LWJ98" s="58"/>
      <c r="LWK98" s="58"/>
      <c r="LWL98" s="58"/>
      <c r="LWM98" s="58"/>
      <c r="LWN98" s="58"/>
      <c r="LWO98" s="58"/>
      <c r="LWP98" s="58"/>
      <c r="LWQ98" s="58"/>
      <c r="LWR98" s="58"/>
      <c r="LWS98" s="58"/>
      <c r="LWT98" s="58"/>
      <c r="LWU98" s="58"/>
      <c r="LWV98" s="58"/>
      <c r="LWW98" s="58"/>
      <c r="LWX98" s="58"/>
      <c r="LWY98" s="58"/>
      <c r="LWZ98" s="58"/>
      <c r="LXA98" s="58"/>
      <c r="LXB98" s="58"/>
      <c r="LXC98" s="58"/>
      <c r="LXD98" s="58"/>
      <c r="LXE98" s="58"/>
      <c r="LXF98" s="58"/>
      <c r="LXG98" s="58"/>
      <c r="LXH98" s="58"/>
      <c r="LXI98" s="58"/>
      <c r="LXJ98" s="58"/>
      <c r="LXK98" s="58"/>
      <c r="LXL98" s="58"/>
      <c r="LXM98" s="58"/>
      <c r="LXN98" s="58"/>
      <c r="LXO98" s="58"/>
      <c r="LXP98" s="58"/>
      <c r="LXQ98" s="58"/>
      <c r="LXR98" s="58"/>
      <c r="LXS98" s="58"/>
      <c r="LXT98" s="58"/>
      <c r="LXU98" s="58"/>
      <c r="LXV98" s="58"/>
      <c r="LXW98" s="58"/>
      <c r="LXX98" s="58"/>
      <c r="LXY98" s="58"/>
      <c r="LXZ98" s="58"/>
      <c r="LYA98" s="58"/>
      <c r="LYB98" s="58"/>
      <c r="LYC98" s="58"/>
      <c r="LYD98" s="58"/>
      <c r="LYE98" s="58"/>
      <c r="LYF98" s="58"/>
      <c r="LYG98" s="58"/>
      <c r="LYH98" s="58"/>
      <c r="LYI98" s="58"/>
      <c r="LYJ98" s="58"/>
      <c r="LYK98" s="58"/>
      <c r="LYL98" s="58"/>
      <c r="LYM98" s="58"/>
      <c r="LYN98" s="58"/>
      <c r="LYO98" s="58"/>
      <c r="LYP98" s="58"/>
      <c r="LYQ98" s="58"/>
      <c r="LYR98" s="58"/>
      <c r="LYS98" s="58"/>
      <c r="LYT98" s="58"/>
      <c r="LYU98" s="58"/>
      <c r="LYV98" s="58"/>
      <c r="LYW98" s="58"/>
      <c r="LYX98" s="58"/>
      <c r="LYY98" s="58"/>
      <c r="LYZ98" s="58"/>
      <c r="LZA98" s="58"/>
      <c r="LZB98" s="58"/>
      <c r="LZC98" s="58"/>
      <c r="LZD98" s="58"/>
      <c r="LZE98" s="58"/>
      <c r="LZF98" s="58"/>
      <c r="LZG98" s="58"/>
      <c r="LZH98" s="58"/>
      <c r="LZI98" s="58"/>
      <c r="LZJ98" s="58"/>
      <c r="LZK98" s="58"/>
      <c r="LZL98" s="58"/>
      <c r="LZM98" s="58"/>
      <c r="LZN98" s="58"/>
      <c r="LZO98" s="58"/>
      <c r="LZP98" s="58"/>
      <c r="LZQ98" s="58"/>
      <c r="LZR98" s="58"/>
      <c r="LZS98" s="58"/>
      <c r="LZT98" s="58"/>
      <c r="LZU98" s="58"/>
      <c r="LZV98" s="58"/>
      <c r="LZW98" s="58"/>
      <c r="LZX98" s="58"/>
      <c r="LZY98" s="58"/>
      <c r="LZZ98" s="58"/>
      <c r="MAA98" s="58"/>
      <c r="MAB98" s="58"/>
      <c r="MAC98" s="58"/>
      <c r="MAD98" s="58"/>
      <c r="MAE98" s="58"/>
      <c r="MAF98" s="58"/>
      <c r="MAG98" s="58"/>
      <c r="MAH98" s="58"/>
      <c r="MAI98" s="58"/>
      <c r="MAJ98" s="58"/>
      <c r="MAK98" s="58"/>
      <c r="MAL98" s="58"/>
      <c r="MAM98" s="58"/>
      <c r="MAN98" s="58"/>
      <c r="MAO98" s="58"/>
      <c r="MAP98" s="58"/>
      <c r="MAQ98" s="58"/>
      <c r="MAR98" s="58"/>
      <c r="MAS98" s="58"/>
      <c r="MAT98" s="58"/>
      <c r="MAU98" s="58"/>
      <c r="MAV98" s="58"/>
      <c r="MAW98" s="58"/>
      <c r="MAX98" s="58"/>
      <c r="MAY98" s="58"/>
      <c r="MAZ98" s="58"/>
      <c r="MBA98" s="58"/>
      <c r="MBB98" s="58"/>
      <c r="MBC98" s="58"/>
      <c r="MBD98" s="58"/>
      <c r="MBE98" s="58"/>
      <c r="MBF98" s="58"/>
      <c r="MBG98" s="58"/>
      <c r="MBH98" s="58"/>
      <c r="MBI98" s="58"/>
      <c r="MBJ98" s="58"/>
      <c r="MBK98" s="58"/>
      <c r="MBL98" s="58"/>
      <c r="MBM98" s="58"/>
      <c r="MBN98" s="58"/>
      <c r="MBO98" s="58"/>
      <c r="MBP98" s="58"/>
      <c r="MBQ98" s="58"/>
      <c r="MBR98" s="58"/>
      <c r="MBS98" s="58"/>
      <c r="MBT98" s="58"/>
      <c r="MBU98" s="58"/>
      <c r="MBV98" s="58"/>
      <c r="MBW98" s="58"/>
      <c r="MBX98" s="58"/>
      <c r="MBY98" s="58"/>
      <c r="MBZ98" s="58"/>
      <c r="MCA98" s="58"/>
      <c r="MCB98" s="58"/>
      <c r="MCC98" s="58"/>
      <c r="MCD98" s="58"/>
      <c r="MCE98" s="58"/>
      <c r="MCF98" s="58"/>
      <c r="MCG98" s="58"/>
      <c r="MCH98" s="58"/>
      <c r="MCI98" s="58"/>
      <c r="MCJ98" s="58"/>
      <c r="MCK98" s="58"/>
      <c r="MCL98" s="58"/>
      <c r="MCM98" s="58"/>
      <c r="MCN98" s="58"/>
      <c r="MCO98" s="58"/>
      <c r="MCP98" s="58"/>
      <c r="MCQ98" s="58"/>
      <c r="MCR98" s="58"/>
      <c r="MCS98" s="58"/>
      <c r="MCT98" s="58"/>
      <c r="MCU98" s="58"/>
      <c r="MCV98" s="58"/>
      <c r="MCW98" s="58"/>
      <c r="MCX98" s="58"/>
      <c r="MCY98" s="58"/>
      <c r="MCZ98" s="58"/>
      <c r="MDA98" s="58"/>
      <c r="MDB98" s="58"/>
      <c r="MDC98" s="58"/>
      <c r="MDD98" s="58"/>
      <c r="MDE98" s="58"/>
      <c r="MDF98" s="58"/>
      <c r="MDG98" s="58"/>
      <c r="MDH98" s="58"/>
      <c r="MDI98" s="58"/>
      <c r="MDJ98" s="58"/>
      <c r="MDK98" s="58"/>
      <c r="MDL98" s="58"/>
      <c r="MDM98" s="58"/>
      <c r="MDN98" s="58"/>
      <c r="MDO98" s="58"/>
      <c r="MDP98" s="58"/>
      <c r="MDQ98" s="58"/>
      <c r="MDR98" s="58"/>
      <c r="MDS98" s="58"/>
      <c r="MDT98" s="58"/>
      <c r="MDU98" s="58"/>
      <c r="MDV98" s="58"/>
      <c r="MDW98" s="58"/>
      <c r="MDX98" s="58"/>
      <c r="MDY98" s="58"/>
      <c r="MDZ98" s="58"/>
      <c r="MEA98" s="58"/>
      <c r="MEB98" s="58"/>
      <c r="MEC98" s="58"/>
      <c r="MED98" s="58"/>
      <c r="MEE98" s="58"/>
      <c r="MEF98" s="58"/>
      <c r="MEG98" s="58"/>
      <c r="MEH98" s="58"/>
      <c r="MEI98" s="58"/>
      <c r="MEJ98" s="58"/>
      <c r="MEK98" s="58"/>
      <c r="MEL98" s="58"/>
      <c r="MEM98" s="58"/>
      <c r="MEN98" s="58"/>
      <c r="MEO98" s="58"/>
      <c r="MEP98" s="58"/>
      <c r="MEQ98" s="58"/>
      <c r="MER98" s="58"/>
      <c r="MES98" s="58"/>
      <c r="MET98" s="58"/>
      <c r="MEU98" s="58"/>
      <c r="MEV98" s="58"/>
      <c r="MEW98" s="58"/>
      <c r="MEX98" s="58"/>
      <c r="MEY98" s="58"/>
      <c r="MEZ98" s="58"/>
      <c r="MFA98" s="58"/>
      <c r="MFB98" s="58"/>
      <c r="MFC98" s="58"/>
      <c r="MFD98" s="58"/>
      <c r="MFE98" s="58"/>
      <c r="MFF98" s="58"/>
      <c r="MFG98" s="58"/>
      <c r="MFH98" s="58"/>
      <c r="MFI98" s="58"/>
      <c r="MFJ98" s="58"/>
      <c r="MFK98" s="58"/>
      <c r="MFL98" s="58"/>
      <c r="MFM98" s="58"/>
      <c r="MFN98" s="58"/>
      <c r="MFO98" s="58"/>
      <c r="MFP98" s="58"/>
      <c r="MFQ98" s="58"/>
      <c r="MFR98" s="58"/>
      <c r="MFS98" s="58"/>
      <c r="MFT98" s="58"/>
      <c r="MFU98" s="58"/>
      <c r="MFV98" s="58"/>
      <c r="MFW98" s="58"/>
      <c r="MFX98" s="58"/>
      <c r="MFY98" s="58"/>
      <c r="MFZ98" s="58"/>
      <c r="MGA98" s="58"/>
      <c r="MGB98" s="58"/>
      <c r="MGC98" s="58"/>
      <c r="MGD98" s="58"/>
      <c r="MGE98" s="58"/>
      <c r="MGF98" s="58"/>
      <c r="MGG98" s="58"/>
      <c r="MGH98" s="58"/>
      <c r="MGI98" s="58"/>
      <c r="MGJ98" s="58"/>
      <c r="MGK98" s="58"/>
      <c r="MGL98" s="58"/>
      <c r="MGM98" s="58"/>
      <c r="MGN98" s="58"/>
      <c r="MGO98" s="58"/>
      <c r="MGP98" s="58"/>
      <c r="MGQ98" s="58"/>
      <c r="MGR98" s="58"/>
      <c r="MGS98" s="58"/>
      <c r="MGT98" s="58"/>
      <c r="MGU98" s="58"/>
      <c r="MGV98" s="58"/>
      <c r="MGW98" s="58"/>
      <c r="MGX98" s="58"/>
      <c r="MGY98" s="58"/>
      <c r="MGZ98" s="58"/>
      <c r="MHA98" s="58"/>
      <c r="MHB98" s="58"/>
      <c r="MHC98" s="58"/>
      <c r="MHD98" s="58"/>
      <c r="MHE98" s="58"/>
      <c r="MHF98" s="58"/>
      <c r="MHG98" s="58"/>
      <c r="MHH98" s="58"/>
      <c r="MHI98" s="58"/>
      <c r="MHJ98" s="58"/>
      <c r="MHK98" s="58"/>
      <c r="MHL98" s="58"/>
      <c r="MHM98" s="58"/>
      <c r="MHN98" s="58"/>
      <c r="MHO98" s="58"/>
      <c r="MHP98" s="58"/>
      <c r="MHQ98" s="58"/>
      <c r="MHR98" s="58"/>
      <c r="MHS98" s="58"/>
      <c r="MHT98" s="58"/>
      <c r="MHU98" s="58"/>
      <c r="MHV98" s="58"/>
      <c r="MHW98" s="58"/>
      <c r="MHX98" s="58"/>
      <c r="MHY98" s="58"/>
      <c r="MHZ98" s="58"/>
      <c r="MIA98" s="58"/>
      <c r="MIB98" s="58"/>
      <c r="MIC98" s="58"/>
      <c r="MID98" s="58"/>
      <c r="MIE98" s="58"/>
      <c r="MIF98" s="58"/>
      <c r="MIG98" s="58"/>
      <c r="MIH98" s="58"/>
      <c r="MII98" s="58"/>
      <c r="MIJ98" s="58"/>
      <c r="MIK98" s="58"/>
      <c r="MIL98" s="58"/>
      <c r="MIM98" s="58"/>
      <c r="MIN98" s="58"/>
      <c r="MIO98" s="58"/>
      <c r="MIP98" s="58"/>
      <c r="MIQ98" s="58"/>
      <c r="MIR98" s="58"/>
      <c r="MIS98" s="58"/>
      <c r="MIT98" s="58"/>
      <c r="MIU98" s="58"/>
      <c r="MIV98" s="58"/>
      <c r="MIW98" s="58"/>
      <c r="MIX98" s="58"/>
      <c r="MIY98" s="58"/>
      <c r="MIZ98" s="58"/>
      <c r="MJA98" s="58"/>
      <c r="MJB98" s="58"/>
      <c r="MJC98" s="58"/>
      <c r="MJD98" s="58"/>
      <c r="MJE98" s="58"/>
      <c r="MJF98" s="58"/>
      <c r="MJG98" s="58"/>
      <c r="MJH98" s="58"/>
      <c r="MJI98" s="58"/>
      <c r="MJJ98" s="58"/>
      <c r="MJK98" s="58"/>
      <c r="MJL98" s="58"/>
      <c r="MJM98" s="58"/>
      <c r="MJN98" s="58"/>
      <c r="MJO98" s="58"/>
      <c r="MJP98" s="58"/>
      <c r="MJQ98" s="58"/>
      <c r="MJR98" s="58"/>
      <c r="MJS98" s="58"/>
      <c r="MJT98" s="58"/>
      <c r="MJU98" s="58"/>
      <c r="MJV98" s="58"/>
      <c r="MJW98" s="58"/>
      <c r="MJX98" s="58"/>
      <c r="MJY98" s="58"/>
      <c r="MJZ98" s="58"/>
      <c r="MKA98" s="58"/>
      <c r="MKB98" s="58"/>
      <c r="MKC98" s="58"/>
      <c r="MKD98" s="58"/>
      <c r="MKE98" s="58"/>
      <c r="MKF98" s="58"/>
      <c r="MKG98" s="58"/>
      <c r="MKH98" s="58"/>
      <c r="MKI98" s="58"/>
      <c r="MKJ98" s="58"/>
      <c r="MKK98" s="58"/>
      <c r="MKL98" s="58"/>
      <c r="MKM98" s="58"/>
      <c r="MKN98" s="58"/>
      <c r="MKO98" s="58"/>
      <c r="MKP98" s="58"/>
      <c r="MKQ98" s="58"/>
      <c r="MKR98" s="58"/>
      <c r="MKS98" s="58"/>
      <c r="MKT98" s="58"/>
      <c r="MKU98" s="58"/>
      <c r="MKV98" s="58"/>
      <c r="MKW98" s="58"/>
      <c r="MKX98" s="58"/>
      <c r="MKY98" s="58"/>
      <c r="MKZ98" s="58"/>
      <c r="MLA98" s="58"/>
      <c r="MLB98" s="58"/>
      <c r="MLC98" s="58"/>
      <c r="MLD98" s="58"/>
      <c r="MLE98" s="58"/>
      <c r="MLF98" s="58"/>
      <c r="MLG98" s="58"/>
      <c r="MLH98" s="58"/>
      <c r="MLI98" s="58"/>
      <c r="MLJ98" s="58"/>
      <c r="MLK98" s="58"/>
      <c r="MLL98" s="58"/>
      <c r="MLM98" s="58"/>
      <c r="MLN98" s="58"/>
      <c r="MLO98" s="58"/>
      <c r="MLP98" s="58"/>
      <c r="MLQ98" s="58"/>
      <c r="MLR98" s="58"/>
      <c r="MLS98" s="58"/>
      <c r="MLT98" s="58"/>
      <c r="MLU98" s="58"/>
      <c r="MLV98" s="58"/>
      <c r="MLW98" s="58"/>
      <c r="MLX98" s="58"/>
      <c r="MLY98" s="58"/>
      <c r="MLZ98" s="58"/>
      <c r="MMA98" s="58"/>
      <c r="MMB98" s="58"/>
      <c r="MMC98" s="58"/>
      <c r="MMD98" s="58"/>
      <c r="MME98" s="58"/>
      <c r="MMF98" s="58"/>
      <c r="MMG98" s="58"/>
      <c r="MMH98" s="58"/>
      <c r="MMI98" s="58"/>
      <c r="MMJ98" s="58"/>
      <c r="MMK98" s="58"/>
      <c r="MML98" s="58"/>
      <c r="MMM98" s="58"/>
      <c r="MMN98" s="58"/>
      <c r="MMO98" s="58"/>
      <c r="MMP98" s="58"/>
      <c r="MMQ98" s="58"/>
      <c r="MMR98" s="58"/>
      <c r="MMS98" s="58"/>
      <c r="MMT98" s="58"/>
      <c r="MMU98" s="58"/>
      <c r="MMV98" s="58"/>
      <c r="MMW98" s="58"/>
      <c r="MMX98" s="58"/>
      <c r="MMY98" s="58"/>
      <c r="MMZ98" s="58"/>
      <c r="MNA98" s="58"/>
      <c r="MNB98" s="58"/>
      <c r="MNC98" s="58"/>
      <c r="MND98" s="58"/>
      <c r="MNE98" s="58"/>
      <c r="MNF98" s="58"/>
      <c r="MNG98" s="58"/>
      <c r="MNH98" s="58"/>
      <c r="MNI98" s="58"/>
      <c r="MNJ98" s="58"/>
      <c r="MNK98" s="58"/>
      <c r="MNL98" s="58"/>
      <c r="MNM98" s="58"/>
      <c r="MNN98" s="58"/>
      <c r="MNO98" s="58"/>
      <c r="MNP98" s="58"/>
      <c r="MNQ98" s="58"/>
      <c r="MNR98" s="58"/>
      <c r="MNS98" s="58"/>
      <c r="MNT98" s="58"/>
      <c r="MNU98" s="58"/>
      <c r="MNV98" s="58"/>
      <c r="MNW98" s="58"/>
      <c r="MNX98" s="58"/>
      <c r="MNY98" s="58"/>
      <c r="MNZ98" s="58"/>
      <c r="MOA98" s="58"/>
      <c r="MOB98" s="58"/>
      <c r="MOC98" s="58"/>
      <c r="MOD98" s="58"/>
      <c r="MOE98" s="58"/>
      <c r="MOF98" s="58"/>
      <c r="MOG98" s="58"/>
      <c r="MOH98" s="58"/>
      <c r="MOI98" s="58"/>
      <c r="MOJ98" s="58"/>
      <c r="MOK98" s="58"/>
      <c r="MOL98" s="58"/>
      <c r="MOM98" s="58"/>
      <c r="MON98" s="58"/>
      <c r="MOO98" s="58"/>
      <c r="MOP98" s="58"/>
      <c r="MOQ98" s="58"/>
      <c r="MOR98" s="58"/>
      <c r="MOS98" s="58"/>
      <c r="MOT98" s="58"/>
      <c r="MOU98" s="58"/>
      <c r="MOV98" s="58"/>
      <c r="MOW98" s="58"/>
      <c r="MOX98" s="58"/>
      <c r="MOY98" s="58"/>
      <c r="MOZ98" s="58"/>
      <c r="MPA98" s="58"/>
      <c r="MPB98" s="58"/>
      <c r="MPC98" s="58"/>
      <c r="MPD98" s="58"/>
      <c r="MPE98" s="58"/>
      <c r="MPF98" s="58"/>
      <c r="MPG98" s="58"/>
      <c r="MPH98" s="58"/>
      <c r="MPI98" s="58"/>
      <c r="MPJ98" s="58"/>
      <c r="MPK98" s="58"/>
      <c r="MPL98" s="58"/>
      <c r="MPM98" s="58"/>
      <c r="MPN98" s="58"/>
      <c r="MPO98" s="58"/>
      <c r="MPP98" s="58"/>
      <c r="MPQ98" s="58"/>
      <c r="MPR98" s="58"/>
      <c r="MPS98" s="58"/>
      <c r="MPT98" s="58"/>
      <c r="MPU98" s="58"/>
      <c r="MPV98" s="58"/>
      <c r="MPW98" s="58"/>
      <c r="MPX98" s="58"/>
      <c r="MPY98" s="58"/>
      <c r="MPZ98" s="58"/>
      <c r="MQA98" s="58"/>
      <c r="MQB98" s="58"/>
      <c r="MQC98" s="58"/>
      <c r="MQD98" s="58"/>
      <c r="MQE98" s="58"/>
      <c r="MQF98" s="58"/>
      <c r="MQG98" s="58"/>
      <c r="MQH98" s="58"/>
      <c r="MQI98" s="58"/>
      <c r="MQJ98" s="58"/>
      <c r="MQK98" s="58"/>
      <c r="MQL98" s="58"/>
      <c r="MQM98" s="58"/>
      <c r="MQN98" s="58"/>
      <c r="MQO98" s="58"/>
      <c r="MQP98" s="58"/>
      <c r="MQQ98" s="58"/>
      <c r="MQR98" s="58"/>
      <c r="MQS98" s="58"/>
      <c r="MQT98" s="58"/>
      <c r="MQU98" s="58"/>
      <c r="MQV98" s="58"/>
      <c r="MQW98" s="58"/>
      <c r="MQX98" s="58"/>
      <c r="MQY98" s="58"/>
      <c r="MQZ98" s="58"/>
      <c r="MRA98" s="58"/>
      <c r="MRB98" s="58"/>
      <c r="MRC98" s="58"/>
      <c r="MRD98" s="58"/>
      <c r="MRE98" s="58"/>
      <c r="MRF98" s="58"/>
      <c r="MRG98" s="58"/>
      <c r="MRH98" s="58"/>
      <c r="MRI98" s="58"/>
      <c r="MRJ98" s="58"/>
      <c r="MRK98" s="58"/>
      <c r="MRL98" s="58"/>
      <c r="MRM98" s="58"/>
      <c r="MRN98" s="58"/>
      <c r="MRO98" s="58"/>
      <c r="MRP98" s="58"/>
      <c r="MRQ98" s="58"/>
      <c r="MRR98" s="58"/>
      <c r="MRS98" s="58"/>
      <c r="MRT98" s="58"/>
      <c r="MRU98" s="58"/>
      <c r="MRV98" s="58"/>
      <c r="MRW98" s="58"/>
      <c r="MRX98" s="58"/>
      <c r="MRY98" s="58"/>
      <c r="MRZ98" s="58"/>
      <c r="MSA98" s="58"/>
      <c r="MSB98" s="58"/>
      <c r="MSC98" s="58"/>
      <c r="MSD98" s="58"/>
      <c r="MSE98" s="58"/>
      <c r="MSF98" s="58"/>
      <c r="MSG98" s="58"/>
      <c r="MSH98" s="58"/>
      <c r="MSI98" s="58"/>
      <c r="MSJ98" s="58"/>
      <c r="MSK98" s="58"/>
      <c r="MSL98" s="58"/>
      <c r="MSM98" s="58"/>
      <c r="MSN98" s="58"/>
      <c r="MSO98" s="58"/>
      <c r="MSP98" s="58"/>
      <c r="MSQ98" s="58"/>
      <c r="MSR98" s="58"/>
      <c r="MSS98" s="58"/>
      <c r="MST98" s="58"/>
      <c r="MSU98" s="58"/>
      <c r="MSV98" s="58"/>
      <c r="MSW98" s="58"/>
      <c r="MSX98" s="58"/>
      <c r="MSY98" s="58"/>
      <c r="MSZ98" s="58"/>
      <c r="MTA98" s="58"/>
      <c r="MTB98" s="58"/>
      <c r="MTC98" s="58"/>
      <c r="MTD98" s="58"/>
      <c r="MTE98" s="58"/>
      <c r="MTF98" s="58"/>
      <c r="MTG98" s="58"/>
      <c r="MTH98" s="58"/>
      <c r="MTI98" s="58"/>
      <c r="MTJ98" s="58"/>
      <c r="MTK98" s="58"/>
      <c r="MTL98" s="58"/>
      <c r="MTM98" s="58"/>
      <c r="MTN98" s="58"/>
      <c r="MTO98" s="58"/>
      <c r="MTP98" s="58"/>
      <c r="MTQ98" s="58"/>
      <c r="MTR98" s="58"/>
      <c r="MTS98" s="58"/>
      <c r="MTT98" s="58"/>
      <c r="MTU98" s="58"/>
      <c r="MTV98" s="58"/>
      <c r="MTW98" s="58"/>
      <c r="MTX98" s="58"/>
      <c r="MTY98" s="58"/>
      <c r="MTZ98" s="58"/>
      <c r="MUA98" s="58"/>
      <c r="MUB98" s="58"/>
      <c r="MUC98" s="58"/>
      <c r="MUD98" s="58"/>
      <c r="MUE98" s="58"/>
      <c r="MUF98" s="58"/>
      <c r="MUG98" s="58"/>
      <c r="MUH98" s="58"/>
      <c r="MUI98" s="58"/>
      <c r="MUJ98" s="58"/>
      <c r="MUK98" s="58"/>
      <c r="MUL98" s="58"/>
      <c r="MUM98" s="58"/>
      <c r="MUN98" s="58"/>
      <c r="MUO98" s="58"/>
      <c r="MUP98" s="58"/>
      <c r="MUQ98" s="58"/>
      <c r="MUR98" s="58"/>
      <c r="MUS98" s="58"/>
      <c r="MUT98" s="58"/>
      <c r="MUU98" s="58"/>
      <c r="MUV98" s="58"/>
      <c r="MUW98" s="58"/>
      <c r="MUX98" s="58"/>
      <c r="MUY98" s="58"/>
      <c r="MUZ98" s="58"/>
      <c r="MVA98" s="58"/>
      <c r="MVB98" s="58"/>
      <c r="MVC98" s="58"/>
      <c r="MVD98" s="58"/>
      <c r="MVE98" s="58"/>
      <c r="MVF98" s="58"/>
      <c r="MVG98" s="58"/>
      <c r="MVH98" s="58"/>
      <c r="MVI98" s="58"/>
      <c r="MVJ98" s="58"/>
      <c r="MVK98" s="58"/>
      <c r="MVL98" s="58"/>
      <c r="MVM98" s="58"/>
      <c r="MVN98" s="58"/>
      <c r="MVO98" s="58"/>
      <c r="MVP98" s="58"/>
      <c r="MVQ98" s="58"/>
      <c r="MVR98" s="58"/>
      <c r="MVS98" s="58"/>
      <c r="MVT98" s="58"/>
      <c r="MVU98" s="58"/>
      <c r="MVV98" s="58"/>
      <c r="MVW98" s="58"/>
      <c r="MVX98" s="58"/>
      <c r="MVY98" s="58"/>
      <c r="MVZ98" s="58"/>
      <c r="MWA98" s="58"/>
      <c r="MWB98" s="58"/>
      <c r="MWC98" s="58"/>
      <c r="MWD98" s="58"/>
      <c r="MWE98" s="58"/>
      <c r="MWF98" s="58"/>
      <c r="MWG98" s="58"/>
      <c r="MWH98" s="58"/>
      <c r="MWI98" s="58"/>
      <c r="MWJ98" s="58"/>
      <c r="MWK98" s="58"/>
      <c r="MWL98" s="58"/>
      <c r="MWM98" s="58"/>
      <c r="MWN98" s="58"/>
      <c r="MWO98" s="58"/>
      <c r="MWP98" s="58"/>
      <c r="MWQ98" s="58"/>
      <c r="MWR98" s="58"/>
      <c r="MWS98" s="58"/>
      <c r="MWT98" s="58"/>
      <c r="MWU98" s="58"/>
      <c r="MWV98" s="58"/>
      <c r="MWW98" s="58"/>
      <c r="MWX98" s="58"/>
      <c r="MWY98" s="58"/>
      <c r="MWZ98" s="58"/>
      <c r="MXA98" s="58"/>
      <c r="MXB98" s="58"/>
      <c r="MXC98" s="58"/>
      <c r="MXD98" s="58"/>
      <c r="MXE98" s="58"/>
      <c r="MXF98" s="58"/>
      <c r="MXG98" s="58"/>
      <c r="MXH98" s="58"/>
      <c r="MXI98" s="58"/>
      <c r="MXJ98" s="58"/>
      <c r="MXK98" s="58"/>
      <c r="MXL98" s="58"/>
      <c r="MXM98" s="58"/>
      <c r="MXN98" s="58"/>
      <c r="MXO98" s="58"/>
      <c r="MXP98" s="58"/>
      <c r="MXQ98" s="58"/>
      <c r="MXR98" s="58"/>
      <c r="MXS98" s="58"/>
      <c r="MXT98" s="58"/>
      <c r="MXU98" s="58"/>
      <c r="MXV98" s="58"/>
      <c r="MXW98" s="58"/>
      <c r="MXX98" s="58"/>
      <c r="MXY98" s="58"/>
      <c r="MXZ98" s="58"/>
      <c r="MYA98" s="58"/>
      <c r="MYB98" s="58"/>
      <c r="MYC98" s="58"/>
      <c r="MYD98" s="58"/>
      <c r="MYE98" s="58"/>
      <c r="MYF98" s="58"/>
      <c r="MYG98" s="58"/>
      <c r="MYH98" s="58"/>
      <c r="MYI98" s="58"/>
      <c r="MYJ98" s="58"/>
      <c r="MYK98" s="58"/>
      <c r="MYL98" s="58"/>
      <c r="MYM98" s="58"/>
      <c r="MYN98" s="58"/>
      <c r="MYO98" s="58"/>
      <c r="MYP98" s="58"/>
      <c r="MYQ98" s="58"/>
      <c r="MYR98" s="58"/>
      <c r="MYS98" s="58"/>
      <c r="MYT98" s="58"/>
      <c r="MYU98" s="58"/>
      <c r="MYV98" s="58"/>
      <c r="MYW98" s="58"/>
      <c r="MYX98" s="58"/>
      <c r="MYY98" s="58"/>
      <c r="MYZ98" s="58"/>
      <c r="MZA98" s="58"/>
      <c r="MZB98" s="58"/>
      <c r="MZC98" s="58"/>
      <c r="MZD98" s="58"/>
      <c r="MZE98" s="58"/>
      <c r="MZF98" s="58"/>
      <c r="MZG98" s="58"/>
      <c r="MZH98" s="58"/>
      <c r="MZI98" s="58"/>
      <c r="MZJ98" s="58"/>
      <c r="MZK98" s="58"/>
      <c r="MZL98" s="58"/>
      <c r="MZM98" s="58"/>
      <c r="MZN98" s="58"/>
      <c r="MZO98" s="58"/>
      <c r="MZP98" s="58"/>
      <c r="MZQ98" s="58"/>
      <c r="MZR98" s="58"/>
      <c r="MZS98" s="58"/>
      <c r="MZT98" s="58"/>
      <c r="MZU98" s="58"/>
      <c r="MZV98" s="58"/>
      <c r="MZW98" s="58"/>
      <c r="MZX98" s="58"/>
      <c r="MZY98" s="58"/>
      <c r="MZZ98" s="58"/>
      <c r="NAA98" s="58"/>
      <c r="NAB98" s="58"/>
      <c r="NAC98" s="58"/>
      <c r="NAD98" s="58"/>
      <c r="NAE98" s="58"/>
      <c r="NAF98" s="58"/>
      <c r="NAG98" s="58"/>
      <c r="NAH98" s="58"/>
      <c r="NAI98" s="58"/>
      <c r="NAJ98" s="58"/>
      <c r="NAK98" s="58"/>
      <c r="NAL98" s="58"/>
      <c r="NAM98" s="58"/>
      <c r="NAN98" s="58"/>
      <c r="NAO98" s="58"/>
      <c r="NAP98" s="58"/>
      <c r="NAQ98" s="58"/>
      <c r="NAR98" s="58"/>
      <c r="NAS98" s="58"/>
      <c r="NAT98" s="58"/>
      <c r="NAU98" s="58"/>
      <c r="NAV98" s="58"/>
      <c r="NAW98" s="58"/>
      <c r="NAX98" s="58"/>
      <c r="NAY98" s="58"/>
      <c r="NAZ98" s="58"/>
      <c r="NBA98" s="58"/>
      <c r="NBB98" s="58"/>
      <c r="NBC98" s="58"/>
      <c r="NBD98" s="58"/>
      <c r="NBE98" s="58"/>
      <c r="NBF98" s="58"/>
      <c r="NBG98" s="58"/>
      <c r="NBH98" s="58"/>
      <c r="NBI98" s="58"/>
      <c r="NBJ98" s="58"/>
      <c r="NBK98" s="58"/>
      <c r="NBL98" s="58"/>
      <c r="NBM98" s="58"/>
      <c r="NBN98" s="58"/>
      <c r="NBO98" s="58"/>
      <c r="NBP98" s="58"/>
      <c r="NBQ98" s="58"/>
      <c r="NBR98" s="58"/>
      <c r="NBS98" s="58"/>
      <c r="NBT98" s="58"/>
      <c r="NBU98" s="58"/>
      <c r="NBV98" s="58"/>
      <c r="NBW98" s="58"/>
      <c r="NBX98" s="58"/>
      <c r="NBY98" s="58"/>
      <c r="NBZ98" s="58"/>
      <c r="NCA98" s="58"/>
      <c r="NCB98" s="58"/>
      <c r="NCC98" s="58"/>
      <c r="NCD98" s="58"/>
      <c r="NCE98" s="58"/>
      <c r="NCF98" s="58"/>
      <c r="NCG98" s="58"/>
      <c r="NCH98" s="58"/>
      <c r="NCI98" s="58"/>
      <c r="NCJ98" s="58"/>
      <c r="NCK98" s="58"/>
      <c r="NCL98" s="58"/>
      <c r="NCM98" s="58"/>
      <c r="NCN98" s="58"/>
      <c r="NCO98" s="58"/>
      <c r="NCP98" s="58"/>
      <c r="NCQ98" s="58"/>
      <c r="NCR98" s="58"/>
      <c r="NCS98" s="58"/>
      <c r="NCT98" s="58"/>
      <c r="NCU98" s="58"/>
      <c r="NCV98" s="58"/>
      <c r="NCW98" s="58"/>
      <c r="NCX98" s="58"/>
      <c r="NCY98" s="58"/>
      <c r="NCZ98" s="58"/>
      <c r="NDA98" s="58"/>
      <c r="NDB98" s="58"/>
      <c r="NDC98" s="58"/>
      <c r="NDD98" s="58"/>
      <c r="NDE98" s="58"/>
      <c r="NDF98" s="58"/>
      <c r="NDG98" s="58"/>
      <c r="NDH98" s="58"/>
      <c r="NDI98" s="58"/>
      <c r="NDJ98" s="58"/>
      <c r="NDK98" s="58"/>
      <c r="NDL98" s="58"/>
      <c r="NDM98" s="58"/>
      <c r="NDN98" s="58"/>
      <c r="NDO98" s="58"/>
      <c r="NDP98" s="58"/>
      <c r="NDQ98" s="58"/>
      <c r="NDR98" s="58"/>
      <c r="NDS98" s="58"/>
      <c r="NDT98" s="58"/>
      <c r="NDU98" s="58"/>
      <c r="NDV98" s="58"/>
      <c r="NDW98" s="58"/>
      <c r="NDX98" s="58"/>
      <c r="NDY98" s="58"/>
      <c r="NDZ98" s="58"/>
      <c r="NEA98" s="58"/>
      <c r="NEB98" s="58"/>
      <c r="NEC98" s="58"/>
      <c r="NED98" s="58"/>
      <c r="NEE98" s="58"/>
      <c r="NEF98" s="58"/>
      <c r="NEG98" s="58"/>
      <c r="NEH98" s="58"/>
      <c r="NEI98" s="58"/>
      <c r="NEJ98" s="58"/>
      <c r="NEK98" s="58"/>
      <c r="NEL98" s="58"/>
      <c r="NEM98" s="58"/>
      <c r="NEN98" s="58"/>
      <c r="NEO98" s="58"/>
      <c r="NEP98" s="58"/>
      <c r="NEQ98" s="58"/>
      <c r="NER98" s="58"/>
      <c r="NES98" s="58"/>
      <c r="NET98" s="58"/>
      <c r="NEU98" s="58"/>
      <c r="NEV98" s="58"/>
      <c r="NEW98" s="58"/>
      <c r="NEX98" s="58"/>
      <c r="NEY98" s="58"/>
      <c r="NEZ98" s="58"/>
      <c r="NFA98" s="58"/>
      <c r="NFB98" s="58"/>
      <c r="NFC98" s="58"/>
      <c r="NFD98" s="58"/>
      <c r="NFE98" s="58"/>
      <c r="NFF98" s="58"/>
      <c r="NFG98" s="58"/>
      <c r="NFH98" s="58"/>
      <c r="NFI98" s="58"/>
      <c r="NFJ98" s="58"/>
      <c r="NFK98" s="58"/>
      <c r="NFL98" s="58"/>
      <c r="NFM98" s="58"/>
      <c r="NFN98" s="58"/>
      <c r="NFO98" s="58"/>
      <c r="NFP98" s="58"/>
      <c r="NFQ98" s="58"/>
      <c r="NFR98" s="58"/>
      <c r="NFS98" s="58"/>
      <c r="NFT98" s="58"/>
      <c r="NFU98" s="58"/>
      <c r="NFV98" s="58"/>
      <c r="NFW98" s="58"/>
      <c r="NFX98" s="58"/>
      <c r="NFY98" s="58"/>
      <c r="NFZ98" s="58"/>
      <c r="NGA98" s="58"/>
      <c r="NGB98" s="58"/>
      <c r="NGC98" s="58"/>
      <c r="NGD98" s="58"/>
      <c r="NGE98" s="58"/>
      <c r="NGF98" s="58"/>
      <c r="NGG98" s="58"/>
      <c r="NGH98" s="58"/>
      <c r="NGI98" s="58"/>
      <c r="NGJ98" s="58"/>
      <c r="NGK98" s="58"/>
      <c r="NGL98" s="58"/>
      <c r="NGM98" s="58"/>
      <c r="NGN98" s="58"/>
      <c r="NGO98" s="58"/>
      <c r="NGP98" s="58"/>
      <c r="NGQ98" s="58"/>
      <c r="NGR98" s="58"/>
      <c r="NGS98" s="58"/>
      <c r="NGT98" s="58"/>
      <c r="NGU98" s="58"/>
      <c r="NGV98" s="58"/>
      <c r="NGW98" s="58"/>
      <c r="NGX98" s="58"/>
      <c r="NGY98" s="58"/>
      <c r="NGZ98" s="58"/>
      <c r="NHA98" s="58"/>
      <c r="NHB98" s="58"/>
      <c r="NHC98" s="58"/>
      <c r="NHD98" s="58"/>
      <c r="NHE98" s="58"/>
      <c r="NHF98" s="58"/>
      <c r="NHG98" s="58"/>
      <c r="NHH98" s="58"/>
      <c r="NHI98" s="58"/>
      <c r="NHJ98" s="58"/>
      <c r="NHK98" s="58"/>
      <c r="NHL98" s="58"/>
      <c r="NHM98" s="58"/>
      <c r="NHN98" s="58"/>
      <c r="NHO98" s="58"/>
      <c r="NHP98" s="58"/>
      <c r="NHQ98" s="58"/>
      <c r="NHR98" s="58"/>
      <c r="NHS98" s="58"/>
      <c r="NHT98" s="58"/>
      <c r="NHU98" s="58"/>
      <c r="NHV98" s="58"/>
      <c r="NHW98" s="58"/>
      <c r="NHX98" s="58"/>
      <c r="NHY98" s="58"/>
      <c r="NHZ98" s="58"/>
      <c r="NIA98" s="58"/>
      <c r="NIB98" s="58"/>
      <c r="NIC98" s="58"/>
      <c r="NID98" s="58"/>
      <c r="NIE98" s="58"/>
      <c r="NIF98" s="58"/>
      <c r="NIG98" s="58"/>
      <c r="NIH98" s="58"/>
      <c r="NII98" s="58"/>
      <c r="NIJ98" s="58"/>
      <c r="NIK98" s="58"/>
      <c r="NIL98" s="58"/>
      <c r="NIM98" s="58"/>
      <c r="NIN98" s="58"/>
      <c r="NIO98" s="58"/>
      <c r="NIP98" s="58"/>
      <c r="NIQ98" s="58"/>
      <c r="NIR98" s="58"/>
      <c r="NIS98" s="58"/>
      <c r="NIT98" s="58"/>
      <c r="NIU98" s="58"/>
      <c r="NIV98" s="58"/>
      <c r="NIW98" s="58"/>
      <c r="NIX98" s="58"/>
      <c r="NIY98" s="58"/>
      <c r="NIZ98" s="58"/>
      <c r="NJA98" s="58"/>
      <c r="NJB98" s="58"/>
      <c r="NJC98" s="58"/>
      <c r="NJD98" s="58"/>
      <c r="NJE98" s="58"/>
      <c r="NJF98" s="58"/>
      <c r="NJG98" s="58"/>
      <c r="NJH98" s="58"/>
      <c r="NJI98" s="58"/>
      <c r="NJJ98" s="58"/>
      <c r="NJK98" s="58"/>
      <c r="NJL98" s="58"/>
      <c r="NJM98" s="58"/>
      <c r="NJN98" s="58"/>
      <c r="NJO98" s="58"/>
      <c r="NJP98" s="58"/>
      <c r="NJQ98" s="58"/>
      <c r="NJR98" s="58"/>
      <c r="NJS98" s="58"/>
      <c r="NJT98" s="58"/>
      <c r="NJU98" s="58"/>
      <c r="NJV98" s="58"/>
      <c r="NJW98" s="58"/>
      <c r="NJX98" s="58"/>
      <c r="NJY98" s="58"/>
      <c r="NJZ98" s="58"/>
      <c r="NKA98" s="58"/>
      <c r="NKB98" s="58"/>
      <c r="NKC98" s="58"/>
      <c r="NKD98" s="58"/>
      <c r="NKE98" s="58"/>
      <c r="NKF98" s="58"/>
      <c r="NKG98" s="58"/>
      <c r="NKH98" s="58"/>
      <c r="NKI98" s="58"/>
      <c r="NKJ98" s="58"/>
      <c r="NKK98" s="58"/>
      <c r="NKL98" s="58"/>
      <c r="NKM98" s="58"/>
      <c r="NKN98" s="58"/>
      <c r="NKO98" s="58"/>
      <c r="NKP98" s="58"/>
      <c r="NKQ98" s="58"/>
      <c r="NKR98" s="58"/>
      <c r="NKS98" s="58"/>
      <c r="NKT98" s="58"/>
      <c r="NKU98" s="58"/>
      <c r="NKV98" s="58"/>
      <c r="NKW98" s="58"/>
      <c r="NKX98" s="58"/>
      <c r="NKY98" s="58"/>
      <c r="NKZ98" s="58"/>
      <c r="NLA98" s="58"/>
      <c r="NLB98" s="58"/>
      <c r="NLC98" s="58"/>
      <c r="NLD98" s="58"/>
      <c r="NLE98" s="58"/>
      <c r="NLF98" s="58"/>
      <c r="NLG98" s="58"/>
      <c r="NLH98" s="58"/>
      <c r="NLI98" s="58"/>
      <c r="NLJ98" s="58"/>
      <c r="NLK98" s="58"/>
      <c r="NLL98" s="58"/>
      <c r="NLM98" s="58"/>
      <c r="NLN98" s="58"/>
      <c r="NLO98" s="58"/>
      <c r="NLP98" s="58"/>
      <c r="NLQ98" s="58"/>
      <c r="NLR98" s="58"/>
      <c r="NLS98" s="58"/>
      <c r="NLT98" s="58"/>
      <c r="NLU98" s="58"/>
      <c r="NLV98" s="58"/>
      <c r="NLW98" s="58"/>
      <c r="NLX98" s="58"/>
      <c r="NLY98" s="58"/>
      <c r="NLZ98" s="58"/>
      <c r="NMA98" s="58"/>
      <c r="NMB98" s="58"/>
      <c r="NMC98" s="58"/>
      <c r="NMD98" s="58"/>
      <c r="NME98" s="58"/>
      <c r="NMF98" s="58"/>
      <c r="NMG98" s="58"/>
      <c r="NMH98" s="58"/>
      <c r="NMI98" s="58"/>
      <c r="NMJ98" s="58"/>
      <c r="NMK98" s="58"/>
      <c r="NML98" s="58"/>
      <c r="NMM98" s="58"/>
      <c r="NMN98" s="58"/>
      <c r="NMO98" s="58"/>
      <c r="NMP98" s="58"/>
      <c r="NMQ98" s="58"/>
      <c r="NMR98" s="58"/>
      <c r="NMS98" s="58"/>
      <c r="NMT98" s="58"/>
      <c r="NMU98" s="58"/>
      <c r="NMV98" s="58"/>
      <c r="NMW98" s="58"/>
      <c r="NMX98" s="58"/>
      <c r="NMY98" s="58"/>
      <c r="NMZ98" s="58"/>
      <c r="NNA98" s="58"/>
      <c r="NNB98" s="58"/>
      <c r="NNC98" s="58"/>
      <c r="NND98" s="58"/>
      <c r="NNE98" s="58"/>
      <c r="NNF98" s="58"/>
      <c r="NNG98" s="58"/>
      <c r="NNH98" s="58"/>
      <c r="NNI98" s="58"/>
      <c r="NNJ98" s="58"/>
      <c r="NNK98" s="58"/>
      <c r="NNL98" s="58"/>
      <c r="NNM98" s="58"/>
      <c r="NNN98" s="58"/>
      <c r="NNO98" s="58"/>
      <c r="NNP98" s="58"/>
      <c r="NNQ98" s="58"/>
      <c r="NNR98" s="58"/>
      <c r="NNS98" s="58"/>
      <c r="NNT98" s="58"/>
      <c r="NNU98" s="58"/>
      <c r="NNV98" s="58"/>
      <c r="NNW98" s="58"/>
      <c r="NNX98" s="58"/>
      <c r="NNY98" s="58"/>
      <c r="NNZ98" s="58"/>
      <c r="NOA98" s="58"/>
      <c r="NOB98" s="58"/>
      <c r="NOC98" s="58"/>
      <c r="NOD98" s="58"/>
      <c r="NOE98" s="58"/>
      <c r="NOF98" s="58"/>
      <c r="NOG98" s="58"/>
      <c r="NOH98" s="58"/>
      <c r="NOI98" s="58"/>
      <c r="NOJ98" s="58"/>
      <c r="NOK98" s="58"/>
      <c r="NOL98" s="58"/>
      <c r="NOM98" s="58"/>
      <c r="NON98" s="58"/>
      <c r="NOO98" s="58"/>
      <c r="NOP98" s="58"/>
      <c r="NOQ98" s="58"/>
      <c r="NOR98" s="58"/>
      <c r="NOS98" s="58"/>
      <c r="NOT98" s="58"/>
      <c r="NOU98" s="58"/>
      <c r="NOV98" s="58"/>
      <c r="NOW98" s="58"/>
      <c r="NOX98" s="58"/>
      <c r="NOY98" s="58"/>
      <c r="NOZ98" s="58"/>
      <c r="NPA98" s="58"/>
      <c r="NPB98" s="58"/>
      <c r="NPC98" s="58"/>
      <c r="NPD98" s="58"/>
      <c r="NPE98" s="58"/>
      <c r="NPF98" s="58"/>
      <c r="NPG98" s="58"/>
      <c r="NPH98" s="58"/>
      <c r="NPI98" s="58"/>
      <c r="NPJ98" s="58"/>
      <c r="NPK98" s="58"/>
      <c r="NPL98" s="58"/>
      <c r="NPM98" s="58"/>
      <c r="NPN98" s="58"/>
      <c r="NPO98" s="58"/>
      <c r="NPP98" s="58"/>
      <c r="NPQ98" s="58"/>
      <c r="NPR98" s="58"/>
      <c r="NPS98" s="58"/>
      <c r="NPT98" s="58"/>
      <c r="NPU98" s="58"/>
      <c r="NPV98" s="58"/>
      <c r="NPW98" s="58"/>
      <c r="NPX98" s="58"/>
      <c r="NPY98" s="58"/>
      <c r="NPZ98" s="58"/>
      <c r="NQA98" s="58"/>
      <c r="NQB98" s="58"/>
      <c r="NQC98" s="58"/>
      <c r="NQD98" s="58"/>
      <c r="NQE98" s="58"/>
      <c r="NQF98" s="58"/>
      <c r="NQG98" s="58"/>
      <c r="NQH98" s="58"/>
      <c r="NQI98" s="58"/>
      <c r="NQJ98" s="58"/>
      <c r="NQK98" s="58"/>
      <c r="NQL98" s="58"/>
      <c r="NQM98" s="58"/>
      <c r="NQN98" s="58"/>
      <c r="NQO98" s="58"/>
      <c r="NQP98" s="58"/>
      <c r="NQQ98" s="58"/>
      <c r="NQR98" s="58"/>
      <c r="NQS98" s="58"/>
      <c r="NQT98" s="58"/>
      <c r="NQU98" s="58"/>
      <c r="NQV98" s="58"/>
      <c r="NQW98" s="58"/>
      <c r="NQX98" s="58"/>
      <c r="NQY98" s="58"/>
      <c r="NQZ98" s="58"/>
      <c r="NRA98" s="58"/>
      <c r="NRB98" s="58"/>
      <c r="NRC98" s="58"/>
      <c r="NRD98" s="58"/>
      <c r="NRE98" s="58"/>
      <c r="NRF98" s="58"/>
      <c r="NRG98" s="58"/>
      <c r="NRH98" s="58"/>
      <c r="NRI98" s="58"/>
      <c r="NRJ98" s="58"/>
      <c r="NRK98" s="58"/>
      <c r="NRL98" s="58"/>
      <c r="NRM98" s="58"/>
      <c r="NRN98" s="58"/>
      <c r="NRO98" s="58"/>
      <c r="NRP98" s="58"/>
      <c r="NRQ98" s="58"/>
      <c r="NRR98" s="58"/>
      <c r="NRS98" s="58"/>
      <c r="NRT98" s="58"/>
      <c r="NRU98" s="58"/>
      <c r="NRV98" s="58"/>
      <c r="NRW98" s="58"/>
      <c r="NRX98" s="58"/>
      <c r="NRY98" s="58"/>
      <c r="NRZ98" s="58"/>
      <c r="NSA98" s="58"/>
      <c r="NSB98" s="58"/>
      <c r="NSC98" s="58"/>
      <c r="NSD98" s="58"/>
      <c r="NSE98" s="58"/>
      <c r="NSF98" s="58"/>
      <c r="NSG98" s="58"/>
      <c r="NSH98" s="58"/>
      <c r="NSI98" s="58"/>
      <c r="NSJ98" s="58"/>
      <c r="NSK98" s="58"/>
      <c r="NSL98" s="58"/>
      <c r="NSM98" s="58"/>
      <c r="NSN98" s="58"/>
      <c r="NSO98" s="58"/>
      <c r="NSP98" s="58"/>
      <c r="NSQ98" s="58"/>
      <c r="NSR98" s="58"/>
      <c r="NSS98" s="58"/>
      <c r="NST98" s="58"/>
      <c r="NSU98" s="58"/>
      <c r="NSV98" s="58"/>
      <c r="NSW98" s="58"/>
      <c r="NSX98" s="58"/>
      <c r="NSY98" s="58"/>
      <c r="NSZ98" s="58"/>
      <c r="NTA98" s="58"/>
      <c r="NTB98" s="58"/>
      <c r="NTC98" s="58"/>
      <c r="NTD98" s="58"/>
      <c r="NTE98" s="58"/>
      <c r="NTF98" s="58"/>
      <c r="NTG98" s="58"/>
      <c r="NTH98" s="58"/>
      <c r="NTI98" s="58"/>
      <c r="NTJ98" s="58"/>
      <c r="NTK98" s="58"/>
      <c r="NTL98" s="58"/>
      <c r="NTM98" s="58"/>
      <c r="NTN98" s="58"/>
      <c r="NTO98" s="58"/>
      <c r="NTP98" s="58"/>
      <c r="NTQ98" s="58"/>
      <c r="NTR98" s="58"/>
      <c r="NTS98" s="58"/>
      <c r="NTT98" s="58"/>
      <c r="NTU98" s="58"/>
      <c r="NTV98" s="58"/>
      <c r="NTW98" s="58"/>
      <c r="NTX98" s="58"/>
      <c r="NTY98" s="58"/>
      <c r="NTZ98" s="58"/>
      <c r="NUA98" s="58"/>
      <c r="NUB98" s="58"/>
      <c r="NUC98" s="58"/>
      <c r="NUD98" s="58"/>
      <c r="NUE98" s="58"/>
      <c r="NUF98" s="58"/>
      <c r="NUG98" s="58"/>
      <c r="NUH98" s="58"/>
      <c r="NUI98" s="58"/>
      <c r="NUJ98" s="58"/>
      <c r="NUK98" s="58"/>
      <c r="NUL98" s="58"/>
      <c r="NUM98" s="58"/>
      <c r="NUN98" s="58"/>
      <c r="NUO98" s="58"/>
      <c r="NUP98" s="58"/>
      <c r="NUQ98" s="58"/>
      <c r="NUR98" s="58"/>
      <c r="NUS98" s="58"/>
      <c r="NUT98" s="58"/>
      <c r="NUU98" s="58"/>
      <c r="NUV98" s="58"/>
      <c r="NUW98" s="58"/>
      <c r="NUX98" s="58"/>
      <c r="NUY98" s="58"/>
      <c r="NUZ98" s="58"/>
      <c r="NVA98" s="58"/>
      <c r="NVB98" s="58"/>
      <c r="NVC98" s="58"/>
      <c r="NVD98" s="58"/>
      <c r="NVE98" s="58"/>
      <c r="NVF98" s="58"/>
      <c r="NVG98" s="58"/>
      <c r="NVH98" s="58"/>
      <c r="NVI98" s="58"/>
      <c r="NVJ98" s="58"/>
      <c r="NVK98" s="58"/>
      <c r="NVL98" s="58"/>
      <c r="NVM98" s="58"/>
      <c r="NVN98" s="58"/>
      <c r="NVO98" s="58"/>
      <c r="NVP98" s="58"/>
      <c r="NVQ98" s="58"/>
      <c r="NVR98" s="58"/>
      <c r="NVS98" s="58"/>
      <c r="NVT98" s="58"/>
      <c r="NVU98" s="58"/>
      <c r="NVV98" s="58"/>
      <c r="NVW98" s="58"/>
      <c r="NVX98" s="58"/>
      <c r="NVY98" s="58"/>
      <c r="NVZ98" s="58"/>
      <c r="NWA98" s="58"/>
      <c r="NWB98" s="58"/>
      <c r="NWC98" s="58"/>
      <c r="NWD98" s="58"/>
      <c r="NWE98" s="58"/>
      <c r="NWF98" s="58"/>
      <c r="NWG98" s="58"/>
      <c r="NWH98" s="58"/>
      <c r="NWI98" s="58"/>
      <c r="NWJ98" s="58"/>
      <c r="NWK98" s="58"/>
      <c r="NWL98" s="58"/>
      <c r="NWM98" s="58"/>
      <c r="NWN98" s="58"/>
      <c r="NWO98" s="58"/>
      <c r="NWP98" s="58"/>
      <c r="NWQ98" s="58"/>
      <c r="NWR98" s="58"/>
      <c r="NWS98" s="58"/>
      <c r="NWT98" s="58"/>
      <c r="NWU98" s="58"/>
      <c r="NWV98" s="58"/>
      <c r="NWW98" s="58"/>
      <c r="NWX98" s="58"/>
      <c r="NWY98" s="58"/>
      <c r="NWZ98" s="58"/>
      <c r="NXA98" s="58"/>
      <c r="NXB98" s="58"/>
      <c r="NXC98" s="58"/>
      <c r="NXD98" s="58"/>
      <c r="NXE98" s="58"/>
      <c r="NXF98" s="58"/>
      <c r="NXG98" s="58"/>
      <c r="NXH98" s="58"/>
      <c r="NXI98" s="58"/>
      <c r="NXJ98" s="58"/>
      <c r="NXK98" s="58"/>
      <c r="NXL98" s="58"/>
      <c r="NXM98" s="58"/>
      <c r="NXN98" s="58"/>
      <c r="NXO98" s="58"/>
      <c r="NXP98" s="58"/>
      <c r="NXQ98" s="58"/>
      <c r="NXR98" s="58"/>
      <c r="NXS98" s="58"/>
      <c r="NXT98" s="58"/>
      <c r="NXU98" s="58"/>
      <c r="NXV98" s="58"/>
      <c r="NXW98" s="58"/>
      <c r="NXX98" s="58"/>
      <c r="NXY98" s="58"/>
      <c r="NXZ98" s="58"/>
      <c r="NYA98" s="58"/>
      <c r="NYB98" s="58"/>
      <c r="NYC98" s="58"/>
      <c r="NYD98" s="58"/>
      <c r="NYE98" s="58"/>
      <c r="NYF98" s="58"/>
      <c r="NYG98" s="58"/>
      <c r="NYH98" s="58"/>
      <c r="NYI98" s="58"/>
      <c r="NYJ98" s="58"/>
      <c r="NYK98" s="58"/>
      <c r="NYL98" s="58"/>
      <c r="NYM98" s="58"/>
      <c r="NYN98" s="58"/>
      <c r="NYO98" s="58"/>
      <c r="NYP98" s="58"/>
      <c r="NYQ98" s="58"/>
      <c r="NYR98" s="58"/>
      <c r="NYS98" s="58"/>
      <c r="NYT98" s="58"/>
      <c r="NYU98" s="58"/>
      <c r="NYV98" s="58"/>
      <c r="NYW98" s="58"/>
      <c r="NYX98" s="58"/>
      <c r="NYY98" s="58"/>
      <c r="NYZ98" s="58"/>
      <c r="NZA98" s="58"/>
      <c r="NZB98" s="58"/>
      <c r="NZC98" s="58"/>
      <c r="NZD98" s="58"/>
      <c r="NZE98" s="58"/>
      <c r="NZF98" s="58"/>
      <c r="NZG98" s="58"/>
      <c r="NZH98" s="58"/>
      <c r="NZI98" s="58"/>
      <c r="NZJ98" s="58"/>
      <c r="NZK98" s="58"/>
      <c r="NZL98" s="58"/>
      <c r="NZM98" s="58"/>
      <c r="NZN98" s="58"/>
      <c r="NZO98" s="58"/>
      <c r="NZP98" s="58"/>
      <c r="NZQ98" s="58"/>
      <c r="NZR98" s="58"/>
      <c r="NZS98" s="58"/>
      <c r="NZT98" s="58"/>
      <c r="NZU98" s="58"/>
      <c r="NZV98" s="58"/>
      <c r="NZW98" s="58"/>
      <c r="NZX98" s="58"/>
      <c r="NZY98" s="58"/>
      <c r="NZZ98" s="58"/>
      <c r="OAA98" s="58"/>
      <c r="OAB98" s="58"/>
      <c r="OAC98" s="58"/>
      <c r="OAD98" s="58"/>
      <c r="OAE98" s="58"/>
      <c r="OAF98" s="58"/>
      <c r="OAG98" s="58"/>
      <c r="OAH98" s="58"/>
      <c r="OAI98" s="58"/>
      <c r="OAJ98" s="58"/>
      <c r="OAK98" s="58"/>
      <c r="OAL98" s="58"/>
      <c r="OAM98" s="58"/>
      <c r="OAN98" s="58"/>
      <c r="OAO98" s="58"/>
      <c r="OAP98" s="58"/>
      <c r="OAQ98" s="58"/>
      <c r="OAR98" s="58"/>
      <c r="OAS98" s="58"/>
      <c r="OAT98" s="58"/>
      <c r="OAU98" s="58"/>
      <c r="OAV98" s="58"/>
      <c r="OAW98" s="58"/>
      <c r="OAX98" s="58"/>
      <c r="OAY98" s="58"/>
      <c r="OAZ98" s="58"/>
      <c r="OBA98" s="58"/>
      <c r="OBB98" s="58"/>
      <c r="OBC98" s="58"/>
      <c r="OBD98" s="58"/>
      <c r="OBE98" s="58"/>
      <c r="OBF98" s="58"/>
      <c r="OBG98" s="58"/>
      <c r="OBH98" s="58"/>
      <c r="OBI98" s="58"/>
      <c r="OBJ98" s="58"/>
      <c r="OBK98" s="58"/>
      <c r="OBL98" s="58"/>
      <c r="OBM98" s="58"/>
      <c r="OBN98" s="58"/>
      <c r="OBO98" s="58"/>
      <c r="OBP98" s="58"/>
      <c r="OBQ98" s="58"/>
      <c r="OBR98" s="58"/>
      <c r="OBS98" s="58"/>
      <c r="OBT98" s="58"/>
      <c r="OBU98" s="58"/>
      <c r="OBV98" s="58"/>
      <c r="OBW98" s="58"/>
      <c r="OBX98" s="58"/>
      <c r="OBY98" s="58"/>
      <c r="OBZ98" s="58"/>
      <c r="OCA98" s="58"/>
      <c r="OCB98" s="58"/>
      <c r="OCC98" s="58"/>
      <c r="OCD98" s="58"/>
      <c r="OCE98" s="58"/>
      <c r="OCF98" s="58"/>
      <c r="OCG98" s="58"/>
      <c r="OCH98" s="58"/>
      <c r="OCI98" s="58"/>
      <c r="OCJ98" s="58"/>
      <c r="OCK98" s="58"/>
      <c r="OCL98" s="58"/>
      <c r="OCM98" s="58"/>
      <c r="OCN98" s="58"/>
      <c r="OCO98" s="58"/>
      <c r="OCP98" s="58"/>
      <c r="OCQ98" s="58"/>
      <c r="OCR98" s="58"/>
      <c r="OCS98" s="58"/>
      <c r="OCT98" s="58"/>
      <c r="OCU98" s="58"/>
      <c r="OCV98" s="58"/>
      <c r="OCW98" s="58"/>
      <c r="OCX98" s="58"/>
      <c r="OCY98" s="58"/>
      <c r="OCZ98" s="58"/>
      <c r="ODA98" s="58"/>
      <c r="ODB98" s="58"/>
      <c r="ODC98" s="58"/>
      <c r="ODD98" s="58"/>
      <c r="ODE98" s="58"/>
      <c r="ODF98" s="58"/>
      <c r="ODG98" s="58"/>
      <c r="ODH98" s="58"/>
      <c r="ODI98" s="58"/>
      <c r="ODJ98" s="58"/>
      <c r="ODK98" s="58"/>
      <c r="ODL98" s="58"/>
      <c r="ODM98" s="58"/>
      <c r="ODN98" s="58"/>
      <c r="ODO98" s="58"/>
      <c r="ODP98" s="58"/>
      <c r="ODQ98" s="58"/>
      <c r="ODR98" s="58"/>
      <c r="ODS98" s="58"/>
      <c r="ODT98" s="58"/>
      <c r="ODU98" s="58"/>
      <c r="ODV98" s="58"/>
      <c r="ODW98" s="58"/>
      <c r="ODX98" s="58"/>
      <c r="ODY98" s="58"/>
      <c r="ODZ98" s="58"/>
      <c r="OEA98" s="58"/>
      <c r="OEB98" s="58"/>
      <c r="OEC98" s="58"/>
      <c r="OED98" s="58"/>
      <c r="OEE98" s="58"/>
      <c r="OEF98" s="58"/>
      <c r="OEG98" s="58"/>
      <c r="OEH98" s="58"/>
      <c r="OEI98" s="58"/>
      <c r="OEJ98" s="58"/>
      <c r="OEK98" s="58"/>
      <c r="OEL98" s="58"/>
      <c r="OEM98" s="58"/>
      <c r="OEN98" s="58"/>
      <c r="OEO98" s="58"/>
      <c r="OEP98" s="58"/>
      <c r="OEQ98" s="58"/>
      <c r="OER98" s="58"/>
      <c r="OES98" s="58"/>
      <c r="OET98" s="58"/>
      <c r="OEU98" s="58"/>
      <c r="OEV98" s="58"/>
      <c r="OEW98" s="58"/>
      <c r="OEX98" s="58"/>
      <c r="OEY98" s="58"/>
      <c r="OEZ98" s="58"/>
      <c r="OFA98" s="58"/>
      <c r="OFB98" s="58"/>
      <c r="OFC98" s="58"/>
      <c r="OFD98" s="58"/>
      <c r="OFE98" s="58"/>
      <c r="OFF98" s="58"/>
      <c r="OFG98" s="58"/>
      <c r="OFH98" s="58"/>
      <c r="OFI98" s="58"/>
      <c r="OFJ98" s="58"/>
      <c r="OFK98" s="58"/>
      <c r="OFL98" s="58"/>
      <c r="OFM98" s="58"/>
      <c r="OFN98" s="58"/>
      <c r="OFO98" s="58"/>
      <c r="OFP98" s="58"/>
      <c r="OFQ98" s="58"/>
      <c r="OFR98" s="58"/>
      <c r="OFS98" s="58"/>
      <c r="OFT98" s="58"/>
      <c r="OFU98" s="58"/>
      <c r="OFV98" s="58"/>
      <c r="OFW98" s="58"/>
      <c r="OFX98" s="58"/>
      <c r="OFY98" s="58"/>
      <c r="OFZ98" s="58"/>
      <c r="OGA98" s="58"/>
      <c r="OGB98" s="58"/>
      <c r="OGC98" s="58"/>
      <c r="OGD98" s="58"/>
      <c r="OGE98" s="58"/>
      <c r="OGF98" s="58"/>
      <c r="OGG98" s="58"/>
      <c r="OGH98" s="58"/>
      <c r="OGI98" s="58"/>
      <c r="OGJ98" s="58"/>
      <c r="OGK98" s="58"/>
      <c r="OGL98" s="58"/>
      <c r="OGM98" s="58"/>
      <c r="OGN98" s="58"/>
      <c r="OGO98" s="58"/>
      <c r="OGP98" s="58"/>
      <c r="OGQ98" s="58"/>
      <c r="OGR98" s="58"/>
      <c r="OGS98" s="58"/>
      <c r="OGT98" s="58"/>
      <c r="OGU98" s="58"/>
      <c r="OGV98" s="58"/>
      <c r="OGW98" s="58"/>
      <c r="OGX98" s="58"/>
      <c r="OGY98" s="58"/>
      <c r="OGZ98" s="58"/>
      <c r="OHA98" s="58"/>
      <c r="OHB98" s="58"/>
      <c r="OHC98" s="58"/>
      <c r="OHD98" s="58"/>
      <c r="OHE98" s="58"/>
      <c r="OHF98" s="58"/>
      <c r="OHG98" s="58"/>
      <c r="OHH98" s="58"/>
      <c r="OHI98" s="58"/>
      <c r="OHJ98" s="58"/>
      <c r="OHK98" s="58"/>
      <c r="OHL98" s="58"/>
      <c r="OHM98" s="58"/>
      <c r="OHN98" s="58"/>
      <c r="OHO98" s="58"/>
      <c r="OHP98" s="58"/>
      <c r="OHQ98" s="58"/>
      <c r="OHR98" s="58"/>
      <c r="OHS98" s="58"/>
      <c r="OHT98" s="58"/>
      <c r="OHU98" s="58"/>
      <c r="OHV98" s="58"/>
      <c r="OHW98" s="58"/>
      <c r="OHX98" s="58"/>
      <c r="OHY98" s="58"/>
      <c r="OHZ98" s="58"/>
      <c r="OIA98" s="58"/>
      <c r="OIB98" s="58"/>
      <c r="OIC98" s="58"/>
      <c r="OID98" s="58"/>
      <c r="OIE98" s="58"/>
      <c r="OIF98" s="58"/>
      <c r="OIG98" s="58"/>
      <c r="OIH98" s="58"/>
      <c r="OII98" s="58"/>
      <c r="OIJ98" s="58"/>
      <c r="OIK98" s="58"/>
      <c r="OIL98" s="58"/>
      <c r="OIM98" s="58"/>
      <c r="OIN98" s="58"/>
      <c r="OIO98" s="58"/>
      <c r="OIP98" s="58"/>
      <c r="OIQ98" s="58"/>
      <c r="OIR98" s="58"/>
      <c r="OIS98" s="58"/>
      <c r="OIT98" s="58"/>
      <c r="OIU98" s="58"/>
      <c r="OIV98" s="58"/>
      <c r="OIW98" s="58"/>
      <c r="OIX98" s="58"/>
      <c r="OIY98" s="58"/>
      <c r="OIZ98" s="58"/>
      <c r="OJA98" s="58"/>
      <c r="OJB98" s="58"/>
      <c r="OJC98" s="58"/>
      <c r="OJD98" s="58"/>
      <c r="OJE98" s="58"/>
      <c r="OJF98" s="58"/>
      <c r="OJG98" s="58"/>
      <c r="OJH98" s="58"/>
      <c r="OJI98" s="58"/>
      <c r="OJJ98" s="58"/>
      <c r="OJK98" s="58"/>
      <c r="OJL98" s="58"/>
      <c r="OJM98" s="58"/>
      <c r="OJN98" s="58"/>
      <c r="OJO98" s="58"/>
      <c r="OJP98" s="58"/>
      <c r="OJQ98" s="58"/>
      <c r="OJR98" s="58"/>
      <c r="OJS98" s="58"/>
      <c r="OJT98" s="58"/>
      <c r="OJU98" s="58"/>
      <c r="OJV98" s="58"/>
      <c r="OJW98" s="58"/>
      <c r="OJX98" s="58"/>
      <c r="OJY98" s="58"/>
      <c r="OJZ98" s="58"/>
      <c r="OKA98" s="58"/>
      <c r="OKB98" s="58"/>
      <c r="OKC98" s="58"/>
      <c r="OKD98" s="58"/>
      <c r="OKE98" s="58"/>
      <c r="OKF98" s="58"/>
      <c r="OKG98" s="58"/>
      <c r="OKH98" s="58"/>
      <c r="OKI98" s="58"/>
      <c r="OKJ98" s="58"/>
      <c r="OKK98" s="58"/>
      <c r="OKL98" s="58"/>
      <c r="OKM98" s="58"/>
      <c r="OKN98" s="58"/>
      <c r="OKO98" s="58"/>
      <c r="OKP98" s="58"/>
      <c r="OKQ98" s="58"/>
      <c r="OKR98" s="58"/>
      <c r="OKS98" s="58"/>
      <c r="OKT98" s="58"/>
      <c r="OKU98" s="58"/>
      <c r="OKV98" s="58"/>
      <c r="OKW98" s="58"/>
      <c r="OKX98" s="58"/>
      <c r="OKY98" s="58"/>
      <c r="OKZ98" s="58"/>
      <c r="OLA98" s="58"/>
      <c r="OLB98" s="58"/>
      <c r="OLC98" s="58"/>
      <c r="OLD98" s="58"/>
      <c r="OLE98" s="58"/>
      <c r="OLF98" s="58"/>
      <c r="OLG98" s="58"/>
      <c r="OLH98" s="58"/>
      <c r="OLI98" s="58"/>
      <c r="OLJ98" s="58"/>
      <c r="OLK98" s="58"/>
      <c r="OLL98" s="58"/>
      <c r="OLM98" s="58"/>
      <c r="OLN98" s="58"/>
      <c r="OLO98" s="58"/>
      <c r="OLP98" s="58"/>
      <c r="OLQ98" s="58"/>
      <c r="OLR98" s="58"/>
      <c r="OLS98" s="58"/>
      <c r="OLT98" s="58"/>
      <c r="OLU98" s="58"/>
      <c r="OLV98" s="58"/>
      <c r="OLW98" s="58"/>
      <c r="OLX98" s="58"/>
      <c r="OLY98" s="58"/>
      <c r="OLZ98" s="58"/>
      <c r="OMA98" s="58"/>
      <c r="OMB98" s="58"/>
      <c r="OMC98" s="58"/>
      <c r="OMD98" s="58"/>
      <c r="OME98" s="58"/>
      <c r="OMF98" s="58"/>
      <c r="OMG98" s="58"/>
      <c r="OMH98" s="58"/>
      <c r="OMI98" s="58"/>
      <c r="OMJ98" s="58"/>
      <c r="OMK98" s="58"/>
      <c r="OML98" s="58"/>
      <c r="OMM98" s="58"/>
      <c r="OMN98" s="58"/>
      <c r="OMO98" s="58"/>
      <c r="OMP98" s="58"/>
      <c r="OMQ98" s="58"/>
      <c r="OMR98" s="58"/>
      <c r="OMS98" s="58"/>
      <c r="OMT98" s="58"/>
      <c r="OMU98" s="58"/>
      <c r="OMV98" s="58"/>
      <c r="OMW98" s="58"/>
      <c r="OMX98" s="58"/>
      <c r="OMY98" s="58"/>
      <c r="OMZ98" s="58"/>
      <c r="ONA98" s="58"/>
      <c r="ONB98" s="58"/>
      <c r="ONC98" s="58"/>
      <c r="OND98" s="58"/>
      <c r="ONE98" s="58"/>
      <c r="ONF98" s="58"/>
      <c r="ONG98" s="58"/>
      <c r="ONH98" s="58"/>
      <c r="ONI98" s="58"/>
      <c r="ONJ98" s="58"/>
      <c r="ONK98" s="58"/>
      <c r="ONL98" s="58"/>
      <c r="ONM98" s="58"/>
      <c r="ONN98" s="58"/>
      <c r="ONO98" s="58"/>
      <c r="ONP98" s="58"/>
      <c r="ONQ98" s="58"/>
      <c r="ONR98" s="58"/>
      <c r="ONS98" s="58"/>
      <c r="ONT98" s="58"/>
      <c r="ONU98" s="58"/>
      <c r="ONV98" s="58"/>
      <c r="ONW98" s="58"/>
      <c r="ONX98" s="58"/>
      <c r="ONY98" s="58"/>
      <c r="ONZ98" s="58"/>
      <c r="OOA98" s="58"/>
      <c r="OOB98" s="58"/>
      <c r="OOC98" s="58"/>
      <c r="OOD98" s="58"/>
      <c r="OOE98" s="58"/>
      <c r="OOF98" s="58"/>
      <c r="OOG98" s="58"/>
      <c r="OOH98" s="58"/>
      <c r="OOI98" s="58"/>
      <c r="OOJ98" s="58"/>
      <c r="OOK98" s="58"/>
      <c r="OOL98" s="58"/>
      <c r="OOM98" s="58"/>
      <c r="OON98" s="58"/>
      <c r="OOO98" s="58"/>
      <c r="OOP98" s="58"/>
      <c r="OOQ98" s="58"/>
      <c r="OOR98" s="58"/>
      <c r="OOS98" s="58"/>
      <c r="OOT98" s="58"/>
      <c r="OOU98" s="58"/>
      <c r="OOV98" s="58"/>
      <c r="OOW98" s="58"/>
      <c r="OOX98" s="58"/>
      <c r="OOY98" s="58"/>
      <c r="OOZ98" s="58"/>
      <c r="OPA98" s="58"/>
      <c r="OPB98" s="58"/>
      <c r="OPC98" s="58"/>
      <c r="OPD98" s="58"/>
      <c r="OPE98" s="58"/>
      <c r="OPF98" s="58"/>
      <c r="OPG98" s="58"/>
      <c r="OPH98" s="58"/>
      <c r="OPI98" s="58"/>
      <c r="OPJ98" s="58"/>
      <c r="OPK98" s="58"/>
      <c r="OPL98" s="58"/>
      <c r="OPM98" s="58"/>
      <c r="OPN98" s="58"/>
      <c r="OPO98" s="58"/>
      <c r="OPP98" s="58"/>
      <c r="OPQ98" s="58"/>
      <c r="OPR98" s="58"/>
      <c r="OPS98" s="58"/>
      <c r="OPT98" s="58"/>
      <c r="OPU98" s="58"/>
      <c r="OPV98" s="58"/>
      <c r="OPW98" s="58"/>
      <c r="OPX98" s="58"/>
      <c r="OPY98" s="58"/>
      <c r="OPZ98" s="58"/>
      <c r="OQA98" s="58"/>
      <c r="OQB98" s="58"/>
      <c r="OQC98" s="58"/>
      <c r="OQD98" s="58"/>
      <c r="OQE98" s="58"/>
      <c r="OQF98" s="58"/>
      <c r="OQG98" s="58"/>
      <c r="OQH98" s="58"/>
      <c r="OQI98" s="58"/>
      <c r="OQJ98" s="58"/>
      <c r="OQK98" s="58"/>
      <c r="OQL98" s="58"/>
      <c r="OQM98" s="58"/>
      <c r="OQN98" s="58"/>
      <c r="OQO98" s="58"/>
      <c r="OQP98" s="58"/>
      <c r="OQQ98" s="58"/>
      <c r="OQR98" s="58"/>
      <c r="OQS98" s="58"/>
      <c r="OQT98" s="58"/>
      <c r="OQU98" s="58"/>
      <c r="OQV98" s="58"/>
      <c r="OQW98" s="58"/>
      <c r="OQX98" s="58"/>
      <c r="OQY98" s="58"/>
      <c r="OQZ98" s="58"/>
      <c r="ORA98" s="58"/>
      <c r="ORB98" s="58"/>
      <c r="ORC98" s="58"/>
      <c r="ORD98" s="58"/>
      <c r="ORE98" s="58"/>
      <c r="ORF98" s="58"/>
      <c r="ORG98" s="58"/>
      <c r="ORH98" s="58"/>
      <c r="ORI98" s="58"/>
      <c r="ORJ98" s="58"/>
      <c r="ORK98" s="58"/>
      <c r="ORL98" s="58"/>
      <c r="ORM98" s="58"/>
      <c r="ORN98" s="58"/>
      <c r="ORO98" s="58"/>
      <c r="ORP98" s="58"/>
      <c r="ORQ98" s="58"/>
      <c r="ORR98" s="58"/>
      <c r="ORS98" s="58"/>
      <c r="ORT98" s="58"/>
      <c r="ORU98" s="58"/>
      <c r="ORV98" s="58"/>
      <c r="ORW98" s="58"/>
      <c r="ORX98" s="58"/>
      <c r="ORY98" s="58"/>
      <c r="ORZ98" s="58"/>
      <c r="OSA98" s="58"/>
      <c r="OSB98" s="58"/>
      <c r="OSC98" s="58"/>
      <c r="OSD98" s="58"/>
      <c r="OSE98" s="58"/>
      <c r="OSF98" s="58"/>
      <c r="OSG98" s="58"/>
      <c r="OSH98" s="58"/>
      <c r="OSI98" s="58"/>
      <c r="OSJ98" s="58"/>
      <c r="OSK98" s="58"/>
      <c r="OSL98" s="58"/>
      <c r="OSM98" s="58"/>
      <c r="OSN98" s="58"/>
      <c r="OSO98" s="58"/>
      <c r="OSP98" s="58"/>
      <c r="OSQ98" s="58"/>
      <c r="OSR98" s="58"/>
      <c r="OSS98" s="58"/>
      <c r="OST98" s="58"/>
      <c r="OSU98" s="58"/>
      <c r="OSV98" s="58"/>
      <c r="OSW98" s="58"/>
      <c r="OSX98" s="58"/>
      <c r="OSY98" s="58"/>
      <c r="OSZ98" s="58"/>
      <c r="OTA98" s="58"/>
      <c r="OTB98" s="58"/>
      <c r="OTC98" s="58"/>
      <c r="OTD98" s="58"/>
      <c r="OTE98" s="58"/>
      <c r="OTF98" s="58"/>
      <c r="OTG98" s="58"/>
      <c r="OTH98" s="58"/>
      <c r="OTI98" s="58"/>
      <c r="OTJ98" s="58"/>
      <c r="OTK98" s="58"/>
      <c r="OTL98" s="58"/>
      <c r="OTM98" s="58"/>
      <c r="OTN98" s="58"/>
      <c r="OTO98" s="58"/>
      <c r="OTP98" s="58"/>
      <c r="OTQ98" s="58"/>
      <c r="OTR98" s="58"/>
      <c r="OTS98" s="58"/>
      <c r="OTT98" s="58"/>
      <c r="OTU98" s="58"/>
      <c r="OTV98" s="58"/>
      <c r="OTW98" s="58"/>
      <c r="OTX98" s="58"/>
      <c r="OTY98" s="58"/>
      <c r="OTZ98" s="58"/>
      <c r="OUA98" s="58"/>
      <c r="OUB98" s="58"/>
      <c r="OUC98" s="58"/>
      <c r="OUD98" s="58"/>
      <c r="OUE98" s="58"/>
      <c r="OUF98" s="58"/>
      <c r="OUG98" s="58"/>
      <c r="OUH98" s="58"/>
      <c r="OUI98" s="58"/>
      <c r="OUJ98" s="58"/>
      <c r="OUK98" s="58"/>
      <c r="OUL98" s="58"/>
      <c r="OUM98" s="58"/>
      <c r="OUN98" s="58"/>
      <c r="OUO98" s="58"/>
      <c r="OUP98" s="58"/>
      <c r="OUQ98" s="58"/>
      <c r="OUR98" s="58"/>
      <c r="OUS98" s="58"/>
      <c r="OUT98" s="58"/>
      <c r="OUU98" s="58"/>
      <c r="OUV98" s="58"/>
      <c r="OUW98" s="58"/>
      <c r="OUX98" s="58"/>
      <c r="OUY98" s="58"/>
      <c r="OUZ98" s="58"/>
      <c r="OVA98" s="58"/>
      <c r="OVB98" s="58"/>
      <c r="OVC98" s="58"/>
      <c r="OVD98" s="58"/>
      <c r="OVE98" s="58"/>
      <c r="OVF98" s="58"/>
      <c r="OVG98" s="58"/>
      <c r="OVH98" s="58"/>
      <c r="OVI98" s="58"/>
      <c r="OVJ98" s="58"/>
      <c r="OVK98" s="58"/>
      <c r="OVL98" s="58"/>
      <c r="OVM98" s="58"/>
      <c r="OVN98" s="58"/>
      <c r="OVO98" s="58"/>
      <c r="OVP98" s="58"/>
      <c r="OVQ98" s="58"/>
      <c r="OVR98" s="58"/>
      <c r="OVS98" s="58"/>
      <c r="OVT98" s="58"/>
      <c r="OVU98" s="58"/>
      <c r="OVV98" s="58"/>
      <c r="OVW98" s="58"/>
      <c r="OVX98" s="58"/>
      <c r="OVY98" s="58"/>
      <c r="OVZ98" s="58"/>
      <c r="OWA98" s="58"/>
      <c r="OWB98" s="58"/>
      <c r="OWC98" s="58"/>
      <c r="OWD98" s="58"/>
      <c r="OWE98" s="58"/>
      <c r="OWF98" s="58"/>
      <c r="OWG98" s="58"/>
      <c r="OWH98" s="58"/>
      <c r="OWI98" s="58"/>
      <c r="OWJ98" s="58"/>
      <c r="OWK98" s="58"/>
      <c r="OWL98" s="58"/>
      <c r="OWM98" s="58"/>
      <c r="OWN98" s="58"/>
      <c r="OWO98" s="58"/>
      <c r="OWP98" s="58"/>
      <c r="OWQ98" s="58"/>
      <c r="OWR98" s="58"/>
      <c r="OWS98" s="58"/>
      <c r="OWT98" s="58"/>
      <c r="OWU98" s="58"/>
      <c r="OWV98" s="58"/>
      <c r="OWW98" s="58"/>
      <c r="OWX98" s="58"/>
      <c r="OWY98" s="58"/>
      <c r="OWZ98" s="58"/>
      <c r="OXA98" s="58"/>
      <c r="OXB98" s="58"/>
      <c r="OXC98" s="58"/>
      <c r="OXD98" s="58"/>
      <c r="OXE98" s="58"/>
      <c r="OXF98" s="58"/>
      <c r="OXG98" s="58"/>
      <c r="OXH98" s="58"/>
      <c r="OXI98" s="58"/>
      <c r="OXJ98" s="58"/>
      <c r="OXK98" s="58"/>
      <c r="OXL98" s="58"/>
      <c r="OXM98" s="58"/>
      <c r="OXN98" s="58"/>
      <c r="OXO98" s="58"/>
      <c r="OXP98" s="58"/>
      <c r="OXQ98" s="58"/>
      <c r="OXR98" s="58"/>
      <c r="OXS98" s="58"/>
      <c r="OXT98" s="58"/>
      <c r="OXU98" s="58"/>
      <c r="OXV98" s="58"/>
      <c r="OXW98" s="58"/>
      <c r="OXX98" s="58"/>
      <c r="OXY98" s="58"/>
      <c r="OXZ98" s="58"/>
      <c r="OYA98" s="58"/>
      <c r="OYB98" s="58"/>
      <c r="OYC98" s="58"/>
      <c r="OYD98" s="58"/>
      <c r="OYE98" s="58"/>
      <c r="OYF98" s="58"/>
      <c r="OYG98" s="58"/>
      <c r="OYH98" s="58"/>
      <c r="OYI98" s="58"/>
      <c r="OYJ98" s="58"/>
      <c r="OYK98" s="58"/>
      <c r="OYL98" s="58"/>
      <c r="OYM98" s="58"/>
      <c r="OYN98" s="58"/>
      <c r="OYO98" s="58"/>
      <c r="OYP98" s="58"/>
      <c r="OYQ98" s="58"/>
      <c r="OYR98" s="58"/>
      <c r="OYS98" s="58"/>
      <c r="OYT98" s="58"/>
      <c r="OYU98" s="58"/>
      <c r="OYV98" s="58"/>
      <c r="OYW98" s="58"/>
      <c r="OYX98" s="58"/>
      <c r="OYY98" s="58"/>
      <c r="OYZ98" s="58"/>
      <c r="OZA98" s="58"/>
      <c r="OZB98" s="58"/>
      <c r="OZC98" s="58"/>
      <c r="OZD98" s="58"/>
      <c r="OZE98" s="58"/>
      <c r="OZF98" s="58"/>
      <c r="OZG98" s="58"/>
      <c r="OZH98" s="58"/>
      <c r="OZI98" s="58"/>
      <c r="OZJ98" s="58"/>
      <c r="OZK98" s="58"/>
      <c r="OZL98" s="58"/>
      <c r="OZM98" s="58"/>
      <c r="OZN98" s="58"/>
      <c r="OZO98" s="58"/>
      <c r="OZP98" s="58"/>
      <c r="OZQ98" s="58"/>
      <c r="OZR98" s="58"/>
      <c r="OZS98" s="58"/>
      <c r="OZT98" s="58"/>
      <c r="OZU98" s="58"/>
      <c r="OZV98" s="58"/>
      <c r="OZW98" s="58"/>
      <c r="OZX98" s="58"/>
      <c r="OZY98" s="58"/>
      <c r="OZZ98" s="58"/>
      <c r="PAA98" s="58"/>
      <c r="PAB98" s="58"/>
      <c r="PAC98" s="58"/>
      <c r="PAD98" s="58"/>
      <c r="PAE98" s="58"/>
      <c r="PAF98" s="58"/>
      <c r="PAG98" s="58"/>
      <c r="PAH98" s="58"/>
      <c r="PAI98" s="58"/>
      <c r="PAJ98" s="58"/>
      <c r="PAK98" s="58"/>
      <c r="PAL98" s="58"/>
      <c r="PAM98" s="58"/>
      <c r="PAN98" s="58"/>
      <c r="PAO98" s="58"/>
      <c r="PAP98" s="58"/>
      <c r="PAQ98" s="58"/>
      <c r="PAR98" s="58"/>
      <c r="PAS98" s="58"/>
      <c r="PAT98" s="58"/>
      <c r="PAU98" s="58"/>
      <c r="PAV98" s="58"/>
      <c r="PAW98" s="58"/>
      <c r="PAX98" s="58"/>
      <c r="PAY98" s="58"/>
      <c r="PAZ98" s="58"/>
      <c r="PBA98" s="58"/>
      <c r="PBB98" s="58"/>
      <c r="PBC98" s="58"/>
      <c r="PBD98" s="58"/>
      <c r="PBE98" s="58"/>
      <c r="PBF98" s="58"/>
      <c r="PBG98" s="58"/>
      <c r="PBH98" s="58"/>
      <c r="PBI98" s="58"/>
      <c r="PBJ98" s="58"/>
      <c r="PBK98" s="58"/>
      <c r="PBL98" s="58"/>
      <c r="PBM98" s="58"/>
      <c r="PBN98" s="58"/>
      <c r="PBO98" s="58"/>
      <c r="PBP98" s="58"/>
      <c r="PBQ98" s="58"/>
      <c r="PBR98" s="58"/>
      <c r="PBS98" s="58"/>
      <c r="PBT98" s="58"/>
      <c r="PBU98" s="58"/>
      <c r="PBV98" s="58"/>
      <c r="PBW98" s="58"/>
      <c r="PBX98" s="58"/>
      <c r="PBY98" s="58"/>
      <c r="PBZ98" s="58"/>
      <c r="PCA98" s="58"/>
      <c r="PCB98" s="58"/>
      <c r="PCC98" s="58"/>
      <c r="PCD98" s="58"/>
      <c r="PCE98" s="58"/>
      <c r="PCF98" s="58"/>
      <c r="PCG98" s="58"/>
      <c r="PCH98" s="58"/>
      <c r="PCI98" s="58"/>
      <c r="PCJ98" s="58"/>
      <c r="PCK98" s="58"/>
      <c r="PCL98" s="58"/>
      <c r="PCM98" s="58"/>
      <c r="PCN98" s="58"/>
      <c r="PCO98" s="58"/>
      <c r="PCP98" s="58"/>
      <c r="PCQ98" s="58"/>
      <c r="PCR98" s="58"/>
      <c r="PCS98" s="58"/>
      <c r="PCT98" s="58"/>
      <c r="PCU98" s="58"/>
      <c r="PCV98" s="58"/>
      <c r="PCW98" s="58"/>
      <c r="PCX98" s="58"/>
      <c r="PCY98" s="58"/>
      <c r="PCZ98" s="58"/>
      <c r="PDA98" s="58"/>
      <c r="PDB98" s="58"/>
      <c r="PDC98" s="58"/>
      <c r="PDD98" s="58"/>
      <c r="PDE98" s="58"/>
      <c r="PDF98" s="58"/>
      <c r="PDG98" s="58"/>
      <c r="PDH98" s="58"/>
      <c r="PDI98" s="58"/>
      <c r="PDJ98" s="58"/>
      <c r="PDK98" s="58"/>
      <c r="PDL98" s="58"/>
      <c r="PDM98" s="58"/>
      <c r="PDN98" s="58"/>
      <c r="PDO98" s="58"/>
      <c r="PDP98" s="58"/>
      <c r="PDQ98" s="58"/>
      <c r="PDR98" s="58"/>
      <c r="PDS98" s="58"/>
      <c r="PDT98" s="58"/>
      <c r="PDU98" s="58"/>
      <c r="PDV98" s="58"/>
      <c r="PDW98" s="58"/>
      <c r="PDX98" s="58"/>
      <c r="PDY98" s="58"/>
      <c r="PDZ98" s="58"/>
      <c r="PEA98" s="58"/>
      <c r="PEB98" s="58"/>
      <c r="PEC98" s="58"/>
      <c r="PED98" s="58"/>
      <c r="PEE98" s="58"/>
      <c r="PEF98" s="58"/>
      <c r="PEG98" s="58"/>
      <c r="PEH98" s="58"/>
      <c r="PEI98" s="58"/>
      <c r="PEJ98" s="58"/>
      <c r="PEK98" s="58"/>
      <c r="PEL98" s="58"/>
      <c r="PEM98" s="58"/>
      <c r="PEN98" s="58"/>
      <c r="PEO98" s="58"/>
      <c r="PEP98" s="58"/>
      <c r="PEQ98" s="58"/>
      <c r="PER98" s="58"/>
      <c r="PES98" s="58"/>
      <c r="PET98" s="58"/>
      <c r="PEU98" s="58"/>
      <c r="PEV98" s="58"/>
      <c r="PEW98" s="58"/>
      <c r="PEX98" s="58"/>
      <c r="PEY98" s="58"/>
      <c r="PEZ98" s="58"/>
      <c r="PFA98" s="58"/>
      <c r="PFB98" s="58"/>
      <c r="PFC98" s="58"/>
      <c r="PFD98" s="58"/>
      <c r="PFE98" s="58"/>
      <c r="PFF98" s="58"/>
      <c r="PFG98" s="58"/>
      <c r="PFH98" s="58"/>
      <c r="PFI98" s="58"/>
      <c r="PFJ98" s="58"/>
      <c r="PFK98" s="58"/>
      <c r="PFL98" s="58"/>
      <c r="PFM98" s="58"/>
      <c r="PFN98" s="58"/>
      <c r="PFO98" s="58"/>
      <c r="PFP98" s="58"/>
      <c r="PFQ98" s="58"/>
      <c r="PFR98" s="58"/>
      <c r="PFS98" s="58"/>
      <c r="PFT98" s="58"/>
      <c r="PFU98" s="58"/>
      <c r="PFV98" s="58"/>
      <c r="PFW98" s="58"/>
      <c r="PFX98" s="58"/>
      <c r="PFY98" s="58"/>
      <c r="PFZ98" s="58"/>
      <c r="PGA98" s="58"/>
      <c r="PGB98" s="58"/>
      <c r="PGC98" s="58"/>
      <c r="PGD98" s="58"/>
      <c r="PGE98" s="58"/>
      <c r="PGF98" s="58"/>
      <c r="PGG98" s="58"/>
      <c r="PGH98" s="58"/>
      <c r="PGI98" s="58"/>
      <c r="PGJ98" s="58"/>
      <c r="PGK98" s="58"/>
      <c r="PGL98" s="58"/>
      <c r="PGM98" s="58"/>
      <c r="PGN98" s="58"/>
      <c r="PGO98" s="58"/>
      <c r="PGP98" s="58"/>
      <c r="PGQ98" s="58"/>
      <c r="PGR98" s="58"/>
      <c r="PGS98" s="58"/>
      <c r="PGT98" s="58"/>
      <c r="PGU98" s="58"/>
      <c r="PGV98" s="58"/>
      <c r="PGW98" s="58"/>
      <c r="PGX98" s="58"/>
      <c r="PGY98" s="58"/>
      <c r="PGZ98" s="58"/>
      <c r="PHA98" s="58"/>
      <c r="PHB98" s="58"/>
      <c r="PHC98" s="58"/>
      <c r="PHD98" s="58"/>
      <c r="PHE98" s="58"/>
      <c r="PHF98" s="58"/>
      <c r="PHG98" s="58"/>
      <c r="PHH98" s="58"/>
      <c r="PHI98" s="58"/>
      <c r="PHJ98" s="58"/>
      <c r="PHK98" s="58"/>
      <c r="PHL98" s="58"/>
      <c r="PHM98" s="58"/>
      <c r="PHN98" s="58"/>
      <c r="PHO98" s="58"/>
      <c r="PHP98" s="58"/>
      <c r="PHQ98" s="58"/>
      <c r="PHR98" s="58"/>
      <c r="PHS98" s="58"/>
      <c r="PHT98" s="58"/>
      <c r="PHU98" s="58"/>
      <c r="PHV98" s="58"/>
      <c r="PHW98" s="58"/>
      <c r="PHX98" s="58"/>
      <c r="PHY98" s="58"/>
      <c r="PHZ98" s="58"/>
      <c r="PIA98" s="58"/>
      <c r="PIB98" s="58"/>
      <c r="PIC98" s="58"/>
      <c r="PID98" s="58"/>
      <c r="PIE98" s="58"/>
      <c r="PIF98" s="58"/>
      <c r="PIG98" s="58"/>
      <c r="PIH98" s="58"/>
      <c r="PII98" s="58"/>
      <c r="PIJ98" s="58"/>
      <c r="PIK98" s="58"/>
      <c r="PIL98" s="58"/>
      <c r="PIM98" s="58"/>
      <c r="PIN98" s="58"/>
      <c r="PIO98" s="58"/>
      <c r="PIP98" s="58"/>
      <c r="PIQ98" s="58"/>
      <c r="PIR98" s="58"/>
      <c r="PIS98" s="58"/>
      <c r="PIT98" s="58"/>
      <c r="PIU98" s="58"/>
      <c r="PIV98" s="58"/>
      <c r="PIW98" s="58"/>
      <c r="PIX98" s="58"/>
      <c r="PIY98" s="58"/>
      <c r="PIZ98" s="58"/>
      <c r="PJA98" s="58"/>
      <c r="PJB98" s="58"/>
      <c r="PJC98" s="58"/>
      <c r="PJD98" s="58"/>
      <c r="PJE98" s="58"/>
      <c r="PJF98" s="58"/>
      <c r="PJG98" s="58"/>
      <c r="PJH98" s="58"/>
      <c r="PJI98" s="58"/>
      <c r="PJJ98" s="58"/>
      <c r="PJK98" s="58"/>
      <c r="PJL98" s="58"/>
      <c r="PJM98" s="58"/>
      <c r="PJN98" s="58"/>
      <c r="PJO98" s="58"/>
      <c r="PJP98" s="58"/>
      <c r="PJQ98" s="58"/>
      <c r="PJR98" s="58"/>
      <c r="PJS98" s="58"/>
      <c r="PJT98" s="58"/>
      <c r="PJU98" s="58"/>
      <c r="PJV98" s="58"/>
      <c r="PJW98" s="58"/>
      <c r="PJX98" s="58"/>
      <c r="PJY98" s="58"/>
      <c r="PJZ98" s="58"/>
      <c r="PKA98" s="58"/>
      <c r="PKB98" s="58"/>
      <c r="PKC98" s="58"/>
      <c r="PKD98" s="58"/>
      <c r="PKE98" s="58"/>
      <c r="PKF98" s="58"/>
      <c r="PKG98" s="58"/>
      <c r="PKH98" s="58"/>
      <c r="PKI98" s="58"/>
      <c r="PKJ98" s="58"/>
      <c r="PKK98" s="58"/>
      <c r="PKL98" s="58"/>
      <c r="PKM98" s="58"/>
      <c r="PKN98" s="58"/>
      <c r="PKO98" s="58"/>
      <c r="PKP98" s="58"/>
      <c r="PKQ98" s="58"/>
      <c r="PKR98" s="58"/>
      <c r="PKS98" s="58"/>
      <c r="PKT98" s="58"/>
      <c r="PKU98" s="58"/>
      <c r="PKV98" s="58"/>
      <c r="PKW98" s="58"/>
      <c r="PKX98" s="58"/>
      <c r="PKY98" s="58"/>
      <c r="PKZ98" s="58"/>
      <c r="PLA98" s="58"/>
      <c r="PLB98" s="58"/>
      <c r="PLC98" s="58"/>
      <c r="PLD98" s="58"/>
      <c r="PLE98" s="58"/>
      <c r="PLF98" s="58"/>
      <c r="PLG98" s="58"/>
      <c r="PLH98" s="58"/>
      <c r="PLI98" s="58"/>
      <c r="PLJ98" s="58"/>
      <c r="PLK98" s="58"/>
      <c r="PLL98" s="58"/>
      <c r="PLM98" s="58"/>
      <c r="PLN98" s="58"/>
      <c r="PLO98" s="58"/>
      <c r="PLP98" s="58"/>
      <c r="PLQ98" s="58"/>
      <c r="PLR98" s="58"/>
      <c r="PLS98" s="58"/>
      <c r="PLT98" s="58"/>
      <c r="PLU98" s="58"/>
      <c r="PLV98" s="58"/>
      <c r="PLW98" s="58"/>
      <c r="PLX98" s="58"/>
      <c r="PLY98" s="58"/>
      <c r="PLZ98" s="58"/>
      <c r="PMA98" s="58"/>
      <c r="PMB98" s="58"/>
      <c r="PMC98" s="58"/>
      <c r="PMD98" s="58"/>
      <c r="PME98" s="58"/>
      <c r="PMF98" s="58"/>
      <c r="PMG98" s="58"/>
      <c r="PMH98" s="58"/>
      <c r="PMI98" s="58"/>
      <c r="PMJ98" s="58"/>
      <c r="PMK98" s="58"/>
      <c r="PML98" s="58"/>
      <c r="PMM98" s="58"/>
      <c r="PMN98" s="58"/>
      <c r="PMO98" s="58"/>
      <c r="PMP98" s="58"/>
      <c r="PMQ98" s="58"/>
      <c r="PMR98" s="58"/>
      <c r="PMS98" s="58"/>
      <c r="PMT98" s="58"/>
      <c r="PMU98" s="58"/>
      <c r="PMV98" s="58"/>
      <c r="PMW98" s="58"/>
      <c r="PMX98" s="58"/>
      <c r="PMY98" s="58"/>
      <c r="PMZ98" s="58"/>
      <c r="PNA98" s="58"/>
      <c r="PNB98" s="58"/>
      <c r="PNC98" s="58"/>
      <c r="PND98" s="58"/>
      <c r="PNE98" s="58"/>
      <c r="PNF98" s="58"/>
      <c r="PNG98" s="58"/>
      <c r="PNH98" s="58"/>
      <c r="PNI98" s="58"/>
      <c r="PNJ98" s="58"/>
      <c r="PNK98" s="58"/>
      <c r="PNL98" s="58"/>
      <c r="PNM98" s="58"/>
      <c r="PNN98" s="58"/>
      <c r="PNO98" s="58"/>
      <c r="PNP98" s="58"/>
      <c r="PNQ98" s="58"/>
      <c r="PNR98" s="58"/>
      <c r="PNS98" s="58"/>
      <c r="PNT98" s="58"/>
      <c r="PNU98" s="58"/>
      <c r="PNV98" s="58"/>
      <c r="PNW98" s="58"/>
      <c r="PNX98" s="58"/>
      <c r="PNY98" s="58"/>
      <c r="PNZ98" s="58"/>
      <c r="POA98" s="58"/>
      <c r="POB98" s="58"/>
      <c r="POC98" s="58"/>
      <c r="POD98" s="58"/>
      <c r="POE98" s="58"/>
      <c r="POF98" s="58"/>
      <c r="POG98" s="58"/>
      <c r="POH98" s="58"/>
      <c r="POI98" s="58"/>
      <c r="POJ98" s="58"/>
      <c r="POK98" s="58"/>
      <c r="POL98" s="58"/>
      <c r="POM98" s="58"/>
      <c r="PON98" s="58"/>
      <c r="POO98" s="58"/>
      <c r="POP98" s="58"/>
      <c r="POQ98" s="58"/>
      <c r="POR98" s="58"/>
      <c r="POS98" s="58"/>
      <c r="POT98" s="58"/>
      <c r="POU98" s="58"/>
      <c r="POV98" s="58"/>
      <c r="POW98" s="58"/>
      <c r="POX98" s="58"/>
      <c r="POY98" s="58"/>
      <c r="POZ98" s="58"/>
      <c r="PPA98" s="58"/>
      <c r="PPB98" s="58"/>
      <c r="PPC98" s="58"/>
      <c r="PPD98" s="58"/>
      <c r="PPE98" s="58"/>
      <c r="PPF98" s="58"/>
      <c r="PPG98" s="58"/>
      <c r="PPH98" s="58"/>
      <c r="PPI98" s="58"/>
      <c r="PPJ98" s="58"/>
      <c r="PPK98" s="58"/>
      <c r="PPL98" s="58"/>
      <c r="PPM98" s="58"/>
      <c r="PPN98" s="58"/>
      <c r="PPO98" s="58"/>
      <c r="PPP98" s="58"/>
      <c r="PPQ98" s="58"/>
      <c r="PPR98" s="58"/>
      <c r="PPS98" s="58"/>
      <c r="PPT98" s="58"/>
      <c r="PPU98" s="58"/>
      <c r="PPV98" s="58"/>
      <c r="PPW98" s="58"/>
      <c r="PPX98" s="58"/>
      <c r="PPY98" s="58"/>
      <c r="PPZ98" s="58"/>
      <c r="PQA98" s="58"/>
      <c r="PQB98" s="58"/>
      <c r="PQC98" s="58"/>
      <c r="PQD98" s="58"/>
      <c r="PQE98" s="58"/>
      <c r="PQF98" s="58"/>
      <c r="PQG98" s="58"/>
      <c r="PQH98" s="58"/>
      <c r="PQI98" s="58"/>
      <c r="PQJ98" s="58"/>
      <c r="PQK98" s="58"/>
      <c r="PQL98" s="58"/>
      <c r="PQM98" s="58"/>
      <c r="PQN98" s="58"/>
      <c r="PQO98" s="58"/>
      <c r="PQP98" s="58"/>
      <c r="PQQ98" s="58"/>
      <c r="PQR98" s="58"/>
      <c r="PQS98" s="58"/>
      <c r="PQT98" s="58"/>
      <c r="PQU98" s="58"/>
      <c r="PQV98" s="58"/>
      <c r="PQW98" s="58"/>
      <c r="PQX98" s="58"/>
      <c r="PQY98" s="58"/>
      <c r="PQZ98" s="58"/>
      <c r="PRA98" s="58"/>
      <c r="PRB98" s="58"/>
      <c r="PRC98" s="58"/>
      <c r="PRD98" s="58"/>
      <c r="PRE98" s="58"/>
      <c r="PRF98" s="58"/>
      <c r="PRG98" s="58"/>
      <c r="PRH98" s="58"/>
      <c r="PRI98" s="58"/>
      <c r="PRJ98" s="58"/>
      <c r="PRK98" s="58"/>
      <c r="PRL98" s="58"/>
      <c r="PRM98" s="58"/>
      <c r="PRN98" s="58"/>
      <c r="PRO98" s="58"/>
      <c r="PRP98" s="58"/>
      <c r="PRQ98" s="58"/>
      <c r="PRR98" s="58"/>
      <c r="PRS98" s="58"/>
      <c r="PRT98" s="58"/>
      <c r="PRU98" s="58"/>
      <c r="PRV98" s="58"/>
      <c r="PRW98" s="58"/>
      <c r="PRX98" s="58"/>
      <c r="PRY98" s="58"/>
      <c r="PRZ98" s="58"/>
      <c r="PSA98" s="58"/>
      <c r="PSB98" s="58"/>
      <c r="PSC98" s="58"/>
      <c r="PSD98" s="58"/>
      <c r="PSE98" s="58"/>
      <c r="PSF98" s="58"/>
      <c r="PSG98" s="58"/>
      <c r="PSH98" s="58"/>
      <c r="PSI98" s="58"/>
      <c r="PSJ98" s="58"/>
      <c r="PSK98" s="58"/>
      <c r="PSL98" s="58"/>
      <c r="PSM98" s="58"/>
      <c r="PSN98" s="58"/>
      <c r="PSO98" s="58"/>
      <c r="PSP98" s="58"/>
      <c r="PSQ98" s="58"/>
      <c r="PSR98" s="58"/>
      <c r="PSS98" s="58"/>
      <c r="PST98" s="58"/>
      <c r="PSU98" s="58"/>
      <c r="PSV98" s="58"/>
      <c r="PSW98" s="58"/>
      <c r="PSX98" s="58"/>
      <c r="PSY98" s="58"/>
      <c r="PSZ98" s="58"/>
      <c r="PTA98" s="58"/>
      <c r="PTB98" s="58"/>
      <c r="PTC98" s="58"/>
      <c r="PTD98" s="58"/>
      <c r="PTE98" s="58"/>
      <c r="PTF98" s="58"/>
      <c r="PTG98" s="58"/>
      <c r="PTH98" s="58"/>
      <c r="PTI98" s="58"/>
      <c r="PTJ98" s="58"/>
      <c r="PTK98" s="58"/>
      <c r="PTL98" s="58"/>
      <c r="PTM98" s="58"/>
      <c r="PTN98" s="58"/>
      <c r="PTO98" s="58"/>
      <c r="PTP98" s="58"/>
      <c r="PTQ98" s="58"/>
      <c r="PTR98" s="58"/>
      <c r="PTS98" s="58"/>
      <c r="PTT98" s="58"/>
      <c r="PTU98" s="58"/>
      <c r="PTV98" s="58"/>
      <c r="PTW98" s="58"/>
      <c r="PTX98" s="58"/>
      <c r="PTY98" s="58"/>
      <c r="PTZ98" s="58"/>
      <c r="PUA98" s="58"/>
      <c r="PUB98" s="58"/>
      <c r="PUC98" s="58"/>
      <c r="PUD98" s="58"/>
      <c r="PUE98" s="58"/>
      <c r="PUF98" s="58"/>
      <c r="PUG98" s="58"/>
      <c r="PUH98" s="58"/>
      <c r="PUI98" s="58"/>
      <c r="PUJ98" s="58"/>
      <c r="PUK98" s="58"/>
      <c r="PUL98" s="58"/>
      <c r="PUM98" s="58"/>
      <c r="PUN98" s="58"/>
      <c r="PUO98" s="58"/>
      <c r="PUP98" s="58"/>
      <c r="PUQ98" s="58"/>
      <c r="PUR98" s="58"/>
      <c r="PUS98" s="58"/>
      <c r="PUT98" s="58"/>
      <c r="PUU98" s="58"/>
      <c r="PUV98" s="58"/>
      <c r="PUW98" s="58"/>
      <c r="PUX98" s="58"/>
      <c r="PUY98" s="58"/>
      <c r="PUZ98" s="58"/>
      <c r="PVA98" s="58"/>
      <c r="PVB98" s="58"/>
      <c r="PVC98" s="58"/>
      <c r="PVD98" s="58"/>
      <c r="PVE98" s="58"/>
      <c r="PVF98" s="58"/>
      <c r="PVG98" s="58"/>
      <c r="PVH98" s="58"/>
      <c r="PVI98" s="58"/>
      <c r="PVJ98" s="58"/>
      <c r="PVK98" s="58"/>
      <c r="PVL98" s="58"/>
      <c r="PVM98" s="58"/>
      <c r="PVN98" s="58"/>
      <c r="PVO98" s="58"/>
      <c r="PVP98" s="58"/>
      <c r="PVQ98" s="58"/>
      <c r="PVR98" s="58"/>
      <c r="PVS98" s="58"/>
      <c r="PVT98" s="58"/>
      <c r="PVU98" s="58"/>
      <c r="PVV98" s="58"/>
      <c r="PVW98" s="58"/>
      <c r="PVX98" s="58"/>
      <c r="PVY98" s="58"/>
      <c r="PVZ98" s="58"/>
      <c r="PWA98" s="58"/>
      <c r="PWB98" s="58"/>
      <c r="PWC98" s="58"/>
      <c r="PWD98" s="58"/>
      <c r="PWE98" s="58"/>
      <c r="PWF98" s="58"/>
      <c r="PWG98" s="58"/>
      <c r="PWH98" s="58"/>
      <c r="PWI98" s="58"/>
      <c r="PWJ98" s="58"/>
      <c r="PWK98" s="58"/>
      <c r="PWL98" s="58"/>
      <c r="PWM98" s="58"/>
      <c r="PWN98" s="58"/>
      <c r="PWO98" s="58"/>
      <c r="PWP98" s="58"/>
      <c r="PWQ98" s="58"/>
      <c r="PWR98" s="58"/>
      <c r="PWS98" s="58"/>
      <c r="PWT98" s="58"/>
      <c r="PWU98" s="58"/>
      <c r="PWV98" s="58"/>
      <c r="PWW98" s="58"/>
      <c r="PWX98" s="58"/>
      <c r="PWY98" s="58"/>
      <c r="PWZ98" s="58"/>
      <c r="PXA98" s="58"/>
      <c r="PXB98" s="58"/>
      <c r="PXC98" s="58"/>
      <c r="PXD98" s="58"/>
      <c r="PXE98" s="58"/>
      <c r="PXF98" s="58"/>
      <c r="PXG98" s="58"/>
      <c r="PXH98" s="58"/>
      <c r="PXI98" s="58"/>
      <c r="PXJ98" s="58"/>
      <c r="PXK98" s="58"/>
      <c r="PXL98" s="58"/>
      <c r="PXM98" s="58"/>
      <c r="PXN98" s="58"/>
      <c r="PXO98" s="58"/>
      <c r="PXP98" s="58"/>
      <c r="PXQ98" s="58"/>
      <c r="PXR98" s="58"/>
      <c r="PXS98" s="58"/>
      <c r="PXT98" s="58"/>
      <c r="PXU98" s="58"/>
      <c r="PXV98" s="58"/>
      <c r="PXW98" s="58"/>
      <c r="PXX98" s="58"/>
      <c r="PXY98" s="58"/>
      <c r="PXZ98" s="58"/>
      <c r="PYA98" s="58"/>
      <c r="PYB98" s="58"/>
      <c r="PYC98" s="58"/>
      <c r="PYD98" s="58"/>
      <c r="PYE98" s="58"/>
      <c r="PYF98" s="58"/>
      <c r="PYG98" s="58"/>
      <c r="PYH98" s="58"/>
      <c r="PYI98" s="58"/>
      <c r="PYJ98" s="58"/>
      <c r="PYK98" s="58"/>
      <c r="PYL98" s="58"/>
      <c r="PYM98" s="58"/>
      <c r="PYN98" s="58"/>
      <c r="PYO98" s="58"/>
      <c r="PYP98" s="58"/>
      <c r="PYQ98" s="58"/>
      <c r="PYR98" s="58"/>
      <c r="PYS98" s="58"/>
      <c r="PYT98" s="58"/>
      <c r="PYU98" s="58"/>
      <c r="PYV98" s="58"/>
      <c r="PYW98" s="58"/>
      <c r="PYX98" s="58"/>
      <c r="PYY98" s="58"/>
      <c r="PYZ98" s="58"/>
      <c r="PZA98" s="58"/>
      <c r="PZB98" s="58"/>
      <c r="PZC98" s="58"/>
      <c r="PZD98" s="58"/>
      <c r="PZE98" s="58"/>
      <c r="PZF98" s="58"/>
      <c r="PZG98" s="58"/>
      <c r="PZH98" s="58"/>
      <c r="PZI98" s="58"/>
      <c r="PZJ98" s="58"/>
      <c r="PZK98" s="58"/>
      <c r="PZL98" s="58"/>
      <c r="PZM98" s="58"/>
      <c r="PZN98" s="58"/>
      <c r="PZO98" s="58"/>
      <c r="PZP98" s="58"/>
      <c r="PZQ98" s="58"/>
      <c r="PZR98" s="58"/>
      <c r="PZS98" s="58"/>
      <c r="PZT98" s="58"/>
      <c r="PZU98" s="58"/>
      <c r="PZV98" s="58"/>
      <c r="PZW98" s="58"/>
      <c r="PZX98" s="58"/>
      <c r="PZY98" s="58"/>
      <c r="PZZ98" s="58"/>
      <c r="QAA98" s="58"/>
      <c r="QAB98" s="58"/>
      <c r="QAC98" s="58"/>
      <c r="QAD98" s="58"/>
      <c r="QAE98" s="58"/>
      <c r="QAF98" s="58"/>
      <c r="QAG98" s="58"/>
      <c r="QAH98" s="58"/>
      <c r="QAI98" s="58"/>
      <c r="QAJ98" s="58"/>
      <c r="QAK98" s="58"/>
      <c r="QAL98" s="58"/>
      <c r="QAM98" s="58"/>
      <c r="QAN98" s="58"/>
      <c r="QAO98" s="58"/>
      <c r="QAP98" s="58"/>
      <c r="QAQ98" s="58"/>
      <c r="QAR98" s="58"/>
      <c r="QAS98" s="58"/>
      <c r="QAT98" s="58"/>
      <c r="QAU98" s="58"/>
      <c r="QAV98" s="58"/>
      <c r="QAW98" s="58"/>
      <c r="QAX98" s="58"/>
      <c r="QAY98" s="58"/>
      <c r="QAZ98" s="58"/>
      <c r="QBA98" s="58"/>
      <c r="QBB98" s="58"/>
      <c r="QBC98" s="58"/>
      <c r="QBD98" s="58"/>
      <c r="QBE98" s="58"/>
      <c r="QBF98" s="58"/>
      <c r="QBG98" s="58"/>
      <c r="QBH98" s="58"/>
      <c r="QBI98" s="58"/>
      <c r="QBJ98" s="58"/>
      <c r="QBK98" s="58"/>
      <c r="QBL98" s="58"/>
      <c r="QBM98" s="58"/>
      <c r="QBN98" s="58"/>
      <c r="QBO98" s="58"/>
      <c r="QBP98" s="58"/>
      <c r="QBQ98" s="58"/>
      <c r="QBR98" s="58"/>
      <c r="QBS98" s="58"/>
      <c r="QBT98" s="58"/>
      <c r="QBU98" s="58"/>
      <c r="QBV98" s="58"/>
      <c r="QBW98" s="58"/>
      <c r="QBX98" s="58"/>
      <c r="QBY98" s="58"/>
      <c r="QBZ98" s="58"/>
      <c r="QCA98" s="58"/>
      <c r="QCB98" s="58"/>
      <c r="QCC98" s="58"/>
      <c r="QCD98" s="58"/>
      <c r="QCE98" s="58"/>
      <c r="QCF98" s="58"/>
      <c r="QCG98" s="58"/>
      <c r="QCH98" s="58"/>
      <c r="QCI98" s="58"/>
      <c r="QCJ98" s="58"/>
      <c r="QCK98" s="58"/>
      <c r="QCL98" s="58"/>
      <c r="QCM98" s="58"/>
      <c r="QCN98" s="58"/>
      <c r="QCO98" s="58"/>
      <c r="QCP98" s="58"/>
      <c r="QCQ98" s="58"/>
      <c r="QCR98" s="58"/>
      <c r="QCS98" s="58"/>
      <c r="QCT98" s="58"/>
      <c r="QCU98" s="58"/>
      <c r="QCV98" s="58"/>
      <c r="QCW98" s="58"/>
      <c r="QCX98" s="58"/>
      <c r="QCY98" s="58"/>
      <c r="QCZ98" s="58"/>
      <c r="QDA98" s="58"/>
      <c r="QDB98" s="58"/>
      <c r="QDC98" s="58"/>
      <c r="QDD98" s="58"/>
      <c r="QDE98" s="58"/>
      <c r="QDF98" s="58"/>
      <c r="QDG98" s="58"/>
      <c r="QDH98" s="58"/>
      <c r="QDI98" s="58"/>
      <c r="QDJ98" s="58"/>
      <c r="QDK98" s="58"/>
      <c r="QDL98" s="58"/>
      <c r="QDM98" s="58"/>
      <c r="QDN98" s="58"/>
      <c r="QDO98" s="58"/>
      <c r="QDP98" s="58"/>
      <c r="QDQ98" s="58"/>
      <c r="QDR98" s="58"/>
      <c r="QDS98" s="58"/>
      <c r="QDT98" s="58"/>
      <c r="QDU98" s="58"/>
      <c r="QDV98" s="58"/>
      <c r="QDW98" s="58"/>
      <c r="QDX98" s="58"/>
      <c r="QDY98" s="58"/>
      <c r="QDZ98" s="58"/>
      <c r="QEA98" s="58"/>
      <c r="QEB98" s="58"/>
      <c r="QEC98" s="58"/>
      <c r="QED98" s="58"/>
      <c r="QEE98" s="58"/>
      <c r="QEF98" s="58"/>
      <c r="QEG98" s="58"/>
      <c r="QEH98" s="58"/>
      <c r="QEI98" s="58"/>
      <c r="QEJ98" s="58"/>
      <c r="QEK98" s="58"/>
      <c r="QEL98" s="58"/>
      <c r="QEM98" s="58"/>
      <c r="QEN98" s="58"/>
      <c r="QEO98" s="58"/>
      <c r="QEP98" s="58"/>
      <c r="QEQ98" s="58"/>
      <c r="QER98" s="58"/>
      <c r="QES98" s="58"/>
      <c r="QET98" s="58"/>
      <c r="QEU98" s="58"/>
      <c r="QEV98" s="58"/>
      <c r="QEW98" s="58"/>
      <c r="QEX98" s="58"/>
      <c r="QEY98" s="58"/>
      <c r="QEZ98" s="58"/>
      <c r="QFA98" s="58"/>
      <c r="QFB98" s="58"/>
      <c r="QFC98" s="58"/>
      <c r="QFD98" s="58"/>
      <c r="QFE98" s="58"/>
      <c r="QFF98" s="58"/>
      <c r="QFG98" s="58"/>
      <c r="QFH98" s="58"/>
      <c r="QFI98" s="58"/>
      <c r="QFJ98" s="58"/>
      <c r="QFK98" s="58"/>
      <c r="QFL98" s="58"/>
      <c r="QFM98" s="58"/>
      <c r="QFN98" s="58"/>
      <c r="QFO98" s="58"/>
      <c r="QFP98" s="58"/>
      <c r="QFQ98" s="58"/>
      <c r="QFR98" s="58"/>
      <c r="QFS98" s="58"/>
      <c r="QFT98" s="58"/>
      <c r="QFU98" s="58"/>
      <c r="QFV98" s="58"/>
      <c r="QFW98" s="58"/>
      <c r="QFX98" s="58"/>
      <c r="QFY98" s="58"/>
      <c r="QFZ98" s="58"/>
      <c r="QGA98" s="58"/>
      <c r="QGB98" s="58"/>
      <c r="QGC98" s="58"/>
      <c r="QGD98" s="58"/>
      <c r="QGE98" s="58"/>
      <c r="QGF98" s="58"/>
      <c r="QGG98" s="58"/>
      <c r="QGH98" s="58"/>
      <c r="QGI98" s="58"/>
      <c r="QGJ98" s="58"/>
      <c r="QGK98" s="58"/>
      <c r="QGL98" s="58"/>
      <c r="QGM98" s="58"/>
      <c r="QGN98" s="58"/>
      <c r="QGO98" s="58"/>
      <c r="QGP98" s="58"/>
      <c r="QGQ98" s="58"/>
      <c r="QGR98" s="58"/>
      <c r="QGS98" s="58"/>
      <c r="QGT98" s="58"/>
      <c r="QGU98" s="58"/>
      <c r="QGV98" s="58"/>
      <c r="QGW98" s="58"/>
      <c r="QGX98" s="58"/>
      <c r="QGY98" s="58"/>
      <c r="QGZ98" s="58"/>
      <c r="QHA98" s="58"/>
      <c r="QHB98" s="58"/>
      <c r="QHC98" s="58"/>
      <c r="QHD98" s="58"/>
      <c r="QHE98" s="58"/>
      <c r="QHF98" s="58"/>
      <c r="QHG98" s="58"/>
      <c r="QHH98" s="58"/>
      <c r="QHI98" s="58"/>
      <c r="QHJ98" s="58"/>
      <c r="QHK98" s="58"/>
      <c r="QHL98" s="58"/>
      <c r="QHM98" s="58"/>
      <c r="QHN98" s="58"/>
      <c r="QHO98" s="58"/>
      <c r="QHP98" s="58"/>
      <c r="QHQ98" s="58"/>
      <c r="QHR98" s="58"/>
      <c r="QHS98" s="58"/>
      <c r="QHT98" s="58"/>
      <c r="QHU98" s="58"/>
      <c r="QHV98" s="58"/>
      <c r="QHW98" s="58"/>
      <c r="QHX98" s="58"/>
      <c r="QHY98" s="58"/>
      <c r="QHZ98" s="58"/>
      <c r="QIA98" s="58"/>
      <c r="QIB98" s="58"/>
      <c r="QIC98" s="58"/>
      <c r="QID98" s="58"/>
      <c r="QIE98" s="58"/>
      <c r="QIF98" s="58"/>
      <c r="QIG98" s="58"/>
      <c r="QIH98" s="58"/>
      <c r="QII98" s="58"/>
      <c r="QIJ98" s="58"/>
      <c r="QIK98" s="58"/>
      <c r="QIL98" s="58"/>
      <c r="QIM98" s="58"/>
      <c r="QIN98" s="58"/>
      <c r="QIO98" s="58"/>
      <c r="QIP98" s="58"/>
      <c r="QIQ98" s="58"/>
      <c r="QIR98" s="58"/>
      <c r="QIS98" s="58"/>
      <c r="QIT98" s="58"/>
      <c r="QIU98" s="58"/>
      <c r="QIV98" s="58"/>
      <c r="QIW98" s="58"/>
      <c r="QIX98" s="58"/>
      <c r="QIY98" s="58"/>
      <c r="QIZ98" s="58"/>
      <c r="QJA98" s="58"/>
      <c r="QJB98" s="58"/>
      <c r="QJC98" s="58"/>
      <c r="QJD98" s="58"/>
      <c r="QJE98" s="58"/>
      <c r="QJF98" s="58"/>
      <c r="QJG98" s="58"/>
      <c r="QJH98" s="58"/>
      <c r="QJI98" s="58"/>
      <c r="QJJ98" s="58"/>
      <c r="QJK98" s="58"/>
      <c r="QJL98" s="58"/>
      <c r="QJM98" s="58"/>
      <c r="QJN98" s="58"/>
      <c r="QJO98" s="58"/>
      <c r="QJP98" s="58"/>
      <c r="QJQ98" s="58"/>
      <c r="QJR98" s="58"/>
      <c r="QJS98" s="58"/>
      <c r="QJT98" s="58"/>
      <c r="QJU98" s="58"/>
      <c r="QJV98" s="58"/>
      <c r="QJW98" s="58"/>
      <c r="QJX98" s="58"/>
      <c r="QJY98" s="58"/>
      <c r="QJZ98" s="58"/>
      <c r="QKA98" s="58"/>
      <c r="QKB98" s="58"/>
      <c r="QKC98" s="58"/>
      <c r="QKD98" s="58"/>
      <c r="QKE98" s="58"/>
      <c r="QKF98" s="58"/>
      <c r="QKG98" s="58"/>
      <c r="QKH98" s="58"/>
      <c r="QKI98" s="58"/>
      <c r="QKJ98" s="58"/>
      <c r="QKK98" s="58"/>
      <c r="QKL98" s="58"/>
      <c r="QKM98" s="58"/>
      <c r="QKN98" s="58"/>
      <c r="QKO98" s="58"/>
      <c r="QKP98" s="58"/>
      <c r="QKQ98" s="58"/>
      <c r="QKR98" s="58"/>
      <c r="QKS98" s="58"/>
      <c r="QKT98" s="58"/>
      <c r="QKU98" s="58"/>
      <c r="QKV98" s="58"/>
      <c r="QKW98" s="58"/>
      <c r="QKX98" s="58"/>
      <c r="QKY98" s="58"/>
      <c r="QKZ98" s="58"/>
      <c r="QLA98" s="58"/>
      <c r="QLB98" s="58"/>
      <c r="QLC98" s="58"/>
      <c r="QLD98" s="58"/>
      <c r="QLE98" s="58"/>
      <c r="QLF98" s="58"/>
      <c r="QLG98" s="58"/>
      <c r="QLH98" s="58"/>
      <c r="QLI98" s="58"/>
      <c r="QLJ98" s="58"/>
      <c r="QLK98" s="58"/>
      <c r="QLL98" s="58"/>
      <c r="QLM98" s="58"/>
      <c r="QLN98" s="58"/>
      <c r="QLO98" s="58"/>
      <c r="QLP98" s="58"/>
      <c r="QLQ98" s="58"/>
      <c r="QLR98" s="58"/>
      <c r="QLS98" s="58"/>
      <c r="QLT98" s="58"/>
      <c r="QLU98" s="58"/>
      <c r="QLV98" s="58"/>
      <c r="QLW98" s="58"/>
      <c r="QLX98" s="58"/>
      <c r="QLY98" s="58"/>
      <c r="QLZ98" s="58"/>
      <c r="QMA98" s="58"/>
      <c r="QMB98" s="58"/>
      <c r="QMC98" s="58"/>
      <c r="QMD98" s="58"/>
      <c r="QME98" s="58"/>
      <c r="QMF98" s="58"/>
      <c r="QMG98" s="58"/>
      <c r="QMH98" s="58"/>
      <c r="QMI98" s="58"/>
      <c r="QMJ98" s="58"/>
      <c r="QMK98" s="58"/>
      <c r="QML98" s="58"/>
      <c r="QMM98" s="58"/>
      <c r="QMN98" s="58"/>
      <c r="QMO98" s="58"/>
      <c r="QMP98" s="58"/>
      <c r="QMQ98" s="58"/>
      <c r="QMR98" s="58"/>
      <c r="QMS98" s="58"/>
      <c r="QMT98" s="58"/>
      <c r="QMU98" s="58"/>
      <c r="QMV98" s="58"/>
      <c r="QMW98" s="58"/>
      <c r="QMX98" s="58"/>
      <c r="QMY98" s="58"/>
      <c r="QMZ98" s="58"/>
      <c r="QNA98" s="58"/>
      <c r="QNB98" s="58"/>
      <c r="QNC98" s="58"/>
      <c r="QND98" s="58"/>
      <c r="QNE98" s="58"/>
      <c r="QNF98" s="58"/>
      <c r="QNG98" s="58"/>
      <c r="QNH98" s="58"/>
      <c r="QNI98" s="58"/>
      <c r="QNJ98" s="58"/>
      <c r="QNK98" s="58"/>
      <c r="QNL98" s="58"/>
      <c r="QNM98" s="58"/>
      <c r="QNN98" s="58"/>
      <c r="QNO98" s="58"/>
      <c r="QNP98" s="58"/>
      <c r="QNQ98" s="58"/>
      <c r="QNR98" s="58"/>
      <c r="QNS98" s="58"/>
      <c r="QNT98" s="58"/>
      <c r="QNU98" s="58"/>
      <c r="QNV98" s="58"/>
      <c r="QNW98" s="58"/>
      <c r="QNX98" s="58"/>
      <c r="QNY98" s="58"/>
      <c r="QNZ98" s="58"/>
      <c r="QOA98" s="58"/>
      <c r="QOB98" s="58"/>
      <c r="QOC98" s="58"/>
      <c r="QOD98" s="58"/>
      <c r="QOE98" s="58"/>
      <c r="QOF98" s="58"/>
      <c r="QOG98" s="58"/>
      <c r="QOH98" s="58"/>
      <c r="QOI98" s="58"/>
      <c r="QOJ98" s="58"/>
      <c r="QOK98" s="58"/>
      <c r="QOL98" s="58"/>
      <c r="QOM98" s="58"/>
      <c r="QON98" s="58"/>
      <c r="QOO98" s="58"/>
      <c r="QOP98" s="58"/>
      <c r="QOQ98" s="58"/>
      <c r="QOR98" s="58"/>
      <c r="QOS98" s="58"/>
      <c r="QOT98" s="58"/>
      <c r="QOU98" s="58"/>
      <c r="QOV98" s="58"/>
      <c r="QOW98" s="58"/>
      <c r="QOX98" s="58"/>
      <c r="QOY98" s="58"/>
      <c r="QOZ98" s="58"/>
      <c r="QPA98" s="58"/>
      <c r="QPB98" s="58"/>
      <c r="QPC98" s="58"/>
      <c r="QPD98" s="58"/>
      <c r="QPE98" s="58"/>
      <c r="QPF98" s="58"/>
      <c r="QPG98" s="58"/>
      <c r="QPH98" s="58"/>
      <c r="QPI98" s="58"/>
      <c r="QPJ98" s="58"/>
      <c r="QPK98" s="58"/>
      <c r="QPL98" s="58"/>
      <c r="QPM98" s="58"/>
      <c r="QPN98" s="58"/>
      <c r="QPO98" s="58"/>
      <c r="QPP98" s="58"/>
      <c r="QPQ98" s="58"/>
      <c r="QPR98" s="58"/>
      <c r="QPS98" s="58"/>
      <c r="QPT98" s="58"/>
      <c r="QPU98" s="58"/>
      <c r="QPV98" s="58"/>
      <c r="QPW98" s="58"/>
      <c r="QPX98" s="58"/>
      <c r="QPY98" s="58"/>
      <c r="QPZ98" s="58"/>
      <c r="QQA98" s="58"/>
      <c r="QQB98" s="58"/>
      <c r="QQC98" s="58"/>
      <c r="QQD98" s="58"/>
      <c r="QQE98" s="58"/>
      <c r="QQF98" s="58"/>
      <c r="QQG98" s="58"/>
      <c r="QQH98" s="58"/>
      <c r="QQI98" s="58"/>
      <c r="QQJ98" s="58"/>
      <c r="QQK98" s="58"/>
      <c r="QQL98" s="58"/>
      <c r="QQM98" s="58"/>
      <c r="QQN98" s="58"/>
      <c r="QQO98" s="58"/>
      <c r="QQP98" s="58"/>
      <c r="QQQ98" s="58"/>
      <c r="QQR98" s="58"/>
      <c r="QQS98" s="58"/>
      <c r="QQT98" s="58"/>
      <c r="QQU98" s="58"/>
      <c r="QQV98" s="58"/>
      <c r="QQW98" s="58"/>
      <c r="QQX98" s="58"/>
      <c r="QQY98" s="58"/>
      <c r="QQZ98" s="58"/>
      <c r="QRA98" s="58"/>
      <c r="QRB98" s="58"/>
      <c r="QRC98" s="58"/>
      <c r="QRD98" s="58"/>
      <c r="QRE98" s="58"/>
      <c r="QRF98" s="58"/>
      <c r="QRG98" s="58"/>
      <c r="QRH98" s="58"/>
      <c r="QRI98" s="58"/>
      <c r="QRJ98" s="58"/>
      <c r="QRK98" s="58"/>
      <c r="QRL98" s="58"/>
      <c r="QRM98" s="58"/>
      <c r="QRN98" s="58"/>
      <c r="QRO98" s="58"/>
      <c r="QRP98" s="58"/>
      <c r="QRQ98" s="58"/>
      <c r="QRR98" s="58"/>
      <c r="QRS98" s="58"/>
      <c r="QRT98" s="58"/>
      <c r="QRU98" s="58"/>
      <c r="QRV98" s="58"/>
      <c r="QRW98" s="58"/>
      <c r="QRX98" s="58"/>
      <c r="QRY98" s="58"/>
      <c r="QRZ98" s="58"/>
      <c r="QSA98" s="58"/>
      <c r="QSB98" s="58"/>
      <c r="QSC98" s="58"/>
      <c r="QSD98" s="58"/>
      <c r="QSE98" s="58"/>
      <c r="QSF98" s="58"/>
      <c r="QSG98" s="58"/>
      <c r="QSH98" s="58"/>
      <c r="QSI98" s="58"/>
      <c r="QSJ98" s="58"/>
      <c r="QSK98" s="58"/>
      <c r="QSL98" s="58"/>
      <c r="QSM98" s="58"/>
      <c r="QSN98" s="58"/>
      <c r="QSO98" s="58"/>
      <c r="QSP98" s="58"/>
      <c r="QSQ98" s="58"/>
      <c r="QSR98" s="58"/>
      <c r="QSS98" s="58"/>
      <c r="QST98" s="58"/>
      <c r="QSU98" s="58"/>
      <c r="QSV98" s="58"/>
      <c r="QSW98" s="58"/>
      <c r="QSX98" s="58"/>
      <c r="QSY98" s="58"/>
      <c r="QSZ98" s="58"/>
      <c r="QTA98" s="58"/>
      <c r="QTB98" s="58"/>
      <c r="QTC98" s="58"/>
      <c r="QTD98" s="58"/>
      <c r="QTE98" s="58"/>
      <c r="QTF98" s="58"/>
      <c r="QTG98" s="58"/>
      <c r="QTH98" s="58"/>
      <c r="QTI98" s="58"/>
      <c r="QTJ98" s="58"/>
      <c r="QTK98" s="58"/>
      <c r="QTL98" s="58"/>
      <c r="QTM98" s="58"/>
      <c r="QTN98" s="58"/>
      <c r="QTO98" s="58"/>
      <c r="QTP98" s="58"/>
      <c r="QTQ98" s="58"/>
      <c r="QTR98" s="58"/>
      <c r="QTS98" s="58"/>
      <c r="QTT98" s="58"/>
      <c r="QTU98" s="58"/>
      <c r="QTV98" s="58"/>
      <c r="QTW98" s="58"/>
      <c r="QTX98" s="58"/>
      <c r="QTY98" s="58"/>
      <c r="QTZ98" s="58"/>
      <c r="QUA98" s="58"/>
      <c r="QUB98" s="58"/>
      <c r="QUC98" s="58"/>
      <c r="QUD98" s="58"/>
      <c r="QUE98" s="58"/>
      <c r="QUF98" s="58"/>
      <c r="QUG98" s="58"/>
      <c r="QUH98" s="58"/>
      <c r="QUI98" s="58"/>
      <c r="QUJ98" s="58"/>
      <c r="QUK98" s="58"/>
      <c r="QUL98" s="58"/>
      <c r="QUM98" s="58"/>
      <c r="QUN98" s="58"/>
      <c r="QUO98" s="58"/>
      <c r="QUP98" s="58"/>
      <c r="QUQ98" s="58"/>
      <c r="QUR98" s="58"/>
      <c r="QUS98" s="58"/>
      <c r="QUT98" s="58"/>
      <c r="QUU98" s="58"/>
      <c r="QUV98" s="58"/>
      <c r="QUW98" s="58"/>
      <c r="QUX98" s="58"/>
      <c r="QUY98" s="58"/>
      <c r="QUZ98" s="58"/>
      <c r="QVA98" s="58"/>
      <c r="QVB98" s="58"/>
      <c r="QVC98" s="58"/>
      <c r="QVD98" s="58"/>
      <c r="QVE98" s="58"/>
      <c r="QVF98" s="58"/>
      <c r="QVG98" s="58"/>
      <c r="QVH98" s="58"/>
      <c r="QVI98" s="58"/>
      <c r="QVJ98" s="58"/>
      <c r="QVK98" s="58"/>
      <c r="QVL98" s="58"/>
      <c r="QVM98" s="58"/>
      <c r="QVN98" s="58"/>
      <c r="QVO98" s="58"/>
      <c r="QVP98" s="58"/>
      <c r="QVQ98" s="58"/>
      <c r="QVR98" s="58"/>
      <c r="QVS98" s="58"/>
      <c r="QVT98" s="58"/>
      <c r="QVU98" s="58"/>
      <c r="QVV98" s="58"/>
      <c r="QVW98" s="58"/>
      <c r="QVX98" s="58"/>
      <c r="QVY98" s="58"/>
      <c r="QVZ98" s="58"/>
      <c r="QWA98" s="58"/>
      <c r="QWB98" s="58"/>
      <c r="QWC98" s="58"/>
      <c r="QWD98" s="58"/>
      <c r="QWE98" s="58"/>
      <c r="QWF98" s="58"/>
      <c r="QWG98" s="58"/>
      <c r="QWH98" s="58"/>
      <c r="QWI98" s="58"/>
      <c r="QWJ98" s="58"/>
      <c r="QWK98" s="58"/>
      <c r="QWL98" s="58"/>
      <c r="QWM98" s="58"/>
      <c r="QWN98" s="58"/>
      <c r="QWO98" s="58"/>
      <c r="QWP98" s="58"/>
      <c r="QWQ98" s="58"/>
      <c r="QWR98" s="58"/>
      <c r="QWS98" s="58"/>
      <c r="QWT98" s="58"/>
      <c r="QWU98" s="58"/>
      <c r="QWV98" s="58"/>
      <c r="QWW98" s="58"/>
      <c r="QWX98" s="58"/>
      <c r="QWY98" s="58"/>
      <c r="QWZ98" s="58"/>
      <c r="QXA98" s="58"/>
      <c r="QXB98" s="58"/>
      <c r="QXC98" s="58"/>
      <c r="QXD98" s="58"/>
      <c r="QXE98" s="58"/>
      <c r="QXF98" s="58"/>
      <c r="QXG98" s="58"/>
      <c r="QXH98" s="58"/>
      <c r="QXI98" s="58"/>
      <c r="QXJ98" s="58"/>
      <c r="QXK98" s="58"/>
      <c r="QXL98" s="58"/>
      <c r="QXM98" s="58"/>
      <c r="QXN98" s="58"/>
      <c r="QXO98" s="58"/>
      <c r="QXP98" s="58"/>
      <c r="QXQ98" s="58"/>
      <c r="QXR98" s="58"/>
      <c r="QXS98" s="58"/>
      <c r="QXT98" s="58"/>
      <c r="QXU98" s="58"/>
      <c r="QXV98" s="58"/>
      <c r="QXW98" s="58"/>
      <c r="QXX98" s="58"/>
      <c r="QXY98" s="58"/>
      <c r="QXZ98" s="58"/>
      <c r="QYA98" s="58"/>
      <c r="QYB98" s="58"/>
      <c r="QYC98" s="58"/>
      <c r="QYD98" s="58"/>
      <c r="QYE98" s="58"/>
      <c r="QYF98" s="58"/>
      <c r="QYG98" s="58"/>
      <c r="QYH98" s="58"/>
      <c r="QYI98" s="58"/>
      <c r="QYJ98" s="58"/>
      <c r="QYK98" s="58"/>
      <c r="QYL98" s="58"/>
      <c r="QYM98" s="58"/>
      <c r="QYN98" s="58"/>
      <c r="QYO98" s="58"/>
      <c r="QYP98" s="58"/>
      <c r="QYQ98" s="58"/>
      <c r="QYR98" s="58"/>
      <c r="QYS98" s="58"/>
      <c r="QYT98" s="58"/>
      <c r="QYU98" s="58"/>
      <c r="QYV98" s="58"/>
      <c r="QYW98" s="58"/>
      <c r="QYX98" s="58"/>
      <c r="QYY98" s="58"/>
      <c r="QYZ98" s="58"/>
      <c r="QZA98" s="58"/>
      <c r="QZB98" s="58"/>
      <c r="QZC98" s="58"/>
      <c r="QZD98" s="58"/>
      <c r="QZE98" s="58"/>
      <c r="QZF98" s="58"/>
      <c r="QZG98" s="58"/>
      <c r="QZH98" s="58"/>
      <c r="QZI98" s="58"/>
      <c r="QZJ98" s="58"/>
      <c r="QZK98" s="58"/>
      <c r="QZL98" s="58"/>
      <c r="QZM98" s="58"/>
      <c r="QZN98" s="58"/>
      <c r="QZO98" s="58"/>
      <c r="QZP98" s="58"/>
      <c r="QZQ98" s="58"/>
      <c r="QZR98" s="58"/>
      <c r="QZS98" s="58"/>
      <c r="QZT98" s="58"/>
      <c r="QZU98" s="58"/>
      <c r="QZV98" s="58"/>
      <c r="QZW98" s="58"/>
      <c r="QZX98" s="58"/>
      <c r="QZY98" s="58"/>
      <c r="QZZ98" s="58"/>
      <c r="RAA98" s="58"/>
      <c r="RAB98" s="58"/>
      <c r="RAC98" s="58"/>
      <c r="RAD98" s="58"/>
      <c r="RAE98" s="58"/>
      <c r="RAF98" s="58"/>
      <c r="RAG98" s="58"/>
      <c r="RAH98" s="58"/>
      <c r="RAI98" s="58"/>
      <c r="RAJ98" s="58"/>
      <c r="RAK98" s="58"/>
      <c r="RAL98" s="58"/>
      <c r="RAM98" s="58"/>
      <c r="RAN98" s="58"/>
      <c r="RAO98" s="58"/>
      <c r="RAP98" s="58"/>
      <c r="RAQ98" s="58"/>
      <c r="RAR98" s="58"/>
      <c r="RAS98" s="58"/>
      <c r="RAT98" s="58"/>
      <c r="RAU98" s="58"/>
      <c r="RAV98" s="58"/>
      <c r="RAW98" s="58"/>
      <c r="RAX98" s="58"/>
      <c r="RAY98" s="58"/>
      <c r="RAZ98" s="58"/>
      <c r="RBA98" s="58"/>
      <c r="RBB98" s="58"/>
      <c r="RBC98" s="58"/>
      <c r="RBD98" s="58"/>
      <c r="RBE98" s="58"/>
      <c r="RBF98" s="58"/>
      <c r="RBG98" s="58"/>
      <c r="RBH98" s="58"/>
      <c r="RBI98" s="58"/>
      <c r="RBJ98" s="58"/>
      <c r="RBK98" s="58"/>
      <c r="RBL98" s="58"/>
      <c r="RBM98" s="58"/>
      <c r="RBN98" s="58"/>
      <c r="RBO98" s="58"/>
      <c r="RBP98" s="58"/>
      <c r="RBQ98" s="58"/>
      <c r="RBR98" s="58"/>
      <c r="RBS98" s="58"/>
      <c r="RBT98" s="58"/>
      <c r="RBU98" s="58"/>
      <c r="RBV98" s="58"/>
      <c r="RBW98" s="58"/>
      <c r="RBX98" s="58"/>
      <c r="RBY98" s="58"/>
      <c r="RBZ98" s="58"/>
      <c r="RCA98" s="58"/>
      <c r="RCB98" s="58"/>
      <c r="RCC98" s="58"/>
      <c r="RCD98" s="58"/>
      <c r="RCE98" s="58"/>
      <c r="RCF98" s="58"/>
      <c r="RCG98" s="58"/>
      <c r="RCH98" s="58"/>
      <c r="RCI98" s="58"/>
      <c r="RCJ98" s="58"/>
      <c r="RCK98" s="58"/>
      <c r="RCL98" s="58"/>
      <c r="RCM98" s="58"/>
      <c r="RCN98" s="58"/>
      <c r="RCO98" s="58"/>
      <c r="RCP98" s="58"/>
      <c r="RCQ98" s="58"/>
      <c r="RCR98" s="58"/>
      <c r="RCS98" s="58"/>
      <c r="RCT98" s="58"/>
      <c r="RCU98" s="58"/>
      <c r="RCV98" s="58"/>
      <c r="RCW98" s="58"/>
      <c r="RCX98" s="58"/>
      <c r="RCY98" s="58"/>
      <c r="RCZ98" s="58"/>
      <c r="RDA98" s="58"/>
      <c r="RDB98" s="58"/>
      <c r="RDC98" s="58"/>
      <c r="RDD98" s="58"/>
      <c r="RDE98" s="58"/>
      <c r="RDF98" s="58"/>
      <c r="RDG98" s="58"/>
      <c r="RDH98" s="58"/>
      <c r="RDI98" s="58"/>
      <c r="RDJ98" s="58"/>
      <c r="RDK98" s="58"/>
      <c r="RDL98" s="58"/>
      <c r="RDM98" s="58"/>
      <c r="RDN98" s="58"/>
      <c r="RDO98" s="58"/>
      <c r="RDP98" s="58"/>
      <c r="RDQ98" s="58"/>
      <c r="RDR98" s="58"/>
      <c r="RDS98" s="58"/>
      <c r="RDT98" s="58"/>
      <c r="RDU98" s="58"/>
      <c r="RDV98" s="58"/>
      <c r="RDW98" s="58"/>
      <c r="RDX98" s="58"/>
      <c r="RDY98" s="58"/>
      <c r="RDZ98" s="58"/>
      <c r="REA98" s="58"/>
      <c r="REB98" s="58"/>
      <c r="REC98" s="58"/>
      <c r="RED98" s="58"/>
      <c r="REE98" s="58"/>
      <c r="REF98" s="58"/>
      <c r="REG98" s="58"/>
      <c r="REH98" s="58"/>
      <c r="REI98" s="58"/>
      <c r="REJ98" s="58"/>
      <c r="REK98" s="58"/>
      <c r="REL98" s="58"/>
      <c r="REM98" s="58"/>
      <c r="REN98" s="58"/>
      <c r="REO98" s="58"/>
      <c r="REP98" s="58"/>
      <c r="REQ98" s="58"/>
      <c r="RER98" s="58"/>
      <c r="RES98" s="58"/>
      <c r="RET98" s="58"/>
      <c r="REU98" s="58"/>
      <c r="REV98" s="58"/>
      <c r="REW98" s="58"/>
      <c r="REX98" s="58"/>
      <c r="REY98" s="58"/>
      <c r="REZ98" s="58"/>
      <c r="RFA98" s="58"/>
      <c r="RFB98" s="58"/>
      <c r="RFC98" s="58"/>
      <c r="RFD98" s="58"/>
      <c r="RFE98" s="58"/>
      <c r="RFF98" s="58"/>
      <c r="RFG98" s="58"/>
      <c r="RFH98" s="58"/>
      <c r="RFI98" s="58"/>
      <c r="RFJ98" s="58"/>
      <c r="RFK98" s="58"/>
      <c r="RFL98" s="58"/>
      <c r="RFM98" s="58"/>
      <c r="RFN98" s="58"/>
      <c r="RFO98" s="58"/>
      <c r="RFP98" s="58"/>
      <c r="RFQ98" s="58"/>
      <c r="RFR98" s="58"/>
      <c r="RFS98" s="58"/>
      <c r="RFT98" s="58"/>
      <c r="RFU98" s="58"/>
      <c r="RFV98" s="58"/>
      <c r="RFW98" s="58"/>
      <c r="RFX98" s="58"/>
      <c r="RFY98" s="58"/>
      <c r="RFZ98" s="58"/>
      <c r="RGA98" s="58"/>
      <c r="RGB98" s="58"/>
      <c r="RGC98" s="58"/>
      <c r="RGD98" s="58"/>
      <c r="RGE98" s="58"/>
      <c r="RGF98" s="58"/>
      <c r="RGG98" s="58"/>
      <c r="RGH98" s="58"/>
      <c r="RGI98" s="58"/>
      <c r="RGJ98" s="58"/>
      <c r="RGK98" s="58"/>
      <c r="RGL98" s="58"/>
      <c r="RGM98" s="58"/>
      <c r="RGN98" s="58"/>
      <c r="RGO98" s="58"/>
      <c r="RGP98" s="58"/>
      <c r="RGQ98" s="58"/>
      <c r="RGR98" s="58"/>
      <c r="RGS98" s="58"/>
      <c r="RGT98" s="58"/>
      <c r="RGU98" s="58"/>
      <c r="RGV98" s="58"/>
      <c r="RGW98" s="58"/>
      <c r="RGX98" s="58"/>
      <c r="RGY98" s="58"/>
      <c r="RGZ98" s="58"/>
      <c r="RHA98" s="58"/>
      <c r="RHB98" s="58"/>
      <c r="RHC98" s="58"/>
      <c r="RHD98" s="58"/>
      <c r="RHE98" s="58"/>
      <c r="RHF98" s="58"/>
      <c r="RHG98" s="58"/>
      <c r="RHH98" s="58"/>
      <c r="RHI98" s="58"/>
      <c r="RHJ98" s="58"/>
      <c r="RHK98" s="58"/>
      <c r="RHL98" s="58"/>
      <c r="RHM98" s="58"/>
      <c r="RHN98" s="58"/>
      <c r="RHO98" s="58"/>
      <c r="RHP98" s="58"/>
      <c r="RHQ98" s="58"/>
      <c r="RHR98" s="58"/>
      <c r="RHS98" s="58"/>
      <c r="RHT98" s="58"/>
      <c r="RHU98" s="58"/>
      <c r="RHV98" s="58"/>
      <c r="RHW98" s="58"/>
      <c r="RHX98" s="58"/>
      <c r="RHY98" s="58"/>
      <c r="RHZ98" s="58"/>
      <c r="RIA98" s="58"/>
      <c r="RIB98" s="58"/>
      <c r="RIC98" s="58"/>
      <c r="RID98" s="58"/>
      <c r="RIE98" s="58"/>
      <c r="RIF98" s="58"/>
      <c r="RIG98" s="58"/>
      <c r="RIH98" s="58"/>
      <c r="RII98" s="58"/>
      <c r="RIJ98" s="58"/>
      <c r="RIK98" s="58"/>
      <c r="RIL98" s="58"/>
      <c r="RIM98" s="58"/>
      <c r="RIN98" s="58"/>
      <c r="RIO98" s="58"/>
      <c r="RIP98" s="58"/>
      <c r="RIQ98" s="58"/>
      <c r="RIR98" s="58"/>
      <c r="RIS98" s="58"/>
      <c r="RIT98" s="58"/>
      <c r="RIU98" s="58"/>
      <c r="RIV98" s="58"/>
      <c r="RIW98" s="58"/>
      <c r="RIX98" s="58"/>
      <c r="RIY98" s="58"/>
      <c r="RIZ98" s="58"/>
      <c r="RJA98" s="58"/>
      <c r="RJB98" s="58"/>
      <c r="RJC98" s="58"/>
      <c r="RJD98" s="58"/>
      <c r="RJE98" s="58"/>
      <c r="RJF98" s="58"/>
      <c r="RJG98" s="58"/>
      <c r="RJH98" s="58"/>
      <c r="RJI98" s="58"/>
      <c r="RJJ98" s="58"/>
      <c r="RJK98" s="58"/>
      <c r="RJL98" s="58"/>
      <c r="RJM98" s="58"/>
      <c r="RJN98" s="58"/>
      <c r="RJO98" s="58"/>
      <c r="RJP98" s="58"/>
      <c r="RJQ98" s="58"/>
      <c r="RJR98" s="58"/>
      <c r="RJS98" s="58"/>
      <c r="RJT98" s="58"/>
      <c r="RJU98" s="58"/>
      <c r="RJV98" s="58"/>
      <c r="RJW98" s="58"/>
      <c r="RJX98" s="58"/>
      <c r="RJY98" s="58"/>
      <c r="RJZ98" s="58"/>
      <c r="RKA98" s="58"/>
      <c r="RKB98" s="58"/>
      <c r="RKC98" s="58"/>
      <c r="RKD98" s="58"/>
      <c r="RKE98" s="58"/>
      <c r="RKF98" s="58"/>
      <c r="RKG98" s="58"/>
      <c r="RKH98" s="58"/>
      <c r="RKI98" s="58"/>
      <c r="RKJ98" s="58"/>
      <c r="RKK98" s="58"/>
      <c r="RKL98" s="58"/>
      <c r="RKM98" s="58"/>
      <c r="RKN98" s="58"/>
      <c r="RKO98" s="58"/>
      <c r="RKP98" s="58"/>
      <c r="RKQ98" s="58"/>
      <c r="RKR98" s="58"/>
      <c r="RKS98" s="58"/>
      <c r="RKT98" s="58"/>
      <c r="RKU98" s="58"/>
      <c r="RKV98" s="58"/>
      <c r="RKW98" s="58"/>
      <c r="RKX98" s="58"/>
      <c r="RKY98" s="58"/>
      <c r="RKZ98" s="58"/>
      <c r="RLA98" s="58"/>
      <c r="RLB98" s="58"/>
      <c r="RLC98" s="58"/>
      <c r="RLD98" s="58"/>
      <c r="RLE98" s="58"/>
      <c r="RLF98" s="58"/>
      <c r="RLG98" s="58"/>
      <c r="RLH98" s="58"/>
      <c r="RLI98" s="58"/>
      <c r="RLJ98" s="58"/>
      <c r="RLK98" s="58"/>
      <c r="RLL98" s="58"/>
      <c r="RLM98" s="58"/>
      <c r="RLN98" s="58"/>
      <c r="RLO98" s="58"/>
      <c r="RLP98" s="58"/>
      <c r="RLQ98" s="58"/>
      <c r="RLR98" s="58"/>
      <c r="RLS98" s="58"/>
      <c r="RLT98" s="58"/>
      <c r="RLU98" s="58"/>
      <c r="RLV98" s="58"/>
      <c r="RLW98" s="58"/>
      <c r="RLX98" s="58"/>
      <c r="RLY98" s="58"/>
      <c r="RLZ98" s="58"/>
      <c r="RMA98" s="58"/>
      <c r="RMB98" s="58"/>
      <c r="RMC98" s="58"/>
      <c r="RMD98" s="58"/>
      <c r="RME98" s="58"/>
      <c r="RMF98" s="58"/>
      <c r="RMG98" s="58"/>
      <c r="RMH98" s="58"/>
      <c r="RMI98" s="58"/>
      <c r="RMJ98" s="58"/>
      <c r="RMK98" s="58"/>
      <c r="RML98" s="58"/>
      <c r="RMM98" s="58"/>
      <c r="RMN98" s="58"/>
      <c r="RMO98" s="58"/>
      <c r="RMP98" s="58"/>
      <c r="RMQ98" s="58"/>
      <c r="RMR98" s="58"/>
      <c r="RMS98" s="58"/>
      <c r="RMT98" s="58"/>
      <c r="RMU98" s="58"/>
      <c r="RMV98" s="58"/>
      <c r="RMW98" s="58"/>
      <c r="RMX98" s="58"/>
      <c r="RMY98" s="58"/>
      <c r="RMZ98" s="58"/>
      <c r="RNA98" s="58"/>
      <c r="RNB98" s="58"/>
      <c r="RNC98" s="58"/>
      <c r="RND98" s="58"/>
      <c r="RNE98" s="58"/>
      <c r="RNF98" s="58"/>
      <c r="RNG98" s="58"/>
      <c r="RNH98" s="58"/>
      <c r="RNI98" s="58"/>
      <c r="RNJ98" s="58"/>
      <c r="RNK98" s="58"/>
      <c r="RNL98" s="58"/>
      <c r="RNM98" s="58"/>
      <c r="RNN98" s="58"/>
      <c r="RNO98" s="58"/>
      <c r="RNP98" s="58"/>
      <c r="RNQ98" s="58"/>
      <c r="RNR98" s="58"/>
      <c r="RNS98" s="58"/>
      <c r="RNT98" s="58"/>
      <c r="RNU98" s="58"/>
      <c r="RNV98" s="58"/>
      <c r="RNW98" s="58"/>
      <c r="RNX98" s="58"/>
      <c r="RNY98" s="58"/>
      <c r="RNZ98" s="58"/>
      <c r="ROA98" s="58"/>
      <c r="ROB98" s="58"/>
      <c r="ROC98" s="58"/>
      <c r="ROD98" s="58"/>
      <c r="ROE98" s="58"/>
      <c r="ROF98" s="58"/>
      <c r="ROG98" s="58"/>
      <c r="ROH98" s="58"/>
      <c r="ROI98" s="58"/>
      <c r="ROJ98" s="58"/>
      <c r="ROK98" s="58"/>
      <c r="ROL98" s="58"/>
      <c r="ROM98" s="58"/>
      <c r="RON98" s="58"/>
      <c r="ROO98" s="58"/>
      <c r="ROP98" s="58"/>
      <c r="ROQ98" s="58"/>
      <c r="ROR98" s="58"/>
      <c r="ROS98" s="58"/>
      <c r="ROT98" s="58"/>
      <c r="ROU98" s="58"/>
      <c r="ROV98" s="58"/>
      <c r="ROW98" s="58"/>
      <c r="ROX98" s="58"/>
      <c r="ROY98" s="58"/>
      <c r="ROZ98" s="58"/>
      <c r="RPA98" s="58"/>
      <c r="RPB98" s="58"/>
      <c r="RPC98" s="58"/>
      <c r="RPD98" s="58"/>
      <c r="RPE98" s="58"/>
      <c r="RPF98" s="58"/>
      <c r="RPG98" s="58"/>
      <c r="RPH98" s="58"/>
      <c r="RPI98" s="58"/>
      <c r="RPJ98" s="58"/>
      <c r="RPK98" s="58"/>
      <c r="RPL98" s="58"/>
      <c r="RPM98" s="58"/>
      <c r="RPN98" s="58"/>
      <c r="RPO98" s="58"/>
      <c r="RPP98" s="58"/>
      <c r="RPQ98" s="58"/>
      <c r="RPR98" s="58"/>
      <c r="RPS98" s="58"/>
      <c r="RPT98" s="58"/>
      <c r="RPU98" s="58"/>
      <c r="RPV98" s="58"/>
      <c r="RPW98" s="58"/>
      <c r="RPX98" s="58"/>
      <c r="RPY98" s="58"/>
      <c r="RPZ98" s="58"/>
      <c r="RQA98" s="58"/>
      <c r="RQB98" s="58"/>
      <c r="RQC98" s="58"/>
      <c r="RQD98" s="58"/>
      <c r="RQE98" s="58"/>
      <c r="RQF98" s="58"/>
      <c r="RQG98" s="58"/>
      <c r="RQH98" s="58"/>
      <c r="RQI98" s="58"/>
      <c r="RQJ98" s="58"/>
      <c r="RQK98" s="58"/>
      <c r="RQL98" s="58"/>
      <c r="RQM98" s="58"/>
      <c r="RQN98" s="58"/>
      <c r="RQO98" s="58"/>
      <c r="RQP98" s="58"/>
      <c r="RQQ98" s="58"/>
      <c r="RQR98" s="58"/>
      <c r="RQS98" s="58"/>
      <c r="RQT98" s="58"/>
      <c r="RQU98" s="58"/>
      <c r="RQV98" s="58"/>
      <c r="RQW98" s="58"/>
      <c r="RQX98" s="58"/>
      <c r="RQY98" s="58"/>
      <c r="RQZ98" s="58"/>
      <c r="RRA98" s="58"/>
      <c r="RRB98" s="58"/>
      <c r="RRC98" s="58"/>
      <c r="RRD98" s="58"/>
      <c r="RRE98" s="58"/>
      <c r="RRF98" s="58"/>
      <c r="RRG98" s="58"/>
      <c r="RRH98" s="58"/>
      <c r="RRI98" s="58"/>
      <c r="RRJ98" s="58"/>
      <c r="RRK98" s="58"/>
      <c r="RRL98" s="58"/>
      <c r="RRM98" s="58"/>
      <c r="RRN98" s="58"/>
      <c r="RRO98" s="58"/>
      <c r="RRP98" s="58"/>
      <c r="RRQ98" s="58"/>
      <c r="RRR98" s="58"/>
      <c r="RRS98" s="58"/>
      <c r="RRT98" s="58"/>
      <c r="RRU98" s="58"/>
      <c r="RRV98" s="58"/>
      <c r="RRW98" s="58"/>
      <c r="RRX98" s="58"/>
      <c r="RRY98" s="58"/>
      <c r="RRZ98" s="58"/>
      <c r="RSA98" s="58"/>
      <c r="RSB98" s="58"/>
      <c r="RSC98" s="58"/>
      <c r="RSD98" s="58"/>
      <c r="RSE98" s="58"/>
      <c r="RSF98" s="58"/>
      <c r="RSG98" s="58"/>
      <c r="RSH98" s="58"/>
      <c r="RSI98" s="58"/>
      <c r="RSJ98" s="58"/>
      <c r="RSK98" s="58"/>
      <c r="RSL98" s="58"/>
      <c r="RSM98" s="58"/>
      <c r="RSN98" s="58"/>
      <c r="RSO98" s="58"/>
      <c r="RSP98" s="58"/>
      <c r="RSQ98" s="58"/>
      <c r="RSR98" s="58"/>
      <c r="RSS98" s="58"/>
      <c r="RST98" s="58"/>
      <c r="RSU98" s="58"/>
      <c r="RSV98" s="58"/>
      <c r="RSW98" s="58"/>
      <c r="RSX98" s="58"/>
      <c r="RSY98" s="58"/>
      <c r="RSZ98" s="58"/>
      <c r="RTA98" s="58"/>
      <c r="RTB98" s="58"/>
      <c r="RTC98" s="58"/>
      <c r="RTD98" s="58"/>
      <c r="RTE98" s="58"/>
      <c r="RTF98" s="58"/>
      <c r="RTG98" s="58"/>
      <c r="RTH98" s="58"/>
      <c r="RTI98" s="58"/>
      <c r="RTJ98" s="58"/>
      <c r="RTK98" s="58"/>
      <c r="RTL98" s="58"/>
      <c r="RTM98" s="58"/>
      <c r="RTN98" s="58"/>
      <c r="RTO98" s="58"/>
      <c r="RTP98" s="58"/>
      <c r="RTQ98" s="58"/>
      <c r="RTR98" s="58"/>
      <c r="RTS98" s="58"/>
      <c r="RTT98" s="58"/>
      <c r="RTU98" s="58"/>
      <c r="RTV98" s="58"/>
      <c r="RTW98" s="58"/>
      <c r="RTX98" s="58"/>
      <c r="RTY98" s="58"/>
      <c r="RTZ98" s="58"/>
      <c r="RUA98" s="58"/>
      <c r="RUB98" s="58"/>
      <c r="RUC98" s="58"/>
      <c r="RUD98" s="58"/>
      <c r="RUE98" s="58"/>
      <c r="RUF98" s="58"/>
      <c r="RUG98" s="58"/>
      <c r="RUH98" s="58"/>
      <c r="RUI98" s="58"/>
      <c r="RUJ98" s="58"/>
      <c r="RUK98" s="58"/>
      <c r="RUL98" s="58"/>
      <c r="RUM98" s="58"/>
      <c r="RUN98" s="58"/>
      <c r="RUO98" s="58"/>
      <c r="RUP98" s="58"/>
      <c r="RUQ98" s="58"/>
      <c r="RUR98" s="58"/>
      <c r="RUS98" s="58"/>
      <c r="RUT98" s="58"/>
      <c r="RUU98" s="58"/>
      <c r="RUV98" s="58"/>
      <c r="RUW98" s="58"/>
      <c r="RUX98" s="58"/>
      <c r="RUY98" s="58"/>
      <c r="RUZ98" s="58"/>
      <c r="RVA98" s="58"/>
      <c r="RVB98" s="58"/>
      <c r="RVC98" s="58"/>
      <c r="RVD98" s="58"/>
      <c r="RVE98" s="58"/>
      <c r="RVF98" s="58"/>
      <c r="RVG98" s="58"/>
      <c r="RVH98" s="58"/>
      <c r="RVI98" s="58"/>
      <c r="RVJ98" s="58"/>
      <c r="RVK98" s="58"/>
      <c r="RVL98" s="58"/>
      <c r="RVM98" s="58"/>
      <c r="RVN98" s="58"/>
      <c r="RVO98" s="58"/>
      <c r="RVP98" s="58"/>
      <c r="RVQ98" s="58"/>
      <c r="RVR98" s="58"/>
      <c r="RVS98" s="58"/>
      <c r="RVT98" s="58"/>
      <c r="RVU98" s="58"/>
      <c r="RVV98" s="58"/>
      <c r="RVW98" s="58"/>
      <c r="RVX98" s="58"/>
      <c r="RVY98" s="58"/>
      <c r="RVZ98" s="58"/>
      <c r="RWA98" s="58"/>
      <c r="RWB98" s="58"/>
      <c r="RWC98" s="58"/>
      <c r="RWD98" s="58"/>
      <c r="RWE98" s="58"/>
      <c r="RWF98" s="58"/>
      <c r="RWG98" s="58"/>
      <c r="RWH98" s="58"/>
      <c r="RWI98" s="58"/>
      <c r="RWJ98" s="58"/>
      <c r="RWK98" s="58"/>
      <c r="RWL98" s="58"/>
      <c r="RWM98" s="58"/>
      <c r="RWN98" s="58"/>
      <c r="RWO98" s="58"/>
      <c r="RWP98" s="58"/>
      <c r="RWQ98" s="58"/>
      <c r="RWR98" s="58"/>
      <c r="RWS98" s="58"/>
      <c r="RWT98" s="58"/>
      <c r="RWU98" s="58"/>
      <c r="RWV98" s="58"/>
      <c r="RWW98" s="58"/>
      <c r="RWX98" s="58"/>
      <c r="RWY98" s="58"/>
      <c r="RWZ98" s="58"/>
      <c r="RXA98" s="58"/>
      <c r="RXB98" s="58"/>
      <c r="RXC98" s="58"/>
      <c r="RXD98" s="58"/>
      <c r="RXE98" s="58"/>
      <c r="RXF98" s="58"/>
      <c r="RXG98" s="58"/>
      <c r="RXH98" s="58"/>
      <c r="RXI98" s="58"/>
      <c r="RXJ98" s="58"/>
      <c r="RXK98" s="58"/>
      <c r="RXL98" s="58"/>
      <c r="RXM98" s="58"/>
      <c r="RXN98" s="58"/>
      <c r="RXO98" s="58"/>
      <c r="RXP98" s="58"/>
      <c r="RXQ98" s="58"/>
      <c r="RXR98" s="58"/>
      <c r="RXS98" s="58"/>
      <c r="RXT98" s="58"/>
      <c r="RXU98" s="58"/>
      <c r="RXV98" s="58"/>
      <c r="RXW98" s="58"/>
      <c r="RXX98" s="58"/>
      <c r="RXY98" s="58"/>
      <c r="RXZ98" s="58"/>
      <c r="RYA98" s="58"/>
      <c r="RYB98" s="58"/>
      <c r="RYC98" s="58"/>
      <c r="RYD98" s="58"/>
      <c r="RYE98" s="58"/>
      <c r="RYF98" s="58"/>
      <c r="RYG98" s="58"/>
      <c r="RYH98" s="58"/>
      <c r="RYI98" s="58"/>
      <c r="RYJ98" s="58"/>
      <c r="RYK98" s="58"/>
      <c r="RYL98" s="58"/>
      <c r="RYM98" s="58"/>
      <c r="RYN98" s="58"/>
      <c r="RYO98" s="58"/>
      <c r="RYP98" s="58"/>
      <c r="RYQ98" s="58"/>
      <c r="RYR98" s="58"/>
      <c r="RYS98" s="58"/>
      <c r="RYT98" s="58"/>
      <c r="RYU98" s="58"/>
      <c r="RYV98" s="58"/>
      <c r="RYW98" s="58"/>
      <c r="RYX98" s="58"/>
      <c r="RYY98" s="58"/>
      <c r="RYZ98" s="58"/>
      <c r="RZA98" s="58"/>
      <c r="RZB98" s="58"/>
      <c r="RZC98" s="58"/>
      <c r="RZD98" s="58"/>
      <c r="RZE98" s="58"/>
      <c r="RZF98" s="58"/>
      <c r="RZG98" s="58"/>
      <c r="RZH98" s="58"/>
      <c r="RZI98" s="58"/>
      <c r="RZJ98" s="58"/>
      <c r="RZK98" s="58"/>
      <c r="RZL98" s="58"/>
      <c r="RZM98" s="58"/>
      <c r="RZN98" s="58"/>
      <c r="RZO98" s="58"/>
      <c r="RZP98" s="58"/>
      <c r="RZQ98" s="58"/>
      <c r="RZR98" s="58"/>
      <c r="RZS98" s="58"/>
      <c r="RZT98" s="58"/>
      <c r="RZU98" s="58"/>
      <c r="RZV98" s="58"/>
      <c r="RZW98" s="58"/>
      <c r="RZX98" s="58"/>
      <c r="RZY98" s="58"/>
      <c r="RZZ98" s="58"/>
      <c r="SAA98" s="58"/>
      <c r="SAB98" s="58"/>
      <c r="SAC98" s="58"/>
      <c r="SAD98" s="58"/>
      <c r="SAE98" s="58"/>
      <c r="SAF98" s="58"/>
      <c r="SAG98" s="58"/>
      <c r="SAH98" s="58"/>
      <c r="SAI98" s="58"/>
      <c r="SAJ98" s="58"/>
      <c r="SAK98" s="58"/>
      <c r="SAL98" s="58"/>
      <c r="SAM98" s="58"/>
      <c r="SAN98" s="58"/>
      <c r="SAO98" s="58"/>
      <c r="SAP98" s="58"/>
      <c r="SAQ98" s="58"/>
      <c r="SAR98" s="58"/>
      <c r="SAS98" s="58"/>
      <c r="SAT98" s="58"/>
      <c r="SAU98" s="58"/>
      <c r="SAV98" s="58"/>
      <c r="SAW98" s="58"/>
      <c r="SAX98" s="58"/>
      <c r="SAY98" s="58"/>
      <c r="SAZ98" s="58"/>
      <c r="SBA98" s="58"/>
      <c r="SBB98" s="58"/>
      <c r="SBC98" s="58"/>
      <c r="SBD98" s="58"/>
      <c r="SBE98" s="58"/>
      <c r="SBF98" s="58"/>
      <c r="SBG98" s="58"/>
      <c r="SBH98" s="58"/>
      <c r="SBI98" s="58"/>
      <c r="SBJ98" s="58"/>
      <c r="SBK98" s="58"/>
      <c r="SBL98" s="58"/>
      <c r="SBM98" s="58"/>
      <c r="SBN98" s="58"/>
      <c r="SBO98" s="58"/>
      <c r="SBP98" s="58"/>
      <c r="SBQ98" s="58"/>
      <c r="SBR98" s="58"/>
      <c r="SBS98" s="58"/>
      <c r="SBT98" s="58"/>
      <c r="SBU98" s="58"/>
      <c r="SBV98" s="58"/>
      <c r="SBW98" s="58"/>
      <c r="SBX98" s="58"/>
      <c r="SBY98" s="58"/>
      <c r="SBZ98" s="58"/>
      <c r="SCA98" s="58"/>
      <c r="SCB98" s="58"/>
      <c r="SCC98" s="58"/>
      <c r="SCD98" s="58"/>
      <c r="SCE98" s="58"/>
      <c r="SCF98" s="58"/>
      <c r="SCG98" s="58"/>
      <c r="SCH98" s="58"/>
      <c r="SCI98" s="58"/>
      <c r="SCJ98" s="58"/>
      <c r="SCK98" s="58"/>
      <c r="SCL98" s="58"/>
      <c r="SCM98" s="58"/>
      <c r="SCN98" s="58"/>
      <c r="SCO98" s="58"/>
      <c r="SCP98" s="58"/>
      <c r="SCQ98" s="58"/>
      <c r="SCR98" s="58"/>
      <c r="SCS98" s="58"/>
      <c r="SCT98" s="58"/>
      <c r="SCU98" s="58"/>
      <c r="SCV98" s="58"/>
      <c r="SCW98" s="58"/>
      <c r="SCX98" s="58"/>
      <c r="SCY98" s="58"/>
      <c r="SCZ98" s="58"/>
      <c r="SDA98" s="58"/>
      <c r="SDB98" s="58"/>
      <c r="SDC98" s="58"/>
      <c r="SDD98" s="58"/>
      <c r="SDE98" s="58"/>
      <c r="SDF98" s="58"/>
      <c r="SDG98" s="58"/>
      <c r="SDH98" s="58"/>
      <c r="SDI98" s="58"/>
      <c r="SDJ98" s="58"/>
      <c r="SDK98" s="58"/>
      <c r="SDL98" s="58"/>
      <c r="SDM98" s="58"/>
      <c r="SDN98" s="58"/>
      <c r="SDO98" s="58"/>
      <c r="SDP98" s="58"/>
      <c r="SDQ98" s="58"/>
      <c r="SDR98" s="58"/>
      <c r="SDS98" s="58"/>
      <c r="SDT98" s="58"/>
      <c r="SDU98" s="58"/>
      <c r="SDV98" s="58"/>
      <c r="SDW98" s="58"/>
      <c r="SDX98" s="58"/>
      <c r="SDY98" s="58"/>
      <c r="SDZ98" s="58"/>
      <c r="SEA98" s="58"/>
      <c r="SEB98" s="58"/>
      <c r="SEC98" s="58"/>
      <c r="SED98" s="58"/>
      <c r="SEE98" s="58"/>
      <c r="SEF98" s="58"/>
      <c r="SEG98" s="58"/>
      <c r="SEH98" s="58"/>
      <c r="SEI98" s="58"/>
      <c r="SEJ98" s="58"/>
      <c r="SEK98" s="58"/>
      <c r="SEL98" s="58"/>
      <c r="SEM98" s="58"/>
      <c r="SEN98" s="58"/>
      <c r="SEO98" s="58"/>
      <c r="SEP98" s="58"/>
      <c r="SEQ98" s="58"/>
      <c r="SER98" s="58"/>
      <c r="SES98" s="58"/>
      <c r="SET98" s="58"/>
      <c r="SEU98" s="58"/>
      <c r="SEV98" s="58"/>
      <c r="SEW98" s="58"/>
      <c r="SEX98" s="58"/>
      <c r="SEY98" s="58"/>
      <c r="SEZ98" s="58"/>
      <c r="SFA98" s="58"/>
      <c r="SFB98" s="58"/>
      <c r="SFC98" s="58"/>
      <c r="SFD98" s="58"/>
      <c r="SFE98" s="58"/>
      <c r="SFF98" s="58"/>
      <c r="SFG98" s="58"/>
      <c r="SFH98" s="58"/>
      <c r="SFI98" s="58"/>
      <c r="SFJ98" s="58"/>
      <c r="SFK98" s="58"/>
      <c r="SFL98" s="58"/>
      <c r="SFM98" s="58"/>
      <c r="SFN98" s="58"/>
      <c r="SFO98" s="58"/>
      <c r="SFP98" s="58"/>
      <c r="SFQ98" s="58"/>
      <c r="SFR98" s="58"/>
      <c r="SFS98" s="58"/>
      <c r="SFT98" s="58"/>
      <c r="SFU98" s="58"/>
      <c r="SFV98" s="58"/>
      <c r="SFW98" s="58"/>
      <c r="SFX98" s="58"/>
      <c r="SFY98" s="58"/>
      <c r="SFZ98" s="58"/>
      <c r="SGA98" s="58"/>
      <c r="SGB98" s="58"/>
      <c r="SGC98" s="58"/>
      <c r="SGD98" s="58"/>
      <c r="SGE98" s="58"/>
      <c r="SGF98" s="58"/>
      <c r="SGG98" s="58"/>
      <c r="SGH98" s="58"/>
      <c r="SGI98" s="58"/>
      <c r="SGJ98" s="58"/>
      <c r="SGK98" s="58"/>
      <c r="SGL98" s="58"/>
      <c r="SGM98" s="58"/>
      <c r="SGN98" s="58"/>
      <c r="SGO98" s="58"/>
      <c r="SGP98" s="58"/>
      <c r="SGQ98" s="58"/>
      <c r="SGR98" s="58"/>
      <c r="SGS98" s="58"/>
      <c r="SGT98" s="58"/>
      <c r="SGU98" s="58"/>
      <c r="SGV98" s="58"/>
      <c r="SGW98" s="58"/>
      <c r="SGX98" s="58"/>
      <c r="SGY98" s="58"/>
      <c r="SGZ98" s="58"/>
      <c r="SHA98" s="58"/>
      <c r="SHB98" s="58"/>
      <c r="SHC98" s="58"/>
      <c r="SHD98" s="58"/>
      <c r="SHE98" s="58"/>
      <c r="SHF98" s="58"/>
      <c r="SHG98" s="58"/>
      <c r="SHH98" s="58"/>
      <c r="SHI98" s="58"/>
      <c r="SHJ98" s="58"/>
      <c r="SHK98" s="58"/>
      <c r="SHL98" s="58"/>
      <c r="SHM98" s="58"/>
      <c r="SHN98" s="58"/>
      <c r="SHO98" s="58"/>
      <c r="SHP98" s="58"/>
      <c r="SHQ98" s="58"/>
      <c r="SHR98" s="58"/>
      <c r="SHS98" s="58"/>
      <c r="SHT98" s="58"/>
      <c r="SHU98" s="58"/>
      <c r="SHV98" s="58"/>
      <c r="SHW98" s="58"/>
      <c r="SHX98" s="58"/>
      <c r="SHY98" s="58"/>
      <c r="SHZ98" s="58"/>
      <c r="SIA98" s="58"/>
      <c r="SIB98" s="58"/>
      <c r="SIC98" s="58"/>
      <c r="SID98" s="58"/>
      <c r="SIE98" s="58"/>
      <c r="SIF98" s="58"/>
      <c r="SIG98" s="58"/>
      <c r="SIH98" s="58"/>
      <c r="SII98" s="58"/>
      <c r="SIJ98" s="58"/>
      <c r="SIK98" s="58"/>
      <c r="SIL98" s="58"/>
      <c r="SIM98" s="58"/>
      <c r="SIN98" s="58"/>
      <c r="SIO98" s="58"/>
      <c r="SIP98" s="58"/>
      <c r="SIQ98" s="58"/>
      <c r="SIR98" s="58"/>
      <c r="SIS98" s="58"/>
      <c r="SIT98" s="58"/>
      <c r="SIU98" s="58"/>
      <c r="SIV98" s="58"/>
      <c r="SIW98" s="58"/>
      <c r="SIX98" s="58"/>
      <c r="SIY98" s="58"/>
      <c r="SIZ98" s="58"/>
      <c r="SJA98" s="58"/>
      <c r="SJB98" s="58"/>
      <c r="SJC98" s="58"/>
      <c r="SJD98" s="58"/>
      <c r="SJE98" s="58"/>
      <c r="SJF98" s="58"/>
      <c r="SJG98" s="58"/>
      <c r="SJH98" s="58"/>
      <c r="SJI98" s="58"/>
      <c r="SJJ98" s="58"/>
      <c r="SJK98" s="58"/>
      <c r="SJL98" s="58"/>
      <c r="SJM98" s="58"/>
      <c r="SJN98" s="58"/>
      <c r="SJO98" s="58"/>
      <c r="SJP98" s="58"/>
      <c r="SJQ98" s="58"/>
      <c r="SJR98" s="58"/>
      <c r="SJS98" s="58"/>
      <c r="SJT98" s="58"/>
      <c r="SJU98" s="58"/>
      <c r="SJV98" s="58"/>
      <c r="SJW98" s="58"/>
      <c r="SJX98" s="58"/>
      <c r="SJY98" s="58"/>
      <c r="SJZ98" s="58"/>
      <c r="SKA98" s="58"/>
      <c r="SKB98" s="58"/>
      <c r="SKC98" s="58"/>
      <c r="SKD98" s="58"/>
      <c r="SKE98" s="58"/>
      <c r="SKF98" s="58"/>
      <c r="SKG98" s="58"/>
      <c r="SKH98" s="58"/>
      <c r="SKI98" s="58"/>
      <c r="SKJ98" s="58"/>
      <c r="SKK98" s="58"/>
      <c r="SKL98" s="58"/>
      <c r="SKM98" s="58"/>
      <c r="SKN98" s="58"/>
      <c r="SKO98" s="58"/>
      <c r="SKP98" s="58"/>
      <c r="SKQ98" s="58"/>
      <c r="SKR98" s="58"/>
      <c r="SKS98" s="58"/>
      <c r="SKT98" s="58"/>
      <c r="SKU98" s="58"/>
      <c r="SKV98" s="58"/>
      <c r="SKW98" s="58"/>
      <c r="SKX98" s="58"/>
      <c r="SKY98" s="58"/>
      <c r="SKZ98" s="58"/>
      <c r="SLA98" s="58"/>
      <c r="SLB98" s="58"/>
      <c r="SLC98" s="58"/>
      <c r="SLD98" s="58"/>
      <c r="SLE98" s="58"/>
      <c r="SLF98" s="58"/>
      <c r="SLG98" s="58"/>
      <c r="SLH98" s="58"/>
      <c r="SLI98" s="58"/>
      <c r="SLJ98" s="58"/>
      <c r="SLK98" s="58"/>
      <c r="SLL98" s="58"/>
      <c r="SLM98" s="58"/>
      <c r="SLN98" s="58"/>
      <c r="SLO98" s="58"/>
      <c r="SLP98" s="58"/>
      <c r="SLQ98" s="58"/>
      <c r="SLR98" s="58"/>
      <c r="SLS98" s="58"/>
      <c r="SLT98" s="58"/>
      <c r="SLU98" s="58"/>
      <c r="SLV98" s="58"/>
      <c r="SLW98" s="58"/>
      <c r="SLX98" s="58"/>
      <c r="SLY98" s="58"/>
      <c r="SLZ98" s="58"/>
      <c r="SMA98" s="58"/>
      <c r="SMB98" s="58"/>
      <c r="SMC98" s="58"/>
      <c r="SMD98" s="58"/>
      <c r="SME98" s="58"/>
      <c r="SMF98" s="58"/>
      <c r="SMG98" s="58"/>
      <c r="SMH98" s="58"/>
      <c r="SMI98" s="58"/>
      <c r="SMJ98" s="58"/>
      <c r="SMK98" s="58"/>
      <c r="SML98" s="58"/>
      <c r="SMM98" s="58"/>
      <c r="SMN98" s="58"/>
      <c r="SMO98" s="58"/>
      <c r="SMP98" s="58"/>
      <c r="SMQ98" s="58"/>
      <c r="SMR98" s="58"/>
      <c r="SMS98" s="58"/>
      <c r="SMT98" s="58"/>
      <c r="SMU98" s="58"/>
      <c r="SMV98" s="58"/>
      <c r="SMW98" s="58"/>
      <c r="SMX98" s="58"/>
      <c r="SMY98" s="58"/>
      <c r="SMZ98" s="58"/>
      <c r="SNA98" s="58"/>
      <c r="SNB98" s="58"/>
      <c r="SNC98" s="58"/>
      <c r="SND98" s="58"/>
      <c r="SNE98" s="58"/>
      <c r="SNF98" s="58"/>
      <c r="SNG98" s="58"/>
      <c r="SNH98" s="58"/>
      <c r="SNI98" s="58"/>
      <c r="SNJ98" s="58"/>
      <c r="SNK98" s="58"/>
      <c r="SNL98" s="58"/>
      <c r="SNM98" s="58"/>
      <c r="SNN98" s="58"/>
      <c r="SNO98" s="58"/>
      <c r="SNP98" s="58"/>
      <c r="SNQ98" s="58"/>
      <c r="SNR98" s="58"/>
      <c r="SNS98" s="58"/>
      <c r="SNT98" s="58"/>
      <c r="SNU98" s="58"/>
      <c r="SNV98" s="58"/>
      <c r="SNW98" s="58"/>
      <c r="SNX98" s="58"/>
      <c r="SNY98" s="58"/>
      <c r="SNZ98" s="58"/>
      <c r="SOA98" s="58"/>
      <c r="SOB98" s="58"/>
      <c r="SOC98" s="58"/>
      <c r="SOD98" s="58"/>
      <c r="SOE98" s="58"/>
      <c r="SOF98" s="58"/>
      <c r="SOG98" s="58"/>
      <c r="SOH98" s="58"/>
      <c r="SOI98" s="58"/>
      <c r="SOJ98" s="58"/>
      <c r="SOK98" s="58"/>
      <c r="SOL98" s="58"/>
      <c r="SOM98" s="58"/>
      <c r="SON98" s="58"/>
      <c r="SOO98" s="58"/>
      <c r="SOP98" s="58"/>
      <c r="SOQ98" s="58"/>
      <c r="SOR98" s="58"/>
      <c r="SOS98" s="58"/>
      <c r="SOT98" s="58"/>
      <c r="SOU98" s="58"/>
      <c r="SOV98" s="58"/>
      <c r="SOW98" s="58"/>
      <c r="SOX98" s="58"/>
      <c r="SOY98" s="58"/>
      <c r="SOZ98" s="58"/>
      <c r="SPA98" s="58"/>
      <c r="SPB98" s="58"/>
      <c r="SPC98" s="58"/>
      <c r="SPD98" s="58"/>
      <c r="SPE98" s="58"/>
      <c r="SPF98" s="58"/>
      <c r="SPG98" s="58"/>
      <c r="SPH98" s="58"/>
      <c r="SPI98" s="58"/>
      <c r="SPJ98" s="58"/>
      <c r="SPK98" s="58"/>
      <c r="SPL98" s="58"/>
      <c r="SPM98" s="58"/>
      <c r="SPN98" s="58"/>
      <c r="SPO98" s="58"/>
      <c r="SPP98" s="58"/>
      <c r="SPQ98" s="58"/>
      <c r="SPR98" s="58"/>
      <c r="SPS98" s="58"/>
      <c r="SPT98" s="58"/>
      <c r="SPU98" s="58"/>
      <c r="SPV98" s="58"/>
      <c r="SPW98" s="58"/>
      <c r="SPX98" s="58"/>
      <c r="SPY98" s="58"/>
      <c r="SPZ98" s="58"/>
      <c r="SQA98" s="58"/>
      <c r="SQB98" s="58"/>
      <c r="SQC98" s="58"/>
      <c r="SQD98" s="58"/>
      <c r="SQE98" s="58"/>
      <c r="SQF98" s="58"/>
      <c r="SQG98" s="58"/>
      <c r="SQH98" s="58"/>
      <c r="SQI98" s="58"/>
      <c r="SQJ98" s="58"/>
      <c r="SQK98" s="58"/>
      <c r="SQL98" s="58"/>
      <c r="SQM98" s="58"/>
      <c r="SQN98" s="58"/>
      <c r="SQO98" s="58"/>
      <c r="SQP98" s="58"/>
      <c r="SQQ98" s="58"/>
      <c r="SQR98" s="58"/>
      <c r="SQS98" s="58"/>
      <c r="SQT98" s="58"/>
      <c r="SQU98" s="58"/>
      <c r="SQV98" s="58"/>
      <c r="SQW98" s="58"/>
      <c r="SQX98" s="58"/>
      <c r="SQY98" s="58"/>
      <c r="SQZ98" s="58"/>
      <c r="SRA98" s="58"/>
      <c r="SRB98" s="58"/>
      <c r="SRC98" s="58"/>
      <c r="SRD98" s="58"/>
      <c r="SRE98" s="58"/>
      <c r="SRF98" s="58"/>
      <c r="SRG98" s="58"/>
      <c r="SRH98" s="58"/>
      <c r="SRI98" s="58"/>
      <c r="SRJ98" s="58"/>
      <c r="SRK98" s="58"/>
      <c r="SRL98" s="58"/>
      <c r="SRM98" s="58"/>
      <c r="SRN98" s="58"/>
      <c r="SRO98" s="58"/>
      <c r="SRP98" s="58"/>
      <c r="SRQ98" s="58"/>
      <c r="SRR98" s="58"/>
      <c r="SRS98" s="58"/>
      <c r="SRT98" s="58"/>
      <c r="SRU98" s="58"/>
      <c r="SRV98" s="58"/>
      <c r="SRW98" s="58"/>
      <c r="SRX98" s="58"/>
      <c r="SRY98" s="58"/>
      <c r="SRZ98" s="58"/>
      <c r="SSA98" s="58"/>
      <c r="SSB98" s="58"/>
      <c r="SSC98" s="58"/>
      <c r="SSD98" s="58"/>
      <c r="SSE98" s="58"/>
      <c r="SSF98" s="58"/>
      <c r="SSG98" s="58"/>
      <c r="SSH98" s="58"/>
      <c r="SSI98" s="58"/>
      <c r="SSJ98" s="58"/>
      <c r="SSK98" s="58"/>
      <c r="SSL98" s="58"/>
      <c r="SSM98" s="58"/>
      <c r="SSN98" s="58"/>
      <c r="SSO98" s="58"/>
      <c r="SSP98" s="58"/>
      <c r="SSQ98" s="58"/>
      <c r="SSR98" s="58"/>
      <c r="SSS98" s="58"/>
      <c r="SST98" s="58"/>
      <c r="SSU98" s="58"/>
      <c r="SSV98" s="58"/>
      <c r="SSW98" s="58"/>
      <c r="SSX98" s="58"/>
      <c r="SSY98" s="58"/>
      <c r="SSZ98" s="58"/>
      <c r="STA98" s="58"/>
      <c r="STB98" s="58"/>
      <c r="STC98" s="58"/>
      <c r="STD98" s="58"/>
      <c r="STE98" s="58"/>
      <c r="STF98" s="58"/>
      <c r="STG98" s="58"/>
      <c r="STH98" s="58"/>
      <c r="STI98" s="58"/>
      <c r="STJ98" s="58"/>
      <c r="STK98" s="58"/>
      <c r="STL98" s="58"/>
      <c r="STM98" s="58"/>
      <c r="STN98" s="58"/>
      <c r="STO98" s="58"/>
      <c r="STP98" s="58"/>
      <c r="STQ98" s="58"/>
      <c r="STR98" s="58"/>
      <c r="STS98" s="58"/>
      <c r="STT98" s="58"/>
      <c r="STU98" s="58"/>
      <c r="STV98" s="58"/>
      <c r="STW98" s="58"/>
      <c r="STX98" s="58"/>
      <c r="STY98" s="58"/>
      <c r="STZ98" s="58"/>
      <c r="SUA98" s="58"/>
      <c r="SUB98" s="58"/>
      <c r="SUC98" s="58"/>
      <c r="SUD98" s="58"/>
      <c r="SUE98" s="58"/>
      <c r="SUF98" s="58"/>
      <c r="SUG98" s="58"/>
      <c r="SUH98" s="58"/>
      <c r="SUI98" s="58"/>
      <c r="SUJ98" s="58"/>
      <c r="SUK98" s="58"/>
      <c r="SUL98" s="58"/>
      <c r="SUM98" s="58"/>
      <c r="SUN98" s="58"/>
      <c r="SUO98" s="58"/>
      <c r="SUP98" s="58"/>
      <c r="SUQ98" s="58"/>
      <c r="SUR98" s="58"/>
      <c r="SUS98" s="58"/>
      <c r="SUT98" s="58"/>
      <c r="SUU98" s="58"/>
      <c r="SUV98" s="58"/>
      <c r="SUW98" s="58"/>
      <c r="SUX98" s="58"/>
      <c r="SUY98" s="58"/>
      <c r="SUZ98" s="58"/>
      <c r="SVA98" s="58"/>
      <c r="SVB98" s="58"/>
      <c r="SVC98" s="58"/>
      <c r="SVD98" s="58"/>
      <c r="SVE98" s="58"/>
      <c r="SVF98" s="58"/>
      <c r="SVG98" s="58"/>
      <c r="SVH98" s="58"/>
      <c r="SVI98" s="58"/>
      <c r="SVJ98" s="58"/>
      <c r="SVK98" s="58"/>
      <c r="SVL98" s="58"/>
      <c r="SVM98" s="58"/>
      <c r="SVN98" s="58"/>
      <c r="SVO98" s="58"/>
      <c r="SVP98" s="58"/>
      <c r="SVQ98" s="58"/>
      <c r="SVR98" s="58"/>
      <c r="SVS98" s="58"/>
      <c r="SVT98" s="58"/>
      <c r="SVU98" s="58"/>
      <c r="SVV98" s="58"/>
      <c r="SVW98" s="58"/>
      <c r="SVX98" s="58"/>
      <c r="SVY98" s="58"/>
      <c r="SVZ98" s="58"/>
      <c r="SWA98" s="58"/>
      <c r="SWB98" s="58"/>
      <c r="SWC98" s="58"/>
      <c r="SWD98" s="58"/>
      <c r="SWE98" s="58"/>
      <c r="SWF98" s="58"/>
      <c r="SWG98" s="58"/>
      <c r="SWH98" s="58"/>
      <c r="SWI98" s="58"/>
      <c r="SWJ98" s="58"/>
      <c r="SWK98" s="58"/>
      <c r="SWL98" s="58"/>
      <c r="SWM98" s="58"/>
      <c r="SWN98" s="58"/>
      <c r="SWO98" s="58"/>
      <c r="SWP98" s="58"/>
      <c r="SWQ98" s="58"/>
      <c r="SWR98" s="58"/>
      <c r="SWS98" s="58"/>
      <c r="SWT98" s="58"/>
      <c r="SWU98" s="58"/>
      <c r="SWV98" s="58"/>
      <c r="SWW98" s="58"/>
      <c r="SWX98" s="58"/>
      <c r="SWY98" s="58"/>
      <c r="SWZ98" s="58"/>
      <c r="SXA98" s="58"/>
      <c r="SXB98" s="58"/>
      <c r="SXC98" s="58"/>
      <c r="SXD98" s="58"/>
      <c r="SXE98" s="58"/>
      <c r="SXF98" s="58"/>
      <c r="SXG98" s="58"/>
      <c r="SXH98" s="58"/>
      <c r="SXI98" s="58"/>
      <c r="SXJ98" s="58"/>
      <c r="SXK98" s="58"/>
      <c r="SXL98" s="58"/>
      <c r="SXM98" s="58"/>
      <c r="SXN98" s="58"/>
      <c r="SXO98" s="58"/>
      <c r="SXP98" s="58"/>
      <c r="SXQ98" s="58"/>
      <c r="SXR98" s="58"/>
      <c r="SXS98" s="58"/>
      <c r="SXT98" s="58"/>
      <c r="SXU98" s="58"/>
      <c r="SXV98" s="58"/>
      <c r="SXW98" s="58"/>
      <c r="SXX98" s="58"/>
      <c r="SXY98" s="58"/>
      <c r="SXZ98" s="58"/>
      <c r="SYA98" s="58"/>
      <c r="SYB98" s="58"/>
      <c r="SYC98" s="58"/>
      <c r="SYD98" s="58"/>
      <c r="SYE98" s="58"/>
      <c r="SYF98" s="58"/>
      <c r="SYG98" s="58"/>
      <c r="SYH98" s="58"/>
      <c r="SYI98" s="58"/>
      <c r="SYJ98" s="58"/>
      <c r="SYK98" s="58"/>
      <c r="SYL98" s="58"/>
      <c r="SYM98" s="58"/>
      <c r="SYN98" s="58"/>
      <c r="SYO98" s="58"/>
      <c r="SYP98" s="58"/>
      <c r="SYQ98" s="58"/>
      <c r="SYR98" s="58"/>
      <c r="SYS98" s="58"/>
      <c r="SYT98" s="58"/>
      <c r="SYU98" s="58"/>
      <c r="SYV98" s="58"/>
      <c r="SYW98" s="58"/>
      <c r="SYX98" s="58"/>
      <c r="SYY98" s="58"/>
      <c r="SYZ98" s="58"/>
      <c r="SZA98" s="58"/>
      <c r="SZB98" s="58"/>
      <c r="SZC98" s="58"/>
      <c r="SZD98" s="58"/>
      <c r="SZE98" s="58"/>
      <c r="SZF98" s="58"/>
      <c r="SZG98" s="58"/>
      <c r="SZH98" s="58"/>
      <c r="SZI98" s="58"/>
      <c r="SZJ98" s="58"/>
      <c r="SZK98" s="58"/>
      <c r="SZL98" s="58"/>
      <c r="SZM98" s="58"/>
      <c r="SZN98" s="58"/>
      <c r="SZO98" s="58"/>
      <c r="SZP98" s="58"/>
      <c r="SZQ98" s="58"/>
      <c r="SZR98" s="58"/>
      <c r="SZS98" s="58"/>
      <c r="SZT98" s="58"/>
      <c r="SZU98" s="58"/>
      <c r="SZV98" s="58"/>
      <c r="SZW98" s="58"/>
      <c r="SZX98" s="58"/>
      <c r="SZY98" s="58"/>
      <c r="SZZ98" s="58"/>
      <c r="TAA98" s="58"/>
      <c r="TAB98" s="58"/>
      <c r="TAC98" s="58"/>
      <c r="TAD98" s="58"/>
      <c r="TAE98" s="58"/>
      <c r="TAF98" s="58"/>
      <c r="TAG98" s="58"/>
      <c r="TAH98" s="58"/>
      <c r="TAI98" s="58"/>
      <c r="TAJ98" s="58"/>
      <c r="TAK98" s="58"/>
      <c r="TAL98" s="58"/>
      <c r="TAM98" s="58"/>
      <c r="TAN98" s="58"/>
      <c r="TAO98" s="58"/>
      <c r="TAP98" s="58"/>
      <c r="TAQ98" s="58"/>
      <c r="TAR98" s="58"/>
      <c r="TAS98" s="58"/>
      <c r="TAT98" s="58"/>
      <c r="TAU98" s="58"/>
      <c r="TAV98" s="58"/>
      <c r="TAW98" s="58"/>
      <c r="TAX98" s="58"/>
      <c r="TAY98" s="58"/>
      <c r="TAZ98" s="58"/>
      <c r="TBA98" s="58"/>
      <c r="TBB98" s="58"/>
      <c r="TBC98" s="58"/>
      <c r="TBD98" s="58"/>
      <c r="TBE98" s="58"/>
      <c r="TBF98" s="58"/>
      <c r="TBG98" s="58"/>
      <c r="TBH98" s="58"/>
      <c r="TBI98" s="58"/>
      <c r="TBJ98" s="58"/>
      <c r="TBK98" s="58"/>
      <c r="TBL98" s="58"/>
      <c r="TBM98" s="58"/>
      <c r="TBN98" s="58"/>
      <c r="TBO98" s="58"/>
      <c r="TBP98" s="58"/>
      <c r="TBQ98" s="58"/>
      <c r="TBR98" s="58"/>
      <c r="TBS98" s="58"/>
      <c r="TBT98" s="58"/>
      <c r="TBU98" s="58"/>
      <c r="TBV98" s="58"/>
      <c r="TBW98" s="58"/>
      <c r="TBX98" s="58"/>
      <c r="TBY98" s="58"/>
      <c r="TBZ98" s="58"/>
      <c r="TCA98" s="58"/>
      <c r="TCB98" s="58"/>
      <c r="TCC98" s="58"/>
      <c r="TCD98" s="58"/>
      <c r="TCE98" s="58"/>
      <c r="TCF98" s="58"/>
      <c r="TCG98" s="58"/>
      <c r="TCH98" s="58"/>
      <c r="TCI98" s="58"/>
      <c r="TCJ98" s="58"/>
      <c r="TCK98" s="58"/>
      <c r="TCL98" s="58"/>
      <c r="TCM98" s="58"/>
      <c r="TCN98" s="58"/>
      <c r="TCO98" s="58"/>
      <c r="TCP98" s="58"/>
      <c r="TCQ98" s="58"/>
      <c r="TCR98" s="58"/>
      <c r="TCS98" s="58"/>
      <c r="TCT98" s="58"/>
      <c r="TCU98" s="58"/>
      <c r="TCV98" s="58"/>
      <c r="TCW98" s="58"/>
      <c r="TCX98" s="58"/>
      <c r="TCY98" s="58"/>
      <c r="TCZ98" s="58"/>
      <c r="TDA98" s="58"/>
      <c r="TDB98" s="58"/>
      <c r="TDC98" s="58"/>
      <c r="TDD98" s="58"/>
      <c r="TDE98" s="58"/>
      <c r="TDF98" s="58"/>
      <c r="TDG98" s="58"/>
      <c r="TDH98" s="58"/>
      <c r="TDI98" s="58"/>
      <c r="TDJ98" s="58"/>
      <c r="TDK98" s="58"/>
      <c r="TDL98" s="58"/>
      <c r="TDM98" s="58"/>
      <c r="TDN98" s="58"/>
      <c r="TDO98" s="58"/>
      <c r="TDP98" s="58"/>
      <c r="TDQ98" s="58"/>
      <c r="TDR98" s="58"/>
      <c r="TDS98" s="58"/>
      <c r="TDT98" s="58"/>
      <c r="TDU98" s="58"/>
      <c r="TDV98" s="58"/>
      <c r="TDW98" s="58"/>
      <c r="TDX98" s="58"/>
      <c r="TDY98" s="58"/>
      <c r="TDZ98" s="58"/>
      <c r="TEA98" s="58"/>
      <c r="TEB98" s="58"/>
      <c r="TEC98" s="58"/>
      <c r="TED98" s="58"/>
      <c r="TEE98" s="58"/>
      <c r="TEF98" s="58"/>
      <c r="TEG98" s="58"/>
      <c r="TEH98" s="58"/>
      <c r="TEI98" s="58"/>
      <c r="TEJ98" s="58"/>
      <c r="TEK98" s="58"/>
      <c r="TEL98" s="58"/>
      <c r="TEM98" s="58"/>
      <c r="TEN98" s="58"/>
      <c r="TEO98" s="58"/>
      <c r="TEP98" s="58"/>
      <c r="TEQ98" s="58"/>
      <c r="TER98" s="58"/>
      <c r="TES98" s="58"/>
      <c r="TET98" s="58"/>
      <c r="TEU98" s="58"/>
      <c r="TEV98" s="58"/>
      <c r="TEW98" s="58"/>
      <c r="TEX98" s="58"/>
      <c r="TEY98" s="58"/>
      <c r="TEZ98" s="58"/>
      <c r="TFA98" s="58"/>
      <c r="TFB98" s="58"/>
      <c r="TFC98" s="58"/>
      <c r="TFD98" s="58"/>
      <c r="TFE98" s="58"/>
      <c r="TFF98" s="58"/>
      <c r="TFG98" s="58"/>
      <c r="TFH98" s="58"/>
      <c r="TFI98" s="58"/>
      <c r="TFJ98" s="58"/>
      <c r="TFK98" s="58"/>
      <c r="TFL98" s="58"/>
      <c r="TFM98" s="58"/>
      <c r="TFN98" s="58"/>
      <c r="TFO98" s="58"/>
      <c r="TFP98" s="58"/>
      <c r="TFQ98" s="58"/>
      <c r="TFR98" s="58"/>
      <c r="TFS98" s="58"/>
      <c r="TFT98" s="58"/>
      <c r="TFU98" s="58"/>
      <c r="TFV98" s="58"/>
      <c r="TFW98" s="58"/>
      <c r="TFX98" s="58"/>
      <c r="TFY98" s="58"/>
      <c r="TFZ98" s="58"/>
      <c r="TGA98" s="58"/>
      <c r="TGB98" s="58"/>
      <c r="TGC98" s="58"/>
      <c r="TGD98" s="58"/>
      <c r="TGE98" s="58"/>
      <c r="TGF98" s="58"/>
      <c r="TGG98" s="58"/>
      <c r="TGH98" s="58"/>
      <c r="TGI98" s="58"/>
      <c r="TGJ98" s="58"/>
      <c r="TGK98" s="58"/>
      <c r="TGL98" s="58"/>
      <c r="TGM98" s="58"/>
      <c r="TGN98" s="58"/>
      <c r="TGO98" s="58"/>
      <c r="TGP98" s="58"/>
      <c r="TGQ98" s="58"/>
      <c r="TGR98" s="58"/>
      <c r="TGS98" s="58"/>
      <c r="TGT98" s="58"/>
      <c r="TGU98" s="58"/>
      <c r="TGV98" s="58"/>
      <c r="TGW98" s="58"/>
      <c r="TGX98" s="58"/>
      <c r="TGY98" s="58"/>
      <c r="TGZ98" s="58"/>
      <c r="THA98" s="58"/>
      <c r="THB98" s="58"/>
      <c r="THC98" s="58"/>
      <c r="THD98" s="58"/>
      <c r="THE98" s="58"/>
      <c r="THF98" s="58"/>
      <c r="THG98" s="58"/>
      <c r="THH98" s="58"/>
      <c r="THI98" s="58"/>
      <c r="THJ98" s="58"/>
      <c r="THK98" s="58"/>
      <c r="THL98" s="58"/>
      <c r="THM98" s="58"/>
      <c r="THN98" s="58"/>
      <c r="THO98" s="58"/>
      <c r="THP98" s="58"/>
      <c r="THQ98" s="58"/>
      <c r="THR98" s="58"/>
      <c r="THS98" s="58"/>
      <c r="THT98" s="58"/>
      <c r="THU98" s="58"/>
      <c r="THV98" s="58"/>
      <c r="THW98" s="58"/>
      <c r="THX98" s="58"/>
      <c r="THY98" s="58"/>
      <c r="THZ98" s="58"/>
      <c r="TIA98" s="58"/>
      <c r="TIB98" s="58"/>
      <c r="TIC98" s="58"/>
      <c r="TID98" s="58"/>
      <c r="TIE98" s="58"/>
      <c r="TIF98" s="58"/>
      <c r="TIG98" s="58"/>
      <c r="TIH98" s="58"/>
      <c r="TII98" s="58"/>
      <c r="TIJ98" s="58"/>
      <c r="TIK98" s="58"/>
      <c r="TIL98" s="58"/>
      <c r="TIM98" s="58"/>
      <c r="TIN98" s="58"/>
      <c r="TIO98" s="58"/>
      <c r="TIP98" s="58"/>
      <c r="TIQ98" s="58"/>
      <c r="TIR98" s="58"/>
      <c r="TIS98" s="58"/>
      <c r="TIT98" s="58"/>
      <c r="TIU98" s="58"/>
      <c r="TIV98" s="58"/>
      <c r="TIW98" s="58"/>
      <c r="TIX98" s="58"/>
      <c r="TIY98" s="58"/>
      <c r="TIZ98" s="58"/>
      <c r="TJA98" s="58"/>
      <c r="TJB98" s="58"/>
      <c r="TJC98" s="58"/>
      <c r="TJD98" s="58"/>
      <c r="TJE98" s="58"/>
      <c r="TJF98" s="58"/>
      <c r="TJG98" s="58"/>
      <c r="TJH98" s="58"/>
      <c r="TJI98" s="58"/>
      <c r="TJJ98" s="58"/>
      <c r="TJK98" s="58"/>
      <c r="TJL98" s="58"/>
      <c r="TJM98" s="58"/>
      <c r="TJN98" s="58"/>
      <c r="TJO98" s="58"/>
      <c r="TJP98" s="58"/>
      <c r="TJQ98" s="58"/>
      <c r="TJR98" s="58"/>
      <c r="TJS98" s="58"/>
      <c r="TJT98" s="58"/>
      <c r="TJU98" s="58"/>
      <c r="TJV98" s="58"/>
      <c r="TJW98" s="58"/>
      <c r="TJX98" s="58"/>
      <c r="TJY98" s="58"/>
      <c r="TJZ98" s="58"/>
      <c r="TKA98" s="58"/>
      <c r="TKB98" s="58"/>
      <c r="TKC98" s="58"/>
      <c r="TKD98" s="58"/>
      <c r="TKE98" s="58"/>
      <c r="TKF98" s="58"/>
      <c r="TKG98" s="58"/>
      <c r="TKH98" s="58"/>
      <c r="TKI98" s="58"/>
      <c r="TKJ98" s="58"/>
      <c r="TKK98" s="58"/>
      <c r="TKL98" s="58"/>
      <c r="TKM98" s="58"/>
      <c r="TKN98" s="58"/>
      <c r="TKO98" s="58"/>
      <c r="TKP98" s="58"/>
      <c r="TKQ98" s="58"/>
      <c r="TKR98" s="58"/>
      <c r="TKS98" s="58"/>
      <c r="TKT98" s="58"/>
      <c r="TKU98" s="58"/>
      <c r="TKV98" s="58"/>
      <c r="TKW98" s="58"/>
      <c r="TKX98" s="58"/>
      <c r="TKY98" s="58"/>
      <c r="TKZ98" s="58"/>
      <c r="TLA98" s="58"/>
      <c r="TLB98" s="58"/>
      <c r="TLC98" s="58"/>
      <c r="TLD98" s="58"/>
      <c r="TLE98" s="58"/>
      <c r="TLF98" s="58"/>
      <c r="TLG98" s="58"/>
      <c r="TLH98" s="58"/>
      <c r="TLI98" s="58"/>
      <c r="TLJ98" s="58"/>
      <c r="TLK98" s="58"/>
      <c r="TLL98" s="58"/>
      <c r="TLM98" s="58"/>
      <c r="TLN98" s="58"/>
      <c r="TLO98" s="58"/>
      <c r="TLP98" s="58"/>
      <c r="TLQ98" s="58"/>
      <c r="TLR98" s="58"/>
      <c r="TLS98" s="58"/>
      <c r="TLT98" s="58"/>
      <c r="TLU98" s="58"/>
      <c r="TLV98" s="58"/>
      <c r="TLW98" s="58"/>
      <c r="TLX98" s="58"/>
      <c r="TLY98" s="58"/>
      <c r="TLZ98" s="58"/>
      <c r="TMA98" s="58"/>
      <c r="TMB98" s="58"/>
      <c r="TMC98" s="58"/>
      <c r="TMD98" s="58"/>
      <c r="TME98" s="58"/>
      <c r="TMF98" s="58"/>
      <c r="TMG98" s="58"/>
      <c r="TMH98" s="58"/>
      <c r="TMI98" s="58"/>
      <c r="TMJ98" s="58"/>
      <c r="TMK98" s="58"/>
      <c r="TML98" s="58"/>
      <c r="TMM98" s="58"/>
      <c r="TMN98" s="58"/>
      <c r="TMO98" s="58"/>
      <c r="TMP98" s="58"/>
      <c r="TMQ98" s="58"/>
      <c r="TMR98" s="58"/>
      <c r="TMS98" s="58"/>
      <c r="TMT98" s="58"/>
      <c r="TMU98" s="58"/>
      <c r="TMV98" s="58"/>
      <c r="TMW98" s="58"/>
      <c r="TMX98" s="58"/>
      <c r="TMY98" s="58"/>
      <c r="TMZ98" s="58"/>
      <c r="TNA98" s="58"/>
      <c r="TNB98" s="58"/>
      <c r="TNC98" s="58"/>
      <c r="TND98" s="58"/>
      <c r="TNE98" s="58"/>
      <c r="TNF98" s="58"/>
      <c r="TNG98" s="58"/>
      <c r="TNH98" s="58"/>
      <c r="TNI98" s="58"/>
      <c r="TNJ98" s="58"/>
      <c r="TNK98" s="58"/>
      <c r="TNL98" s="58"/>
      <c r="TNM98" s="58"/>
      <c r="TNN98" s="58"/>
      <c r="TNO98" s="58"/>
      <c r="TNP98" s="58"/>
      <c r="TNQ98" s="58"/>
      <c r="TNR98" s="58"/>
      <c r="TNS98" s="58"/>
      <c r="TNT98" s="58"/>
      <c r="TNU98" s="58"/>
      <c r="TNV98" s="58"/>
      <c r="TNW98" s="58"/>
      <c r="TNX98" s="58"/>
      <c r="TNY98" s="58"/>
      <c r="TNZ98" s="58"/>
      <c r="TOA98" s="58"/>
      <c r="TOB98" s="58"/>
      <c r="TOC98" s="58"/>
      <c r="TOD98" s="58"/>
      <c r="TOE98" s="58"/>
      <c r="TOF98" s="58"/>
      <c r="TOG98" s="58"/>
      <c r="TOH98" s="58"/>
      <c r="TOI98" s="58"/>
      <c r="TOJ98" s="58"/>
      <c r="TOK98" s="58"/>
      <c r="TOL98" s="58"/>
      <c r="TOM98" s="58"/>
      <c r="TON98" s="58"/>
      <c r="TOO98" s="58"/>
      <c r="TOP98" s="58"/>
      <c r="TOQ98" s="58"/>
      <c r="TOR98" s="58"/>
      <c r="TOS98" s="58"/>
      <c r="TOT98" s="58"/>
      <c r="TOU98" s="58"/>
      <c r="TOV98" s="58"/>
      <c r="TOW98" s="58"/>
      <c r="TOX98" s="58"/>
      <c r="TOY98" s="58"/>
      <c r="TOZ98" s="58"/>
      <c r="TPA98" s="58"/>
      <c r="TPB98" s="58"/>
      <c r="TPC98" s="58"/>
      <c r="TPD98" s="58"/>
      <c r="TPE98" s="58"/>
      <c r="TPF98" s="58"/>
      <c r="TPG98" s="58"/>
      <c r="TPH98" s="58"/>
      <c r="TPI98" s="58"/>
      <c r="TPJ98" s="58"/>
      <c r="TPK98" s="58"/>
      <c r="TPL98" s="58"/>
      <c r="TPM98" s="58"/>
      <c r="TPN98" s="58"/>
      <c r="TPO98" s="58"/>
      <c r="TPP98" s="58"/>
      <c r="TPQ98" s="58"/>
      <c r="TPR98" s="58"/>
      <c r="TPS98" s="58"/>
      <c r="TPT98" s="58"/>
      <c r="TPU98" s="58"/>
      <c r="TPV98" s="58"/>
      <c r="TPW98" s="58"/>
      <c r="TPX98" s="58"/>
      <c r="TPY98" s="58"/>
      <c r="TPZ98" s="58"/>
      <c r="TQA98" s="58"/>
      <c r="TQB98" s="58"/>
      <c r="TQC98" s="58"/>
      <c r="TQD98" s="58"/>
      <c r="TQE98" s="58"/>
      <c r="TQF98" s="58"/>
      <c r="TQG98" s="58"/>
      <c r="TQH98" s="58"/>
      <c r="TQI98" s="58"/>
      <c r="TQJ98" s="58"/>
      <c r="TQK98" s="58"/>
      <c r="TQL98" s="58"/>
      <c r="TQM98" s="58"/>
      <c r="TQN98" s="58"/>
      <c r="TQO98" s="58"/>
      <c r="TQP98" s="58"/>
      <c r="TQQ98" s="58"/>
      <c r="TQR98" s="58"/>
      <c r="TQS98" s="58"/>
      <c r="TQT98" s="58"/>
      <c r="TQU98" s="58"/>
      <c r="TQV98" s="58"/>
      <c r="TQW98" s="58"/>
      <c r="TQX98" s="58"/>
      <c r="TQY98" s="58"/>
      <c r="TQZ98" s="58"/>
      <c r="TRA98" s="58"/>
      <c r="TRB98" s="58"/>
      <c r="TRC98" s="58"/>
      <c r="TRD98" s="58"/>
      <c r="TRE98" s="58"/>
      <c r="TRF98" s="58"/>
      <c r="TRG98" s="58"/>
      <c r="TRH98" s="58"/>
      <c r="TRI98" s="58"/>
      <c r="TRJ98" s="58"/>
      <c r="TRK98" s="58"/>
      <c r="TRL98" s="58"/>
      <c r="TRM98" s="58"/>
      <c r="TRN98" s="58"/>
      <c r="TRO98" s="58"/>
      <c r="TRP98" s="58"/>
      <c r="TRQ98" s="58"/>
      <c r="TRR98" s="58"/>
      <c r="TRS98" s="58"/>
      <c r="TRT98" s="58"/>
      <c r="TRU98" s="58"/>
      <c r="TRV98" s="58"/>
      <c r="TRW98" s="58"/>
      <c r="TRX98" s="58"/>
      <c r="TRY98" s="58"/>
      <c r="TRZ98" s="58"/>
      <c r="TSA98" s="58"/>
      <c r="TSB98" s="58"/>
      <c r="TSC98" s="58"/>
      <c r="TSD98" s="58"/>
      <c r="TSE98" s="58"/>
      <c r="TSF98" s="58"/>
      <c r="TSG98" s="58"/>
      <c r="TSH98" s="58"/>
      <c r="TSI98" s="58"/>
      <c r="TSJ98" s="58"/>
      <c r="TSK98" s="58"/>
      <c r="TSL98" s="58"/>
      <c r="TSM98" s="58"/>
      <c r="TSN98" s="58"/>
      <c r="TSO98" s="58"/>
      <c r="TSP98" s="58"/>
      <c r="TSQ98" s="58"/>
      <c r="TSR98" s="58"/>
      <c r="TSS98" s="58"/>
      <c r="TST98" s="58"/>
      <c r="TSU98" s="58"/>
      <c r="TSV98" s="58"/>
      <c r="TSW98" s="58"/>
      <c r="TSX98" s="58"/>
      <c r="TSY98" s="58"/>
      <c r="TSZ98" s="58"/>
      <c r="TTA98" s="58"/>
      <c r="TTB98" s="58"/>
      <c r="TTC98" s="58"/>
      <c r="TTD98" s="58"/>
      <c r="TTE98" s="58"/>
      <c r="TTF98" s="58"/>
      <c r="TTG98" s="58"/>
      <c r="TTH98" s="58"/>
      <c r="TTI98" s="58"/>
      <c r="TTJ98" s="58"/>
      <c r="TTK98" s="58"/>
      <c r="TTL98" s="58"/>
      <c r="TTM98" s="58"/>
      <c r="TTN98" s="58"/>
      <c r="TTO98" s="58"/>
      <c r="TTP98" s="58"/>
      <c r="TTQ98" s="58"/>
      <c r="TTR98" s="58"/>
      <c r="TTS98" s="58"/>
      <c r="TTT98" s="58"/>
      <c r="TTU98" s="58"/>
      <c r="TTV98" s="58"/>
      <c r="TTW98" s="58"/>
      <c r="TTX98" s="58"/>
      <c r="TTY98" s="58"/>
      <c r="TTZ98" s="58"/>
      <c r="TUA98" s="58"/>
      <c r="TUB98" s="58"/>
      <c r="TUC98" s="58"/>
      <c r="TUD98" s="58"/>
      <c r="TUE98" s="58"/>
      <c r="TUF98" s="58"/>
      <c r="TUG98" s="58"/>
      <c r="TUH98" s="58"/>
      <c r="TUI98" s="58"/>
      <c r="TUJ98" s="58"/>
      <c r="TUK98" s="58"/>
      <c r="TUL98" s="58"/>
      <c r="TUM98" s="58"/>
      <c r="TUN98" s="58"/>
      <c r="TUO98" s="58"/>
      <c r="TUP98" s="58"/>
      <c r="TUQ98" s="58"/>
      <c r="TUR98" s="58"/>
      <c r="TUS98" s="58"/>
      <c r="TUT98" s="58"/>
      <c r="TUU98" s="58"/>
      <c r="TUV98" s="58"/>
      <c r="TUW98" s="58"/>
      <c r="TUX98" s="58"/>
      <c r="TUY98" s="58"/>
      <c r="TUZ98" s="58"/>
      <c r="TVA98" s="58"/>
      <c r="TVB98" s="58"/>
      <c r="TVC98" s="58"/>
      <c r="TVD98" s="58"/>
      <c r="TVE98" s="58"/>
      <c r="TVF98" s="58"/>
      <c r="TVG98" s="58"/>
      <c r="TVH98" s="58"/>
      <c r="TVI98" s="58"/>
      <c r="TVJ98" s="58"/>
      <c r="TVK98" s="58"/>
      <c r="TVL98" s="58"/>
      <c r="TVM98" s="58"/>
      <c r="TVN98" s="58"/>
      <c r="TVO98" s="58"/>
      <c r="TVP98" s="58"/>
      <c r="TVQ98" s="58"/>
      <c r="TVR98" s="58"/>
      <c r="TVS98" s="58"/>
      <c r="TVT98" s="58"/>
      <c r="TVU98" s="58"/>
      <c r="TVV98" s="58"/>
      <c r="TVW98" s="58"/>
      <c r="TVX98" s="58"/>
      <c r="TVY98" s="58"/>
      <c r="TVZ98" s="58"/>
      <c r="TWA98" s="58"/>
      <c r="TWB98" s="58"/>
      <c r="TWC98" s="58"/>
      <c r="TWD98" s="58"/>
      <c r="TWE98" s="58"/>
      <c r="TWF98" s="58"/>
      <c r="TWG98" s="58"/>
      <c r="TWH98" s="58"/>
      <c r="TWI98" s="58"/>
      <c r="TWJ98" s="58"/>
      <c r="TWK98" s="58"/>
      <c r="TWL98" s="58"/>
      <c r="TWM98" s="58"/>
      <c r="TWN98" s="58"/>
      <c r="TWO98" s="58"/>
      <c r="TWP98" s="58"/>
      <c r="TWQ98" s="58"/>
      <c r="TWR98" s="58"/>
      <c r="TWS98" s="58"/>
      <c r="TWT98" s="58"/>
      <c r="TWU98" s="58"/>
      <c r="TWV98" s="58"/>
      <c r="TWW98" s="58"/>
      <c r="TWX98" s="58"/>
      <c r="TWY98" s="58"/>
      <c r="TWZ98" s="58"/>
      <c r="TXA98" s="58"/>
      <c r="TXB98" s="58"/>
      <c r="TXC98" s="58"/>
      <c r="TXD98" s="58"/>
      <c r="TXE98" s="58"/>
      <c r="TXF98" s="58"/>
      <c r="TXG98" s="58"/>
      <c r="TXH98" s="58"/>
      <c r="TXI98" s="58"/>
      <c r="TXJ98" s="58"/>
      <c r="TXK98" s="58"/>
      <c r="TXL98" s="58"/>
      <c r="TXM98" s="58"/>
      <c r="TXN98" s="58"/>
      <c r="TXO98" s="58"/>
      <c r="TXP98" s="58"/>
      <c r="TXQ98" s="58"/>
      <c r="TXR98" s="58"/>
      <c r="TXS98" s="58"/>
      <c r="TXT98" s="58"/>
      <c r="TXU98" s="58"/>
      <c r="TXV98" s="58"/>
      <c r="TXW98" s="58"/>
      <c r="TXX98" s="58"/>
      <c r="TXY98" s="58"/>
      <c r="TXZ98" s="58"/>
      <c r="TYA98" s="58"/>
      <c r="TYB98" s="58"/>
      <c r="TYC98" s="58"/>
      <c r="TYD98" s="58"/>
      <c r="TYE98" s="58"/>
      <c r="TYF98" s="58"/>
      <c r="TYG98" s="58"/>
      <c r="TYH98" s="58"/>
      <c r="TYI98" s="58"/>
      <c r="TYJ98" s="58"/>
      <c r="TYK98" s="58"/>
      <c r="TYL98" s="58"/>
      <c r="TYM98" s="58"/>
      <c r="TYN98" s="58"/>
      <c r="TYO98" s="58"/>
      <c r="TYP98" s="58"/>
      <c r="TYQ98" s="58"/>
      <c r="TYR98" s="58"/>
      <c r="TYS98" s="58"/>
      <c r="TYT98" s="58"/>
      <c r="TYU98" s="58"/>
      <c r="TYV98" s="58"/>
      <c r="TYW98" s="58"/>
      <c r="TYX98" s="58"/>
      <c r="TYY98" s="58"/>
      <c r="TYZ98" s="58"/>
      <c r="TZA98" s="58"/>
      <c r="TZB98" s="58"/>
      <c r="TZC98" s="58"/>
      <c r="TZD98" s="58"/>
      <c r="TZE98" s="58"/>
      <c r="TZF98" s="58"/>
      <c r="TZG98" s="58"/>
      <c r="TZH98" s="58"/>
      <c r="TZI98" s="58"/>
      <c r="TZJ98" s="58"/>
      <c r="TZK98" s="58"/>
      <c r="TZL98" s="58"/>
      <c r="TZM98" s="58"/>
      <c r="TZN98" s="58"/>
      <c r="TZO98" s="58"/>
      <c r="TZP98" s="58"/>
      <c r="TZQ98" s="58"/>
      <c r="TZR98" s="58"/>
      <c r="TZS98" s="58"/>
      <c r="TZT98" s="58"/>
      <c r="TZU98" s="58"/>
      <c r="TZV98" s="58"/>
      <c r="TZW98" s="58"/>
      <c r="TZX98" s="58"/>
      <c r="TZY98" s="58"/>
      <c r="TZZ98" s="58"/>
      <c r="UAA98" s="58"/>
      <c r="UAB98" s="58"/>
      <c r="UAC98" s="58"/>
      <c r="UAD98" s="58"/>
      <c r="UAE98" s="58"/>
      <c r="UAF98" s="58"/>
      <c r="UAG98" s="58"/>
      <c r="UAH98" s="58"/>
      <c r="UAI98" s="58"/>
      <c r="UAJ98" s="58"/>
      <c r="UAK98" s="58"/>
      <c r="UAL98" s="58"/>
      <c r="UAM98" s="58"/>
      <c r="UAN98" s="58"/>
      <c r="UAO98" s="58"/>
      <c r="UAP98" s="58"/>
      <c r="UAQ98" s="58"/>
      <c r="UAR98" s="58"/>
      <c r="UAS98" s="58"/>
      <c r="UAT98" s="58"/>
      <c r="UAU98" s="58"/>
      <c r="UAV98" s="58"/>
      <c r="UAW98" s="58"/>
      <c r="UAX98" s="58"/>
      <c r="UAY98" s="58"/>
      <c r="UAZ98" s="58"/>
      <c r="UBA98" s="58"/>
      <c r="UBB98" s="58"/>
      <c r="UBC98" s="58"/>
      <c r="UBD98" s="58"/>
      <c r="UBE98" s="58"/>
      <c r="UBF98" s="58"/>
      <c r="UBG98" s="58"/>
      <c r="UBH98" s="58"/>
      <c r="UBI98" s="58"/>
      <c r="UBJ98" s="58"/>
      <c r="UBK98" s="58"/>
      <c r="UBL98" s="58"/>
      <c r="UBM98" s="58"/>
      <c r="UBN98" s="58"/>
      <c r="UBO98" s="58"/>
      <c r="UBP98" s="58"/>
      <c r="UBQ98" s="58"/>
      <c r="UBR98" s="58"/>
      <c r="UBS98" s="58"/>
      <c r="UBT98" s="58"/>
      <c r="UBU98" s="58"/>
      <c r="UBV98" s="58"/>
      <c r="UBW98" s="58"/>
      <c r="UBX98" s="58"/>
      <c r="UBY98" s="58"/>
      <c r="UBZ98" s="58"/>
      <c r="UCA98" s="58"/>
      <c r="UCB98" s="58"/>
      <c r="UCC98" s="58"/>
      <c r="UCD98" s="58"/>
      <c r="UCE98" s="58"/>
      <c r="UCF98" s="58"/>
      <c r="UCG98" s="58"/>
      <c r="UCH98" s="58"/>
      <c r="UCI98" s="58"/>
      <c r="UCJ98" s="58"/>
      <c r="UCK98" s="58"/>
      <c r="UCL98" s="58"/>
      <c r="UCM98" s="58"/>
      <c r="UCN98" s="58"/>
      <c r="UCO98" s="58"/>
      <c r="UCP98" s="58"/>
      <c r="UCQ98" s="58"/>
      <c r="UCR98" s="58"/>
      <c r="UCS98" s="58"/>
      <c r="UCT98" s="58"/>
      <c r="UCU98" s="58"/>
      <c r="UCV98" s="58"/>
      <c r="UCW98" s="58"/>
      <c r="UCX98" s="58"/>
      <c r="UCY98" s="58"/>
      <c r="UCZ98" s="58"/>
      <c r="UDA98" s="58"/>
      <c r="UDB98" s="58"/>
      <c r="UDC98" s="58"/>
      <c r="UDD98" s="58"/>
      <c r="UDE98" s="58"/>
      <c r="UDF98" s="58"/>
      <c r="UDG98" s="58"/>
      <c r="UDH98" s="58"/>
      <c r="UDI98" s="58"/>
      <c r="UDJ98" s="58"/>
      <c r="UDK98" s="58"/>
      <c r="UDL98" s="58"/>
      <c r="UDM98" s="58"/>
      <c r="UDN98" s="58"/>
      <c r="UDO98" s="58"/>
      <c r="UDP98" s="58"/>
      <c r="UDQ98" s="58"/>
      <c r="UDR98" s="58"/>
      <c r="UDS98" s="58"/>
      <c r="UDT98" s="58"/>
      <c r="UDU98" s="58"/>
      <c r="UDV98" s="58"/>
      <c r="UDW98" s="58"/>
      <c r="UDX98" s="58"/>
      <c r="UDY98" s="58"/>
      <c r="UDZ98" s="58"/>
      <c r="UEA98" s="58"/>
      <c r="UEB98" s="58"/>
      <c r="UEC98" s="58"/>
      <c r="UED98" s="58"/>
      <c r="UEE98" s="58"/>
      <c r="UEF98" s="58"/>
      <c r="UEG98" s="58"/>
      <c r="UEH98" s="58"/>
      <c r="UEI98" s="58"/>
      <c r="UEJ98" s="58"/>
      <c r="UEK98" s="58"/>
      <c r="UEL98" s="58"/>
      <c r="UEM98" s="58"/>
      <c r="UEN98" s="58"/>
      <c r="UEO98" s="58"/>
      <c r="UEP98" s="58"/>
      <c r="UEQ98" s="58"/>
      <c r="UER98" s="58"/>
      <c r="UES98" s="58"/>
      <c r="UET98" s="58"/>
      <c r="UEU98" s="58"/>
      <c r="UEV98" s="58"/>
      <c r="UEW98" s="58"/>
      <c r="UEX98" s="58"/>
      <c r="UEY98" s="58"/>
      <c r="UEZ98" s="58"/>
      <c r="UFA98" s="58"/>
      <c r="UFB98" s="58"/>
      <c r="UFC98" s="58"/>
      <c r="UFD98" s="58"/>
      <c r="UFE98" s="58"/>
      <c r="UFF98" s="58"/>
      <c r="UFG98" s="58"/>
      <c r="UFH98" s="58"/>
      <c r="UFI98" s="58"/>
      <c r="UFJ98" s="58"/>
      <c r="UFK98" s="58"/>
      <c r="UFL98" s="58"/>
      <c r="UFM98" s="58"/>
      <c r="UFN98" s="58"/>
      <c r="UFO98" s="58"/>
      <c r="UFP98" s="58"/>
      <c r="UFQ98" s="58"/>
      <c r="UFR98" s="58"/>
      <c r="UFS98" s="58"/>
      <c r="UFT98" s="58"/>
      <c r="UFU98" s="58"/>
      <c r="UFV98" s="58"/>
      <c r="UFW98" s="58"/>
      <c r="UFX98" s="58"/>
      <c r="UFY98" s="58"/>
      <c r="UFZ98" s="58"/>
      <c r="UGA98" s="58"/>
      <c r="UGB98" s="58"/>
      <c r="UGC98" s="58"/>
      <c r="UGD98" s="58"/>
      <c r="UGE98" s="58"/>
      <c r="UGF98" s="58"/>
      <c r="UGG98" s="58"/>
      <c r="UGH98" s="58"/>
      <c r="UGI98" s="58"/>
      <c r="UGJ98" s="58"/>
      <c r="UGK98" s="58"/>
      <c r="UGL98" s="58"/>
      <c r="UGM98" s="58"/>
      <c r="UGN98" s="58"/>
      <c r="UGO98" s="58"/>
      <c r="UGP98" s="58"/>
      <c r="UGQ98" s="58"/>
      <c r="UGR98" s="58"/>
      <c r="UGS98" s="58"/>
      <c r="UGT98" s="58"/>
      <c r="UGU98" s="58"/>
      <c r="UGV98" s="58"/>
      <c r="UGW98" s="58"/>
      <c r="UGX98" s="58"/>
      <c r="UGY98" s="58"/>
      <c r="UGZ98" s="58"/>
      <c r="UHA98" s="58"/>
      <c r="UHB98" s="58"/>
      <c r="UHC98" s="58"/>
      <c r="UHD98" s="58"/>
      <c r="UHE98" s="58"/>
      <c r="UHF98" s="58"/>
      <c r="UHG98" s="58"/>
      <c r="UHH98" s="58"/>
      <c r="UHI98" s="58"/>
      <c r="UHJ98" s="58"/>
      <c r="UHK98" s="58"/>
      <c r="UHL98" s="58"/>
      <c r="UHM98" s="58"/>
      <c r="UHN98" s="58"/>
      <c r="UHO98" s="58"/>
      <c r="UHP98" s="58"/>
      <c r="UHQ98" s="58"/>
      <c r="UHR98" s="58"/>
      <c r="UHS98" s="58"/>
      <c r="UHT98" s="58"/>
      <c r="UHU98" s="58"/>
      <c r="UHV98" s="58"/>
      <c r="UHW98" s="58"/>
      <c r="UHX98" s="58"/>
      <c r="UHY98" s="58"/>
      <c r="UHZ98" s="58"/>
      <c r="UIA98" s="58"/>
      <c r="UIB98" s="58"/>
      <c r="UIC98" s="58"/>
      <c r="UID98" s="58"/>
      <c r="UIE98" s="58"/>
      <c r="UIF98" s="58"/>
      <c r="UIG98" s="58"/>
      <c r="UIH98" s="58"/>
      <c r="UII98" s="58"/>
      <c r="UIJ98" s="58"/>
      <c r="UIK98" s="58"/>
      <c r="UIL98" s="58"/>
      <c r="UIM98" s="58"/>
      <c r="UIN98" s="58"/>
      <c r="UIO98" s="58"/>
      <c r="UIP98" s="58"/>
      <c r="UIQ98" s="58"/>
      <c r="UIR98" s="58"/>
      <c r="UIS98" s="58"/>
      <c r="UIT98" s="58"/>
      <c r="UIU98" s="58"/>
      <c r="UIV98" s="58"/>
      <c r="UIW98" s="58"/>
      <c r="UIX98" s="58"/>
      <c r="UIY98" s="58"/>
      <c r="UIZ98" s="58"/>
      <c r="UJA98" s="58"/>
      <c r="UJB98" s="58"/>
      <c r="UJC98" s="58"/>
      <c r="UJD98" s="58"/>
      <c r="UJE98" s="58"/>
      <c r="UJF98" s="58"/>
      <c r="UJG98" s="58"/>
      <c r="UJH98" s="58"/>
      <c r="UJI98" s="58"/>
      <c r="UJJ98" s="58"/>
      <c r="UJK98" s="58"/>
      <c r="UJL98" s="58"/>
      <c r="UJM98" s="58"/>
      <c r="UJN98" s="58"/>
      <c r="UJO98" s="58"/>
      <c r="UJP98" s="58"/>
      <c r="UJQ98" s="58"/>
      <c r="UJR98" s="58"/>
      <c r="UJS98" s="58"/>
      <c r="UJT98" s="58"/>
      <c r="UJU98" s="58"/>
      <c r="UJV98" s="58"/>
      <c r="UJW98" s="58"/>
      <c r="UJX98" s="58"/>
      <c r="UJY98" s="58"/>
      <c r="UJZ98" s="58"/>
      <c r="UKA98" s="58"/>
      <c r="UKB98" s="58"/>
      <c r="UKC98" s="58"/>
      <c r="UKD98" s="58"/>
      <c r="UKE98" s="58"/>
      <c r="UKF98" s="58"/>
      <c r="UKG98" s="58"/>
      <c r="UKH98" s="58"/>
      <c r="UKI98" s="58"/>
      <c r="UKJ98" s="58"/>
      <c r="UKK98" s="58"/>
      <c r="UKL98" s="58"/>
      <c r="UKM98" s="58"/>
      <c r="UKN98" s="58"/>
      <c r="UKO98" s="58"/>
      <c r="UKP98" s="58"/>
      <c r="UKQ98" s="58"/>
      <c r="UKR98" s="58"/>
      <c r="UKS98" s="58"/>
      <c r="UKT98" s="58"/>
      <c r="UKU98" s="58"/>
      <c r="UKV98" s="58"/>
      <c r="UKW98" s="58"/>
      <c r="UKX98" s="58"/>
      <c r="UKY98" s="58"/>
      <c r="UKZ98" s="58"/>
      <c r="ULA98" s="58"/>
      <c r="ULB98" s="58"/>
      <c r="ULC98" s="58"/>
      <c r="ULD98" s="58"/>
      <c r="ULE98" s="58"/>
      <c r="ULF98" s="58"/>
      <c r="ULG98" s="58"/>
      <c r="ULH98" s="58"/>
      <c r="ULI98" s="58"/>
      <c r="ULJ98" s="58"/>
      <c r="ULK98" s="58"/>
      <c r="ULL98" s="58"/>
      <c r="ULM98" s="58"/>
      <c r="ULN98" s="58"/>
      <c r="ULO98" s="58"/>
      <c r="ULP98" s="58"/>
      <c r="ULQ98" s="58"/>
      <c r="ULR98" s="58"/>
      <c r="ULS98" s="58"/>
      <c r="ULT98" s="58"/>
      <c r="ULU98" s="58"/>
      <c r="ULV98" s="58"/>
      <c r="ULW98" s="58"/>
      <c r="ULX98" s="58"/>
      <c r="ULY98" s="58"/>
      <c r="ULZ98" s="58"/>
      <c r="UMA98" s="58"/>
      <c r="UMB98" s="58"/>
      <c r="UMC98" s="58"/>
      <c r="UMD98" s="58"/>
      <c r="UME98" s="58"/>
      <c r="UMF98" s="58"/>
      <c r="UMG98" s="58"/>
      <c r="UMH98" s="58"/>
      <c r="UMI98" s="58"/>
      <c r="UMJ98" s="58"/>
      <c r="UMK98" s="58"/>
      <c r="UML98" s="58"/>
      <c r="UMM98" s="58"/>
      <c r="UMN98" s="58"/>
      <c r="UMO98" s="58"/>
      <c r="UMP98" s="58"/>
      <c r="UMQ98" s="58"/>
      <c r="UMR98" s="58"/>
      <c r="UMS98" s="58"/>
      <c r="UMT98" s="58"/>
      <c r="UMU98" s="58"/>
      <c r="UMV98" s="58"/>
      <c r="UMW98" s="58"/>
      <c r="UMX98" s="58"/>
      <c r="UMY98" s="58"/>
      <c r="UMZ98" s="58"/>
      <c r="UNA98" s="58"/>
      <c r="UNB98" s="58"/>
      <c r="UNC98" s="58"/>
      <c r="UND98" s="58"/>
      <c r="UNE98" s="58"/>
      <c r="UNF98" s="58"/>
      <c r="UNG98" s="58"/>
      <c r="UNH98" s="58"/>
      <c r="UNI98" s="58"/>
      <c r="UNJ98" s="58"/>
      <c r="UNK98" s="58"/>
      <c r="UNL98" s="58"/>
      <c r="UNM98" s="58"/>
      <c r="UNN98" s="58"/>
      <c r="UNO98" s="58"/>
      <c r="UNP98" s="58"/>
      <c r="UNQ98" s="58"/>
      <c r="UNR98" s="58"/>
      <c r="UNS98" s="58"/>
      <c r="UNT98" s="58"/>
      <c r="UNU98" s="58"/>
      <c r="UNV98" s="58"/>
      <c r="UNW98" s="58"/>
      <c r="UNX98" s="58"/>
      <c r="UNY98" s="58"/>
      <c r="UNZ98" s="58"/>
      <c r="UOA98" s="58"/>
      <c r="UOB98" s="58"/>
      <c r="UOC98" s="58"/>
      <c r="UOD98" s="58"/>
      <c r="UOE98" s="58"/>
      <c r="UOF98" s="58"/>
      <c r="UOG98" s="58"/>
      <c r="UOH98" s="58"/>
      <c r="UOI98" s="58"/>
      <c r="UOJ98" s="58"/>
      <c r="UOK98" s="58"/>
      <c r="UOL98" s="58"/>
      <c r="UOM98" s="58"/>
      <c r="UON98" s="58"/>
      <c r="UOO98" s="58"/>
      <c r="UOP98" s="58"/>
      <c r="UOQ98" s="58"/>
      <c r="UOR98" s="58"/>
      <c r="UOS98" s="58"/>
      <c r="UOT98" s="58"/>
      <c r="UOU98" s="58"/>
      <c r="UOV98" s="58"/>
      <c r="UOW98" s="58"/>
      <c r="UOX98" s="58"/>
      <c r="UOY98" s="58"/>
      <c r="UOZ98" s="58"/>
      <c r="UPA98" s="58"/>
      <c r="UPB98" s="58"/>
      <c r="UPC98" s="58"/>
      <c r="UPD98" s="58"/>
      <c r="UPE98" s="58"/>
      <c r="UPF98" s="58"/>
      <c r="UPG98" s="58"/>
      <c r="UPH98" s="58"/>
      <c r="UPI98" s="58"/>
      <c r="UPJ98" s="58"/>
      <c r="UPK98" s="58"/>
      <c r="UPL98" s="58"/>
      <c r="UPM98" s="58"/>
      <c r="UPN98" s="58"/>
      <c r="UPO98" s="58"/>
      <c r="UPP98" s="58"/>
      <c r="UPQ98" s="58"/>
      <c r="UPR98" s="58"/>
      <c r="UPS98" s="58"/>
      <c r="UPT98" s="58"/>
      <c r="UPU98" s="58"/>
      <c r="UPV98" s="58"/>
      <c r="UPW98" s="58"/>
      <c r="UPX98" s="58"/>
      <c r="UPY98" s="58"/>
      <c r="UPZ98" s="58"/>
      <c r="UQA98" s="58"/>
      <c r="UQB98" s="58"/>
      <c r="UQC98" s="58"/>
      <c r="UQD98" s="58"/>
      <c r="UQE98" s="58"/>
      <c r="UQF98" s="58"/>
      <c r="UQG98" s="58"/>
      <c r="UQH98" s="58"/>
      <c r="UQI98" s="58"/>
      <c r="UQJ98" s="58"/>
      <c r="UQK98" s="58"/>
      <c r="UQL98" s="58"/>
      <c r="UQM98" s="58"/>
      <c r="UQN98" s="58"/>
      <c r="UQO98" s="58"/>
      <c r="UQP98" s="58"/>
      <c r="UQQ98" s="58"/>
      <c r="UQR98" s="58"/>
      <c r="UQS98" s="58"/>
      <c r="UQT98" s="58"/>
      <c r="UQU98" s="58"/>
      <c r="UQV98" s="58"/>
      <c r="UQW98" s="58"/>
      <c r="UQX98" s="58"/>
      <c r="UQY98" s="58"/>
      <c r="UQZ98" s="58"/>
      <c r="URA98" s="58"/>
      <c r="URB98" s="58"/>
      <c r="URC98" s="58"/>
      <c r="URD98" s="58"/>
      <c r="URE98" s="58"/>
      <c r="URF98" s="58"/>
      <c r="URG98" s="58"/>
      <c r="URH98" s="58"/>
      <c r="URI98" s="58"/>
      <c r="URJ98" s="58"/>
      <c r="URK98" s="58"/>
      <c r="URL98" s="58"/>
      <c r="URM98" s="58"/>
      <c r="URN98" s="58"/>
      <c r="URO98" s="58"/>
      <c r="URP98" s="58"/>
      <c r="URQ98" s="58"/>
      <c r="URR98" s="58"/>
      <c r="URS98" s="58"/>
      <c r="URT98" s="58"/>
      <c r="URU98" s="58"/>
      <c r="URV98" s="58"/>
      <c r="URW98" s="58"/>
      <c r="URX98" s="58"/>
      <c r="URY98" s="58"/>
      <c r="URZ98" s="58"/>
      <c r="USA98" s="58"/>
      <c r="USB98" s="58"/>
      <c r="USC98" s="58"/>
      <c r="USD98" s="58"/>
      <c r="USE98" s="58"/>
      <c r="USF98" s="58"/>
      <c r="USG98" s="58"/>
      <c r="USH98" s="58"/>
      <c r="USI98" s="58"/>
      <c r="USJ98" s="58"/>
      <c r="USK98" s="58"/>
      <c r="USL98" s="58"/>
      <c r="USM98" s="58"/>
      <c r="USN98" s="58"/>
      <c r="USO98" s="58"/>
      <c r="USP98" s="58"/>
      <c r="USQ98" s="58"/>
      <c r="USR98" s="58"/>
      <c r="USS98" s="58"/>
      <c r="UST98" s="58"/>
      <c r="USU98" s="58"/>
      <c r="USV98" s="58"/>
      <c r="USW98" s="58"/>
      <c r="USX98" s="58"/>
      <c r="USY98" s="58"/>
      <c r="USZ98" s="58"/>
      <c r="UTA98" s="58"/>
      <c r="UTB98" s="58"/>
      <c r="UTC98" s="58"/>
      <c r="UTD98" s="58"/>
      <c r="UTE98" s="58"/>
      <c r="UTF98" s="58"/>
      <c r="UTG98" s="58"/>
      <c r="UTH98" s="58"/>
      <c r="UTI98" s="58"/>
      <c r="UTJ98" s="58"/>
      <c r="UTK98" s="58"/>
      <c r="UTL98" s="58"/>
      <c r="UTM98" s="58"/>
      <c r="UTN98" s="58"/>
      <c r="UTO98" s="58"/>
      <c r="UTP98" s="58"/>
      <c r="UTQ98" s="58"/>
      <c r="UTR98" s="58"/>
      <c r="UTS98" s="58"/>
      <c r="UTT98" s="58"/>
      <c r="UTU98" s="58"/>
      <c r="UTV98" s="58"/>
      <c r="UTW98" s="58"/>
      <c r="UTX98" s="58"/>
      <c r="UTY98" s="58"/>
      <c r="UTZ98" s="58"/>
      <c r="UUA98" s="58"/>
      <c r="UUB98" s="58"/>
      <c r="UUC98" s="58"/>
      <c r="UUD98" s="58"/>
      <c r="UUE98" s="58"/>
      <c r="UUF98" s="58"/>
      <c r="UUG98" s="58"/>
      <c r="UUH98" s="58"/>
      <c r="UUI98" s="58"/>
      <c r="UUJ98" s="58"/>
      <c r="UUK98" s="58"/>
      <c r="UUL98" s="58"/>
      <c r="UUM98" s="58"/>
      <c r="UUN98" s="58"/>
      <c r="UUO98" s="58"/>
      <c r="UUP98" s="58"/>
      <c r="UUQ98" s="58"/>
      <c r="UUR98" s="58"/>
      <c r="UUS98" s="58"/>
      <c r="UUT98" s="58"/>
      <c r="UUU98" s="58"/>
      <c r="UUV98" s="58"/>
      <c r="UUW98" s="58"/>
      <c r="UUX98" s="58"/>
      <c r="UUY98" s="58"/>
      <c r="UUZ98" s="58"/>
      <c r="UVA98" s="58"/>
      <c r="UVB98" s="58"/>
      <c r="UVC98" s="58"/>
      <c r="UVD98" s="58"/>
      <c r="UVE98" s="58"/>
      <c r="UVF98" s="58"/>
      <c r="UVG98" s="58"/>
      <c r="UVH98" s="58"/>
      <c r="UVI98" s="58"/>
      <c r="UVJ98" s="58"/>
      <c r="UVK98" s="58"/>
      <c r="UVL98" s="58"/>
      <c r="UVM98" s="58"/>
      <c r="UVN98" s="58"/>
      <c r="UVO98" s="58"/>
      <c r="UVP98" s="58"/>
      <c r="UVQ98" s="58"/>
      <c r="UVR98" s="58"/>
      <c r="UVS98" s="58"/>
      <c r="UVT98" s="58"/>
      <c r="UVU98" s="58"/>
      <c r="UVV98" s="58"/>
      <c r="UVW98" s="58"/>
      <c r="UVX98" s="58"/>
      <c r="UVY98" s="58"/>
      <c r="UVZ98" s="58"/>
      <c r="UWA98" s="58"/>
      <c r="UWB98" s="58"/>
      <c r="UWC98" s="58"/>
      <c r="UWD98" s="58"/>
      <c r="UWE98" s="58"/>
      <c r="UWF98" s="58"/>
      <c r="UWG98" s="58"/>
      <c r="UWH98" s="58"/>
      <c r="UWI98" s="58"/>
      <c r="UWJ98" s="58"/>
      <c r="UWK98" s="58"/>
      <c r="UWL98" s="58"/>
      <c r="UWM98" s="58"/>
      <c r="UWN98" s="58"/>
      <c r="UWO98" s="58"/>
      <c r="UWP98" s="58"/>
      <c r="UWQ98" s="58"/>
      <c r="UWR98" s="58"/>
      <c r="UWS98" s="58"/>
      <c r="UWT98" s="58"/>
      <c r="UWU98" s="58"/>
      <c r="UWV98" s="58"/>
      <c r="UWW98" s="58"/>
      <c r="UWX98" s="58"/>
      <c r="UWY98" s="58"/>
      <c r="UWZ98" s="58"/>
      <c r="UXA98" s="58"/>
      <c r="UXB98" s="58"/>
      <c r="UXC98" s="58"/>
      <c r="UXD98" s="58"/>
      <c r="UXE98" s="58"/>
      <c r="UXF98" s="58"/>
      <c r="UXG98" s="58"/>
      <c r="UXH98" s="58"/>
      <c r="UXI98" s="58"/>
      <c r="UXJ98" s="58"/>
      <c r="UXK98" s="58"/>
      <c r="UXL98" s="58"/>
      <c r="UXM98" s="58"/>
      <c r="UXN98" s="58"/>
      <c r="UXO98" s="58"/>
      <c r="UXP98" s="58"/>
      <c r="UXQ98" s="58"/>
      <c r="UXR98" s="58"/>
      <c r="UXS98" s="58"/>
      <c r="UXT98" s="58"/>
      <c r="UXU98" s="58"/>
      <c r="UXV98" s="58"/>
      <c r="UXW98" s="58"/>
      <c r="UXX98" s="58"/>
      <c r="UXY98" s="58"/>
      <c r="UXZ98" s="58"/>
      <c r="UYA98" s="58"/>
      <c r="UYB98" s="58"/>
      <c r="UYC98" s="58"/>
      <c r="UYD98" s="58"/>
      <c r="UYE98" s="58"/>
      <c r="UYF98" s="58"/>
      <c r="UYG98" s="58"/>
      <c r="UYH98" s="58"/>
      <c r="UYI98" s="58"/>
      <c r="UYJ98" s="58"/>
      <c r="UYK98" s="58"/>
      <c r="UYL98" s="58"/>
      <c r="UYM98" s="58"/>
      <c r="UYN98" s="58"/>
      <c r="UYO98" s="58"/>
      <c r="UYP98" s="58"/>
      <c r="UYQ98" s="58"/>
      <c r="UYR98" s="58"/>
      <c r="UYS98" s="58"/>
      <c r="UYT98" s="58"/>
      <c r="UYU98" s="58"/>
      <c r="UYV98" s="58"/>
      <c r="UYW98" s="58"/>
      <c r="UYX98" s="58"/>
      <c r="UYY98" s="58"/>
      <c r="UYZ98" s="58"/>
      <c r="UZA98" s="58"/>
      <c r="UZB98" s="58"/>
      <c r="UZC98" s="58"/>
      <c r="UZD98" s="58"/>
      <c r="UZE98" s="58"/>
      <c r="UZF98" s="58"/>
      <c r="UZG98" s="58"/>
      <c r="UZH98" s="58"/>
      <c r="UZI98" s="58"/>
      <c r="UZJ98" s="58"/>
      <c r="UZK98" s="58"/>
      <c r="UZL98" s="58"/>
      <c r="UZM98" s="58"/>
      <c r="UZN98" s="58"/>
      <c r="UZO98" s="58"/>
      <c r="UZP98" s="58"/>
      <c r="UZQ98" s="58"/>
      <c r="UZR98" s="58"/>
      <c r="UZS98" s="58"/>
      <c r="UZT98" s="58"/>
      <c r="UZU98" s="58"/>
      <c r="UZV98" s="58"/>
      <c r="UZW98" s="58"/>
      <c r="UZX98" s="58"/>
      <c r="UZY98" s="58"/>
      <c r="UZZ98" s="58"/>
      <c r="VAA98" s="58"/>
      <c r="VAB98" s="58"/>
      <c r="VAC98" s="58"/>
      <c r="VAD98" s="58"/>
      <c r="VAE98" s="58"/>
      <c r="VAF98" s="58"/>
      <c r="VAG98" s="58"/>
      <c r="VAH98" s="58"/>
      <c r="VAI98" s="58"/>
      <c r="VAJ98" s="58"/>
      <c r="VAK98" s="58"/>
      <c r="VAL98" s="58"/>
      <c r="VAM98" s="58"/>
      <c r="VAN98" s="58"/>
      <c r="VAO98" s="58"/>
      <c r="VAP98" s="58"/>
      <c r="VAQ98" s="58"/>
      <c r="VAR98" s="58"/>
      <c r="VAS98" s="58"/>
      <c r="VAT98" s="58"/>
      <c r="VAU98" s="58"/>
      <c r="VAV98" s="58"/>
      <c r="VAW98" s="58"/>
      <c r="VAX98" s="58"/>
      <c r="VAY98" s="58"/>
      <c r="VAZ98" s="58"/>
      <c r="VBA98" s="58"/>
      <c r="VBB98" s="58"/>
      <c r="VBC98" s="58"/>
      <c r="VBD98" s="58"/>
      <c r="VBE98" s="58"/>
      <c r="VBF98" s="58"/>
      <c r="VBG98" s="58"/>
      <c r="VBH98" s="58"/>
      <c r="VBI98" s="58"/>
      <c r="VBJ98" s="58"/>
      <c r="VBK98" s="58"/>
      <c r="VBL98" s="58"/>
      <c r="VBM98" s="58"/>
      <c r="VBN98" s="58"/>
      <c r="VBO98" s="58"/>
      <c r="VBP98" s="58"/>
      <c r="VBQ98" s="58"/>
      <c r="VBR98" s="58"/>
      <c r="VBS98" s="58"/>
      <c r="VBT98" s="58"/>
      <c r="VBU98" s="58"/>
      <c r="VBV98" s="58"/>
      <c r="VBW98" s="58"/>
      <c r="VBX98" s="58"/>
      <c r="VBY98" s="58"/>
      <c r="VBZ98" s="58"/>
      <c r="VCA98" s="58"/>
      <c r="VCB98" s="58"/>
      <c r="VCC98" s="58"/>
      <c r="VCD98" s="58"/>
      <c r="VCE98" s="58"/>
      <c r="VCF98" s="58"/>
      <c r="VCG98" s="58"/>
      <c r="VCH98" s="58"/>
      <c r="VCI98" s="58"/>
      <c r="VCJ98" s="58"/>
      <c r="VCK98" s="58"/>
      <c r="VCL98" s="58"/>
      <c r="VCM98" s="58"/>
      <c r="VCN98" s="58"/>
      <c r="VCO98" s="58"/>
      <c r="VCP98" s="58"/>
      <c r="VCQ98" s="58"/>
      <c r="VCR98" s="58"/>
      <c r="VCS98" s="58"/>
      <c r="VCT98" s="58"/>
      <c r="VCU98" s="58"/>
      <c r="VCV98" s="58"/>
      <c r="VCW98" s="58"/>
      <c r="VCX98" s="58"/>
      <c r="VCY98" s="58"/>
      <c r="VCZ98" s="58"/>
      <c r="VDA98" s="58"/>
      <c r="VDB98" s="58"/>
      <c r="VDC98" s="58"/>
      <c r="VDD98" s="58"/>
      <c r="VDE98" s="58"/>
      <c r="VDF98" s="58"/>
      <c r="VDG98" s="58"/>
      <c r="VDH98" s="58"/>
      <c r="VDI98" s="58"/>
      <c r="VDJ98" s="58"/>
      <c r="VDK98" s="58"/>
      <c r="VDL98" s="58"/>
      <c r="VDM98" s="58"/>
      <c r="VDN98" s="58"/>
      <c r="VDO98" s="58"/>
      <c r="VDP98" s="58"/>
      <c r="VDQ98" s="58"/>
      <c r="VDR98" s="58"/>
      <c r="VDS98" s="58"/>
      <c r="VDT98" s="58"/>
      <c r="VDU98" s="58"/>
      <c r="VDV98" s="58"/>
      <c r="VDW98" s="58"/>
      <c r="VDX98" s="58"/>
      <c r="VDY98" s="58"/>
      <c r="VDZ98" s="58"/>
      <c r="VEA98" s="58"/>
      <c r="VEB98" s="58"/>
      <c r="VEC98" s="58"/>
      <c r="VED98" s="58"/>
      <c r="VEE98" s="58"/>
      <c r="VEF98" s="58"/>
      <c r="VEG98" s="58"/>
      <c r="VEH98" s="58"/>
      <c r="VEI98" s="58"/>
      <c r="VEJ98" s="58"/>
      <c r="VEK98" s="58"/>
      <c r="VEL98" s="58"/>
      <c r="VEM98" s="58"/>
      <c r="VEN98" s="58"/>
      <c r="VEO98" s="58"/>
      <c r="VEP98" s="58"/>
      <c r="VEQ98" s="58"/>
      <c r="VER98" s="58"/>
      <c r="VES98" s="58"/>
      <c r="VET98" s="58"/>
      <c r="VEU98" s="58"/>
      <c r="VEV98" s="58"/>
      <c r="VEW98" s="58"/>
      <c r="VEX98" s="58"/>
      <c r="VEY98" s="58"/>
      <c r="VEZ98" s="58"/>
      <c r="VFA98" s="58"/>
      <c r="VFB98" s="58"/>
      <c r="VFC98" s="58"/>
      <c r="VFD98" s="58"/>
      <c r="VFE98" s="58"/>
      <c r="VFF98" s="58"/>
      <c r="VFG98" s="58"/>
      <c r="VFH98" s="58"/>
      <c r="VFI98" s="58"/>
      <c r="VFJ98" s="58"/>
      <c r="VFK98" s="58"/>
      <c r="VFL98" s="58"/>
      <c r="VFM98" s="58"/>
      <c r="VFN98" s="58"/>
      <c r="VFO98" s="58"/>
      <c r="VFP98" s="58"/>
      <c r="VFQ98" s="58"/>
      <c r="VFR98" s="58"/>
      <c r="VFS98" s="58"/>
      <c r="VFT98" s="58"/>
      <c r="VFU98" s="58"/>
      <c r="VFV98" s="58"/>
      <c r="VFW98" s="58"/>
      <c r="VFX98" s="58"/>
      <c r="VFY98" s="58"/>
      <c r="VFZ98" s="58"/>
      <c r="VGA98" s="58"/>
      <c r="VGB98" s="58"/>
      <c r="VGC98" s="58"/>
      <c r="VGD98" s="58"/>
      <c r="VGE98" s="58"/>
      <c r="VGF98" s="58"/>
      <c r="VGG98" s="58"/>
      <c r="VGH98" s="58"/>
      <c r="VGI98" s="58"/>
      <c r="VGJ98" s="58"/>
      <c r="VGK98" s="58"/>
      <c r="VGL98" s="58"/>
      <c r="VGM98" s="58"/>
      <c r="VGN98" s="58"/>
      <c r="VGO98" s="58"/>
      <c r="VGP98" s="58"/>
      <c r="VGQ98" s="58"/>
      <c r="VGR98" s="58"/>
      <c r="VGS98" s="58"/>
      <c r="VGT98" s="58"/>
      <c r="VGU98" s="58"/>
      <c r="VGV98" s="58"/>
      <c r="VGW98" s="58"/>
      <c r="VGX98" s="58"/>
      <c r="VGY98" s="58"/>
      <c r="VGZ98" s="58"/>
      <c r="VHA98" s="58"/>
      <c r="VHB98" s="58"/>
      <c r="VHC98" s="58"/>
      <c r="VHD98" s="58"/>
      <c r="VHE98" s="58"/>
      <c r="VHF98" s="58"/>
      <c r="VHG98" s="58"/>
      <c r="VHH98" s="58"/>
      <c r="VHI98" s="58"/>
      <c r="VHJ98" s="58"/>
      <c r="VHK98" s="58"/>
      <c r="VHL98" s="58"/>
      <c r="VHM98" s="58"/>
      <c r="VHN98" s="58"/>
      <c r="VHO98" s="58"/>
      <c r="VHP98" s="58"/>
      <c r="VHQ98" s="58"/>
      <c r="VHR98" s="58"/>
      <c r="VHS98" s="58"/>
      <c r="VHT98" s="58"/>
      <c r="VHU98" s="58"/>
      <c r="VHV98" s="58"/>
      <c r="VHW98" s="58"/>
      <c r="VHX98" s="58"/>
      <c r="VHY98" s="58"/>
      <c r="VHZ98" s="58"/>
      <c r="VIA98" s="58"/>
      <c r="VIB98" s="58"/>
      <c r="VIC98" s="58"/>
      <c r="VID98" s="58"/>
      <c r="VIE98" s="58"/>
      <c r="VIF98" s="58"/>
      <c r="VIG98" s="58"/>
      <c r="VIH98" s="58"/>
      <c r="VII98" s="58"/>
      <c r="VIJ98" s="58"/>
      <c r="VIK98" s="58"/>
      <c r="VIL98" s="58"/>
      <c r="VIM98" s="58"/>
      <c r="VIN98" s="58"/>
      <c r="VIO98" s="58"/>
      <c r="VIP98" s="58"/>
      <c r="VIQ98" s="58"/>
      <c r="VIR98" s="58"/>
      <c r="VIS98" s="58"/>
      <c r="VIT98" s="58"/>
      <c r="VIU98" s="58"/>
      <c r="VIV98" s="58"/>
      <c r="VIW98" s="58"/>
      <c r="VIX98" s="58"/>
      <c r="VIY98" s="58"/>
      <c r="VIZ98" s="58"/>
      <c r="VJA98" s="58"/>
      <c r="VJB98" s="58"/>
      <c r="VJC98" s="58"/>
      <c r="VJD98" s="58"/>
      <c r="VJE98" s="58"/>
      <c r="VJF98" s="58"/>
      <c r="VJG98" s="58"/>
      <c r="VJH98" s="58"/>
      <c r="VJI98" s="58"/>
      <c r="VJJ98" s="58"/>
      <c r="VJK98" s="58"/>
      <c r="VJL98" s="58"/>
      <c r="VJM98" s="58"/>
      <c r="VJN98" s="58"/>
      <c r="VJO98" s="58"/>
      <c r="VJP98" s="58"/>
      <c r="VJQ98" s="58"/>
      <c r="VJR98" s="58"/>
      <c r="VJS98" s="58"/>
      <c r="VJT98" s="58"/>
      <c r="VJU98" s="58"/>
      <c r="VJV98" s="58"/>
      <c r="VJW98" s="58"/>
      <c r="VJX98" s="58"/>
      <c r="VJY98" s="58"/>
      <c r="VJZ98" s="58"/>
      <c r="VKA98" s="58"/>
      <c r="VKB98" s="58"/>
      <c r="VKC98" s="58"/>
      <c r="VKD98" s="58"/>
      <c r="VKE98" s="58"/>
      <c r="VKF98" s="58"/>
      <c r="VKG98" s="58"/>
      <c r="VKH98" s="58"/>
      <c r="VKI98" s="58"/>
      <c r="VKJ98" s="58"/>
      <c r="VKK98" s="58"/>
      <c r="VKL98" s="58"/>
      <c r="VKM98" s="58"/>
      <c r="VKN98" s="58"/>
      <c r="VKO98" s="58"/>
      <c r="VKP98" s="58"/>
      <c r="VKQ98" s="58"/>
      <c r="VKR98" s="58"/>
      <c r="VKS98" s="58"/>
      <c r="VKT98" s="58"/>
      <c r="VKU98" s="58"/>
      <c r="VKV98" s="58"/>
      <c r="VKW98" s="58"/>
      <c r="VKX98" s="58"/>
      <c r="VKY98" s="58"/>
      <c r="VKZ98" s="58"/>
      <c r="VLA98" s="58"/>
      <c r="VLB98" s="58"/>
      <c r="VLC98" s="58"/>
      <c r="VLD98" s="58"/>
      <c r="VLE98" s="58"/>
      <c r="VLF98" s="58"/>
      <c r="VLG98" s="58"/>
      <c r="VLH98" s="58"/>
      <c r="VLI98" s="58"/>
      <c r="VLJ98" s="58"/>
      <c r="VLK98" s="58"/>
      <c r="VLL98" s="58"/>
      <c r="VLM98" s="58"/>
      <c r="VLN98" s="58"/>
      <c r="VLO98" s="58"/>
      <c r="VLP98" s="58"/>
      <c r="VLQ98" s="58"/>
      <c r="VLR98" s="58"/>
      <c r="VLS98" s="58"/>
      <c r="VLT98" s="58"/>
      <c r="VLU98" s="58"/>
      <c r="VLV98" s="58"/>
      <c r="VLW98" s="58"/>
      <c r="VLX98" s="58"/>
      <c r="VLY98" s="58"/>
      <c r="VLZ98" s="58"/>
      <c r="VMA98" s="58"/>
      <c r="VMB98" s="58"/>
      <c r="VMC98" s="58"/>
      <c r="VMD98" s="58"/>
      <c r="VME98" s="58"/>
      <c r="VMF98" s="58"/>
      <c r="VMG98" s="58"/>
      <c r="VMH98" s="58"/>
      <c r="VMI98" s="58"/>
      <c r="VMJ98" s="58"/>
      <c r="VMK98" s="58"/>
      <c r="VML98" s="58"/>
      <c r="VMM98" s="58"/>
      <c r="VMN98" s="58"/>
      <c r="VMO98" s="58"/>
      <c r="VMP98" s="58"/>
      <c r="VMQ98" s="58"/>
      <c r="VMR98" s="58"/>
      <c r="VMS98" s="58"/>
      <c r="VMT98" s="58"/>
      <c r="VMU98" s="58"/>
      <c r="VMV98" s="58"/>
      <c r="VMW98" s="58"/>
      <c r="VMX98" s="58"/>
      <c r="VMY98" s="58"/>
      <c r="VMZ98" s="58"/>
      <c r="VNA98" s="58"/>
      <c r="VNB98" s="58"/>
      <c r="VNC98" s="58"/>
      <c r="VND98" s="58"/>
      <c r="VNE98" s="58"/>
      <c r="VNF98" s="58"/>
      <c r="VNG98" s="58"/>
      <c r="VNH98" s="58"/>
      <c r="VNI98" s="58"/>
      <c r="VNJ98" s="58"/>
      <c r="VNK98" s="58"/>
      <c r="VNL98" s="58"/>
      <c r="VNM98" s="58"/>
      <c r="VNN98" s="58"/>
      <c r="VNO98" s="58"/>
      <c r="VNP98" s="58"/>
      <c r="VNQ98" s="58"/>
      <c r="VNR98" s="58"/>
      <c r="VNS98" s="58"/>
      <c r="VNT98" s="58"/>
      <c r="VNU98" s="58"/>
      <c r="VNV98" s="58"/>
      <c r="VNW98" s="58"/>
      <c r="VNX98" s="58"/>
      <c r="VNY98" s="58"/>
      <c r="VNZ98" s="58"/>
      <c r="VOA98" s="58"/>
      <c r="VOB98" s="58"/>
      <c r="VOC98" s="58"/>
      <c r="VOD98" s="58"/>
      <c r="VOE98" s="58"/>
      <c r="VOF98" s="58"/>
      <c r="VOG98" s="58"/>
      <c r="VOH98" s="58"/>
      <c r="VOI98" s="58"/>
      <c r="VOJ98" s="58"/>
      <c r="VOK98" s="58"/>
      <c r="VOL98" s="58"/>
      <c r="VOM98" s="58"/>
      <c r="VON98" s="58"/>
      <c r="VOO98" s="58"/>
      <c r="VOP98" s="58"/>
      <c r="VOQ98" s="58"/>
      <c r="VOR98" s="58"/>
      <c r="VOS98" s="58"/>
      <c r="VOT98" s="58"/>
      <c r="VOU98" s="58"/>
      <c r="VOV98" s="58"/>
      <c r="VOW98" s="58"/>
      <c r="VOX98" s="58"/>
      <c r="VOY98" s="58"/>
      <c r="VOZ98" s="58"/>
      <c r="VPA98" s="58"/>
      <c r="VPB98" s="58"/>
      <c r="VPC98" s="58"/>
      <c r="VPD98" s="58"/>
      <c r="VPE98" s="58"/>
      <c r="VPF98" s="58"/>
      <c r="VPG98" s="58"/>
      <c r="VPH98" s="58"/>
      <c r="VPI98" s="58"/>
      <c r="VPJ98" s="58"/>
      <c r="VPK98" s="58"/>
      <c r="VPL98" s="58"/>
      <c r="VPM98" s="58"/>
      <c r="VPN98" s="58"/>
      <c r="VPO98" s="58"/>
      <c r="VPP98" s="58"/>
      <c r="VPQ98" s="58"/>
      <c r="VPR98" s="58"/>
      <c r="VPS98" s="58"/>
      <c r="VPT98" s="58"/>
      <c r="VPU98" s="58"/>
      <c r="VPV98" s="58"/>
      <c r="VPW98" s="58"/>
      <c r="VPX98" s="58"/>
      <c r="VPY98" s="58"/>
      <c r="VPZ98" s="58"/>
      <c r="VQA98" s="58"/>
      <c r="VQB98" s="58"/>
      <c r="VQC98" s="58"/>
      <c r="VQD98" s="58"/>
      <c r="VQE98" s="58"/>
      <c r="VQF98" s="58"/>
      <c r="VQG98" s="58"/>
      <c r="VQH98" s="58"/>
      <c r="VQI98" s="58"/>
      <c r="VQJ98" s="58"/>
      <c r="VQK98" s="58"/>
      <c r="VQL98" s="58"/>
      <c r="VQM98" s="58"/>
      <c r="VQN98" s="58"/>
      <c r="VQO98" s="58"/>
      <c r="VQP98" s="58"/>
      <c r="VQQ98" s="58"/>
      <c r="VQR98" s="58"/>
      <c r="VQS98" s="58"/>
      <c r="VQT98" s="58"/>
      <c r="VQU98" s="58"/>
      <c r="VQV98" s="58"/>
      <c r="VQW98" s="58"/>
      <c r="VQX98" s="58"/>
      <c r="VQY98" s="58"/>
      <c r="VQZ98" s="58"/>
      <c r="VRA98" s="58"/>
      <c r="VRB98" s="58"/>
      <c r="VRC98" s="58"/>
      <c r="VRD98" s="58"/>
      <c r="VRE98" s="58"/>
      <c r="VRF98" s="58"/>
      <c r="VRG98" s="58"/>
      <c r="VRH98" s="58"/>
      <c r="VRI98" s="58"/>
      <c r="VRJ98" s="58"/>
      <c r="VRK98" s="58"/>
      <c r="VRL98" s="58"/>
      <c r="VRM98" s="58"/>
      <c r="VRN98" s="58"/>
      <c r="VRO98" s="58"/>
      <c r="VRP98" s="58"/>
      <c r="VRQ98" s="58"/>
      <c r="VRR98" s="58"/>
      <c r="VRS98" s="58"/>
      <c r="VRT98" s="58"/>
      <c r="VRU98" s="58"/>
      <c r="VRV98" s="58"/>
      <c r="VRW98" s="58"/>
      <c r="VRX98" s="58"/>
      <c r="VRY98" s="58"/>
      <c r="VRZ98" s="58"/>
      <c r="VSA98" s="58"/>
      <c r="VSB98" s="58"/>
      <c r="VSC98" s="58"/>
      <c r="VSD98" s="58"/>
      <c r="VSE98" s="58"/>
      <c r="VSF98" s="58"/>
      <c r="VSG98" s="58"/>
      <c r="VSH98" s="58"/>
      <c r="VSI98" s="58"/>
      <c r="VSJ98" s="58"/>
      <c r="VSK98" s="58"/>
      <c r="VSL98" s="58"/>
      <c r="VSM98" s="58"/>
      <c r="VSN98" s="58"/>
      <c r="VSO98" s="58"/>
      <c r="VSP98" s="58"/>
      <c r="VSQ98" s="58"/>
      <c r="VSR98" s="58"/>
      <c r="VSS98" s="58"/>
      <c r="VST98" s="58"/>
      <c r="VSU98" s="58"/>
      <c r="VSV98" s="58"/>
      <c r="VSW98" s="58"/>
      <c r="VSX98" s="58"/>
      <c r="VSY98" s="58"/>
      <c r="VSZ98" s="58"/>
      <c r="VTA98" s="58"/>
      <c r="VTB98" s="58"/>
      <c r="VTC98" s="58"/>
      <c r="VTD98" s="58"/>
      <c r="VTE98" s="58"/>
      <c r="VTF98" s="58"/>
      <c r="VTG98" s="58"/>
      <c r="VTH98" s="58"/>
      <c r="VTI98" s="58"/>
      <c r="VTJ98" s="58"/>
      <c r="VTK98" s="58"/>
      <c r="VTL98" s="58"/>
      <c r="VTM98" s="58"/>
      <c r="VTN98" s="58"/>
      <c r="VTO98" s="58"/>
      <c r="VTP98" s="58"/>
      <c r="VTQ98" s="58"/>
      <c r="VTR98" s="58"/>
      <c r="VTS98" s="58"/>
      <c r="VTT98" s="58"/>
      <c r="VTU98" s="58"/>
      <c r="VTV98" s="58"/>
      <c r="VTW98" s="58"/>
      <c r="VTX98" s="58"/>
      <c r="VTY98" s="58"/>
      <c r="VTZ98" s="58"/>
      <c r="VUA98" s="58"/>
      <c r="VUB98" s="58"/>
      <c r="VUC98" s="58"/>
      <c r="VUD98" s="58"/>
      <c r="VUE98" s="58"/>
      <c r="VUF98" s="58"/>
      <c r="VUG98" s="58"/>
      <c r="VUH98" s="58"/>
      <c r="VUI98" s="58"/>
      <c r="VUJ98" s="58"/>
      <c r="VUK98" s="58"/>
      <c r="VUL98" s="58"/>
      <c r="VUM98" s="58"/>
      <c r="VUN98" s="58"/>
      <c r="VUO98" s="58"/>
      <c r="VUP98" s="58"/>
      <c r="VUQ98" s="58"/>
      <c r="VUR98" s="58"/>
      <c r="VUS98" s="58"/>
      <c r="VUT98" s="58"/>
      <c r="VUU98" s="58"/>
      <c r="VUV98" s="58"/>
      <c r="VUW98" s="58"/>
      <c r="VUX98" s="58"/>
      <c r="VUY98" s="58"/>
      <c r="VUZ98" s="58"/>
      <c r="VVA98" s="58"/>
      <c r="VVB98" s="58"/>
      <c r="VVC98" s="58"/>
      <c r="VVD98" s="58"/>
      <c r="VVE98" s="58"/>
      <c r="VVF98" s="58"/>
      <c r="VVG98" s="58"/>
      <c r="VVH98" s="58"/>
      <c r="VVI98" s="58"/>
      <c r="VVJ98" s="58"/>
      <c r="VVK98" s="58"/>
      <c r="VVL98" s="58"/>
      <c r="VVM98" s="58"/>
      <c r="VVN98" s="58"/>
      <c r="VVO98" s="58"/>
      <c r="VVP98" s="58"/>
      <c r="VVQ98" s="58"/>
      <c r="VVR98" s="58"/>
      <c r="VVS98" s="58"/>
      <c r="VVT98" s="58"/>
      <c r="VVU98" s="58"/>
      <c r="VVV98" s="58"/>
      <c r="VVW98" s="58"/>
      <c r="VVX98" s="58"/>
      <c r="VVY98" s="58"/>
      <c r="VVZ98" s="58"/>
      <c r="VWA98" s="58"/>
      <c r="VWB98" s="58"/>
      <c r="VWC98" s="58"/>
      <c r="VWD98" s="58"/>
      <c r="VWE98" s="58"/>
      <c r="VWF98" s="58"/>
      <c r="VWG98" s="58"/>
      <c r="VWH98" s="58"/>
      <c r="VWI98" s="58"/>
      <c r="VWJ98" s="58"/>
      <c r="VWK98" s="58"/>
      <c r="VWL98" s="58"/>
      <c r="VWM98" s="58"/>
      <c r="VWN98" s="58"/>
      <c r="VWO98" s="58"/>
      <c r="VWP98" s="58"/>
      <c r="VWQ98" s="58"/>
      <c r="VWR98" s="58"/>
      <c r="VWS98" s="58"/>
      <c r="VWT98" s="58"/>
      <c r="VWU98" s="58"/>
      <c r="VWV98" s="58"/>
      <c r="VWW98" s="58"/>
      <c r="VWX98" s="58"/>
      <c r="VWY98" s="58"/>
      <c r="VWZ98" s="58"/>
      <c r="VXA98" s="58"/>
      <c r="VXB98" s="58"/>
      <c r="VXC98" s="58"/>
      <c r="VXD98" s="58"/>
      <c r="VXE98" s="58"/>
      <c r="VXF98" s="58"/>
      <c r="VXG98" s="58"/>
      <c r="VXH98" s="58"/>
      <c r="VXI98" s="58"/>
      <c r="VXJ98" s="58"/>
      <c r="VXK98" s="58"/>
      <c r="VXL98" s="58"/>
      <c r="VXM98" s="58"/>
      <c r="VXN98" s="58"/>
      <c r="VXO98" s="58"/>
      <c r="VXP98" s="58"/>
      <c r="VXQ98" s="58"/>
      <c r="VXR98" s="58"/>
      <c r="VXS98" s="58"/>
      <c r="VXT98" s="58"/>
      <c r="VXU98" s="58"/>
      <c r="VXV98" s="58"/>
      <c r="VXW98" s="58"/>
      <c r="VXX98" s="58"/>
      <c r="VXY98" s="58"/>
      <c r="VXZ98" s="58"/>
      <c r="VYA98" s="58"/>
      <c r="VYB98" s="58"/>
      <c r="VYC98" s="58"/>
      <c r="VYD98" s="58"/>
      <c r="VYE98" s="58"/>
      <c r="VYF98" s="58"/>
      <c r="VYG98" s="58"/>
      <c r="VYH98" s="58"/>
      <c r="VYI98" s="58"/>
      <c r="VYJ98" s="58"/>
      <c r="VYK98" s="58"/>
      <c r="VYL98" s="58"/>
      <c r="VYM98" s="58"/>
      <c r="VYN98" s="58"/>
      <c r="VYO98" s="58"/>
      <c r="VYP98" s="58"/>
      <c r="VYQ98" s="58"/>
      <c r="VYR98" s="58"/>
      <c r="VYS98" s="58"/>
      <c r="VYT98" s="58"/>
      <c r="VYU98" s="58"/>
      <c r="VYV98" s="58"/>
      <c r="VYW98" s="58"/>
      <c r="VYX98" s="58"/>
      <c r="VYY98" s="58"/>
      <c r="VYZ98" s="58"/>
      <c r="VZA98" s="58"/>
      <c r="VZB98" s="58"/>
      <c r="VZC98" s="58"/>
      <c r="VZD98" s="58"/>
      <c r="VZE98" s="58"/>
      <c r="VZF98" s="58"/>
      <c r="VZG98" s="58"/>
      <c r="VZH98" s="58"/>
      <c r="VZI98" s="58"/>
      <c r="VZJ98" s="58"/>
      <c r="VZK98" s="58"/>
      <c r="VZL98" s="58"/>
      <c r="VZM98" s="58"/>
      <c r="VZN98" s="58"/>
      <c r="VZO98" s="58"/>
      <c r="VZP98" s="58"/>
      <c r="VZQ98" s="58"/>
      <c r="VZR98" s="58"/>
      <c r="VZS98" s="58"/>
      <c r="VZT98" s="58"/>
      <c r="VZU98" s="58"/>
      <c r="VZV98" s="58"/>
      <c r="VZW98" s="58"/>
      <c r="VZX98" s="58"/>
      <c r="VZY98" s="58"/>
      <c r="VZZ98" s="58"/>
      <c r="WAA98" s="58"/>
      <c r="WAB98" s="58"/>
      <c r="WAC98" s="58"/>
      <c r="WAD98" s="58"/>
      <c r="WAE98" s="58"/>
      <c r="WAF98" s="58"/>
      <c r="WAG98" s="58"/>
      <c r="WAH98" s="58"/>
      <c r="WAI98" s="58"/>
      <c r="WAJ98" s="58"/>
      <c r="WAK98" s="58"/>
      <c r="WAL98" s="58"/>
      <c r="WAM98" s="58"/>
      <c r="WAN98" s="58"/>
      <c r="WAO98" s="58"/>
      <c r="WAP98" s="58"/>
      <c r="WAQ98" s="58"/>
      <c r="WAR98" s="58"/>
      <c r="WAS98" s="58"/>
      <c r="WAT98" s="58"/>
      <c r="WAU98" s="58"/>
      <c r="WAV98" s="58"/>
      <c r="WAW98" s="58"/>
      <c r="WAX98" s="58"/>
      <c r="WAY98" s="58"/>
      <c r="WAZ98" s="58"/>
      <c r="WBA98" s="58"/>
      <c r="WBB98" s="58"/>
      <c r="WBC98" s="58"/>
      <c r="WBD98" s="58"/>
      <c r="WBE98" s="58"/>
      <c r="WBF98" s="58"/>
      <c r="WBG98" s="58"/>
      <c r="WBH98" s="58"/>
      <c r="WBI98" s="58"/>
      <c r="WBJ98" s="58"/>
      <c r="WBK98" s="58"/>
      <c r="WBL98" s="58"/>
      <c r="WBM98" s="58"/>
      <c r="WBN98" s="58"/>
      <c r="WBO98" s="58"/>
      <c r="WBP98" s="58"/>
      <c r="WBQ98" s="58"/>
      <c r="WBR98" s="58"/>
      <c r="WBS98" s="58"/>
      <c r="WBT98" s="58"/>
      <c r="WBU98" s="58"/>
      <c r="WBV98" s="58"/>
      <c r="WBW98" s="58"/>
      <c r="WBX98" s="58"/>
      <c r="WBY98" s="58"/>
      <c r="WBZ98" s="58"/>
      <c r="WCA98" s="58"/>
      <c r="WCB98" s="58"/>
      <c r="WCC98" s="58"/>
      <c r="WCD98" s="58"/>
      <c r="WCE98" s="58"/>
      <c r="WCF98" s="58"/>
      <c r="WCG98" s="58"/>
      <c r="WCH98" s="58"/>
      <c r="WCI98" s="58"/>
      <c r="WCJ98" s="58"/>
      <c r="WCK98" s="58"/>
      <c r="WCL98" s="58"/>
      <c r="WCM98" s="58"/>
      <c r="WCN98" s="58"/>
      <c r="WCO98" s="58"/>
      <c r="WCP98" s="58"/>
      <c r="WCQ98" s="58"/>
      <c r="WCR98" s="58"/>
      <c r="WCS98" s="58"/>
      <c r="WCT98" s="58"/>
      <c r="WCU98" s="58"/>
      <c r="WCV98" s="58"/>
      <c r="WCW98" s="58"/>
      <c r="WCX98" s="58"/>
      <c r="WCY98" s="58"/>
      <c r="WCZ98" s="58"/>
      <c r="WDA98" s="58"/>
      <c r="WDB98" s="58"/>
      <c r="WDC98" s="58"/>
      <c r="WDD98" s="58"/>
      <c r="WDE98" s="58"/>
      <c r="WDF98" s="58"/>
      <c r="WDG98" s="58"/>
      <c r="WDH98" s="58"/>
      <c r="WDI98" s="58"/>
      <c r="WDJ98" s="58"/>
      <c r="WDK98" s="58"/>
      <c r="WDL98" s="58"/>
      <c r="WDM98" s="58"/>
      <c r="WDN98" s="58"/>
      <c r="WDO98" s="58"/>
      <c r="WDP98" s="58"/>
      <c r="WDQ98" s="58"/>
      <c r="WDR98" s="58"/>
      <c r="WDS98" s="58"/>
      <c r="WDT98" s="58"/>
      <c r="WDU98" s="58"/>
      <c r="WDV98" s="58"/>
      <c r="WDW98" s="58"/>
      <c r="WDX98" s="58"/>
      <c r="WDY98" s="58"/>
      <c r="WDZ98" s="58"/>
      <c r="WEA98" s="58"/>
      <c r="WEB98" s="58"/>
      <c r="WEC98" s="58"/>
      <c r="WED98" s="58"/>
      <c r="WEE98" s="58"/>
      <c r="WEF98" s="58"/>
      <c r="WEG98" s="58"/>
      <c r="WEH98" s="58"/>
      <c r="WEI98" s="58"/>
      <c r="WEJ98" s="58"/>
      <c r="WEK98" s="58"/>
      <c r="WEL98" s="58"/>
      <c r="WEM98" s="58"/>
      <c r="WEN98" s="58"/>
      <c r="WEO98" s="58"/>
      <c r="WEP98" s="58"/>
      <c r="WEQ98" s="58"/>
      <c r="WER98" s="58"/>
      <c r="WES98" s="58"/>
      <c r="WET98" s="58"/>
      <c r="WEU98" s="58"/>
      <c r="WEV98" s="58"/>
      <c r="WEW98" s="58"/>
      <c r="WEX98" s="58"/>
      <c r="WEY98" s="58"/>
      <c r="WEZ98" s="58"/>
      <c r="WFA98" s="58"/>
      <c r="WFB98" s="58"/>
      <c r="WFC98" s="58"/>
      <c r="WFD98" s="58"/>
      <c r="WFE98" s="58"/>
      <c r="WFF98" s="58"/>
      <c r="WFG98" s="58"/>
      <c r="WFH98" s="58"/>
      <c r="WFI98" s="58"/>
      <c r="WFJ98" s="58"/>
      <c r="WFK98" s="58"/>
      <c r="WFL98" s="58"/>
      <c r="WFM98" s="58"/>
      <c r="WFN98" s="58"/>
      <c r="WFO98" s="58"/>
      <c r="WFP98" s="58"/>
      <c r="WFQ98" s="58"/>
      <c r="WFR98" s="58"/>
      <c r="WFS98" s="58"/>
      <c r="WFT98" s="58"/>
      <c r="WFU98" s="58"/>
      <c r="WFV98" s="58"/>
      <c r="WFW98" s="58"/>
      <c r="WFX98" s="58"/>
      <c r="WFY98" s="58"/>
      <c r="WFZ98" s="58"/>
      <c r="WGA98" s="58"/>
      <c r="WGB98" s="58"/>
      <c r="WGC98" s="58"/>
      <c r="WGD98" s="58"/>
      <c r="WGE98" s="58"/>
      <c r="WGF98" s="58"/>
      <c r="WGG98" s="58"/>
      <c r="WGH98" s="58"/>
      <c r="WGI98" s="58"/>
      <c r="WGJ98" s="58"/>
      <c r="WGK98" s="58"/>
      <c r="WGL98" s="58"/>
      <c r="WGM98" s="58"/>
      <c r="WGN98" s="58"/>
      <c r="WGO98" s="58"/>
      <c r="WGP98" s="58"/>
      <c r="WGQ98" s="58"/>
      <c r="WGR98" s="58"/>
      <c r="WGS98" s="58"/>
      <c r="WGT98" s="58"/>
      <c r="WGU98" s="58"/>
      <c r="WGV98" s="58"/>
      <c r="WGW98" s="58"/>
      <c r="WGX98" s="58"/>
      <c r="WGY98" s="58"/>
      <c r="WGZ98" s="58"/>
      <c r="WHA98" s="58"/>
      <c r="WHB98" s="58"/>
      <c r="WHC98" s="58"/>
      <c r="WHD98" s="58"/>
      <c r="WHE98" s="58"/>
      <c r="WHF98" s="58"/>
      <c r="WHG98" s="58"/>
      <c r="WHH98" s="58"/>
      <c r="WHI98" s="58"/>
      <c r="WHJ98" s="58"/>
      <c r="WHK98" s="58"/>
      <c r="WHL98" s="58"/>
      <c r="WHM98" s="58"/>
      <c r="WHN98" s="58"/>
      <c r="WHO98" s="58"/>
      <c r="WHP98" s="58"/>
      <c r="WHQ98" s="58"/>
      <c r="WHR98" s="58"/>
      <c r="WHS98" s="58"/>
      <c r="WHT98" s="58"/>
      <c r="WHU98" s="58"/>
      <c r="WHV98" s="58"/>
      <c r="WHW98" s="58"/>
      <c r="WHX98" s="58"/>
      <c r="WHY98" s="58"/>
      <c r="WHZ98" s="58"/>
      <c r="WIA98" s="58"/>
      <c r="WIB98" s="58"/>
      <c r="WIC98" s="58"/>
      <c r="WID98" s="58"/>
      <c r="WIE98" s="58"/>
      <c r="WIF98" s="58"/>
      <c r="WIG98" s="58"/>
      <c r="WIH98" s="58"/>
      <c r="WII98" s="58"/>
      <c r="WIJ98" s="58"/>
      <c r="WIK98" s="58"/>
      <c r="WIL98" s="58"/>
      <c r="WIM98" s="58"/>
      <c r="WIN98" s="58"/>
      <c r="WIO98" s="58"/>
      <c r="WIP98" s="58"/>
      <c r="WIQ98" s="58"/>
      <c r="WIR98" s="58"/>
      <c r="WIS98" s="58"/>
      <c r="WIT98" s="58"/>
      <c r="WIU98" s="58"/>
      <c r="WIV98" s="58"/>
      <c r="WIW98" s="58"/>
      <c r="WIX98" s="58"/>
      <c r="WIY98" s="58"/>
      <c r="WIZ98" s="58"/>
      <c r="WJA98" s="58"/>
      <c r="WJB98" s="58"/>
      <c r="WJC98" s="58"/>
      <c r="WJD98" s="58"/>
      <c r="WJE98" s="58"/>
      <c r="WJF98" s="58"/>
      <c r="WJG98" s="58"/>
      <c r="WJH98" s="58"/>
      <c r="WJI98" s="58"/>
      <c r="WJJ98" s="58"/>
      <c r="WJK98" s="58"/>
      <c r="WJL98" s="58"/>
      <c r="WJM98" s="58"/>
      <c r="WJN98" s="58"/>
      <c r="WJO98" s="58"/>
      <c r="WJP98" s="58"/>
      <c r="WJQ98" s="58"/>
      <c r="WJR98" s="58"/>
      <c r="WJS98" s="58"/>
      <c r="WJT98" s="58"/>
      <c r="WJU98" s="58"/>
      <c r="WJV98" s="58"/>
      <c r="WJW98" s="58"/>
      <c r="WJX98" s="58"/>
      <c r="WJY98" s="58"/>
      <c r="WJZ98" s="58"/>
      <c r="WKA98" s="58"/>
      <c r="WKB98" s="58"/>
      <c r="WKC98" s="58"/>
      <c r="WKD98" s="58"/>
      <c r="WKE98" s="58"/>
      <c r="WKF98" s="58"/>
      <c r="WKG98" s="58"/>
      <c r="WKH98" s="58"/>
      <c r="WKI98" s="58"/>
      <c r="WKJ98" s="58"/>
      <c r="WKK98" s="58"/>
      <c r="WKL98" s="58"/>
      <c r="WKM98" s="58"/>
      <c r="WKN98" s="58"/>
      <c r="WKO98" s="58"/>
      <c r="WKP98" s="58"/>
      <c r="WKQ98" s="58"/>
      <c r="WKR98" s="58"/>
      <c r="WKS98" s="58"/>
      <c r="WKT98" s="58"/>
      <c r="WKU98" s="58"/>
      <c r="WKV98" s="58"/>
      <c r="WKW98" s="58"/>
      <c r="WKX98" s="58"/>
      <c r="WKY98" s="58"/>
      <c r="WKZ98" s="58"/>
      <c r="WLA98" s="58"/>
      <c r="WLB98" s="58"/>
      <c r="WLC98" s="58"/>
      <c r="WLD98" s="58"/>
      <c r="WLE98" s="58"/>
      <c r="WLF98" s="58"/>
      <c r="WLG98" s="58"/>
      <c r="WLH98" s="58"/>
      <c r="WLI98" s="58"/>
      <c r="WLJ98" s="58"/>
      <c r="WLK98" s="58"/>
      <c r="WLL98" s="58"/>
      <c r="WLM98" s="58"/>
      <c r="WLN98" s="58"/>
      <c r="WLO98" s="58"/>
      <c r="WLP98" s="58"/>
      <c r="WLQ98" s="58"/>
      <c r="WLR98" s="58"/>
      <c r="WLS98" s="58"/>
      <c r="WLT98" s="58"/>
      <c r="WLU98" s="58"/>
      <c r="WLV98" s="58"/>
      <c r="WLW98" s="58"/>
      <c r="WLX98" s="58"/>
      <c r="WLY98" s="58"/>
      <c r="WLZ98" s="58"/>
      <c r="WMA98" s="58"/>
      <c r="WMB98" s="58"/>
      <c r="WMC98" s="58"/>
      <c r="WMD98" s="58"/>
      <c r="WME98" s="58"/>
      <c r="WMF98" s="58"/>
      <c r="WMG98" s="58"/>
      <c r="WMH98" s="58"/>
      <c r="WMI98" s="58"/>
      <c r="WMJ98" s="58"/>
      <c r="WMK98" s="58"/>
      <c r="WML98" s="58"/>
      <c r="WMM98" s="58"/>
      <c r="WMN98" s="58"/>
      <c r="WMO98" s="58"/>
      <c r="WMP98" s="58"/>
      <c r="WMQ98" s="58"/>
      <c r="WMR98" s="58"/>
      <c r="WMS98" s="58"/>
      <c r="WMT98" s="58"/>
      <c r="WMU98" s="58"/>
      <c r="WMV98" s="58"/>
      <c r="WMW98" s="58"/>
      <c r="WMX98" s="58"/>
      <c r="WMY98" s="58"/>
      <c r="WMZ98" s="58"/>
      <c r="WNA98" s="58"/>
      <c r="WNB98" s="58"/>
      <c r="WNC98" s="58"/>
      <c r="WND98" s="58"/>
      <c r="WNE98" s="58"/>
      <c r="WNF98" s="58"/>
      <c r="WNG98" s="58"/>
      <c r="WNH98" s="58"/>
      <c r="WNI98" s="58"/>
      <c r="WNJ98" s="58"/>
      <c r="WNK98" s="58"/>
      <c r="WNL98" s="58"/>
      <c r="WNM98" s="58"/>
      <c r="WNN98" s="58"/>
      <c r="WNO98" s="58"/>
      <c r="WNP98" s="58"/>
      <c r="WNQ98" s="58"/>
      <c r="WNR98" s="58"/>
      <c r="WNS98" s="58"/>
      <c r="WNT98" s="58"/>
      <c r="WNU98" s="58"/>
      <c r="WNV98" s="58"/>
      <c r="WNW98" s="58"/>
      <c r="WNX98" s="58"/>
      <c r="WNY98" s="58"/>
      <c r="WNZ98" s="58"/>
      <c r="WOA98" s="58"/>
      <c r="WOB98" s="58"/>
      <c r="WOC98" s="58"/>
      <c r="WOD98" s="58"/>
      <c r="WOE98" s="58"/>
      <c r="WOF98" s="58"/>
      <c r="WOG98" s="58"/>
      <c r="WOH98" s="58"/>
      <c r="WOI98" s="58"/>
      <c r="WOJ98" s="58"/>
      <c r="WOK98" s="58"/>
      <c r="WOL98" s="58"/>
      <c r="WOM98" s="58"/>
      <c r="WON98" s="58"/>
      <c r="WOO98" s="58"/>
      <c r="WOP98" s="58"/>
      <c r="WOQ98" s="58"/>
      <c r="WOR98" s="58"/>
      <c r="WOS98" s="58"/>
      <c r="WOT98" s="58"/>
      <c r="WOU98" s="58"/>
      <c r="WOV98" s="58"/>
      <c r="WOW98" s="58"/>
      <c r="WOX98" s="58"/>
      <c r="WOY98" s="58"/>
      <c r="WOZ98" s="58"/>
      <c r="WPA98" s="58"/>
      <c r="WPB98" s="58"/>
      <c r="WPC98" s="58"/>
      <c r="WPD98" s="58"/>
      <c r="WPE98" s="58"/>
      <c r="WPF98" s="58"/>
      <c r="WPG98" s="58"/>
      <c r="WPH98" s="58"/>
      <c r="WPI98" s="58"/>
      <c r="WPJ98" s="58"/>
      <c r="WPK98" s="58"/>
      <c r="WPL98" s="58"/>
      <c r="WPM98" s="58"/>
      <c r="WPN98" s="58"/>
      <c r="WPO98" s="58"/>
      <c r="WPP98" s="58"/>
      <c r="WPQ98" s="58"/>
      <c r="WPR98" s="58"/>
      <c r="WPS98" s="58"/>
      <c r="WPT98" s="58"/>
      <c r="WPU98" s="58"/>
      <c r="WPV98" s="58"/>
      <c r="WPW98" s="58"/>
      <c r="WPX98" s="58"/>
      <c r="WPY98" s="58"/>
      <c r="WPZ98" s="58"/>
      <c r="WQA98" s="58"/>
      <c r="WQB98" s="58"/>
      <c r="WQC98" s="58"/>
      <c r="WQD98" s="58"/>
      <c r="WQE98" s="58"/>
      <c r="WQF98" s="58"/>
      <c r="WQG98" s="58"/>
      <c r="WQH98" s="58"/>
      <c r="WQI98" s="58"/>
      <c r="WQJ98" s="58"/>
      <c r="WQK98" s="58"/>
      <c r="WQL98" s="58"/>
      <c r="WQM98" s="58"/>
      <c r="WQN98" s="58"/>
      <c r="WQO98" s="58"/>
      <c r="WQP98" s="58"/>
      <c r="WQQ98" s="58"/>
      <c r="WQR98" s="58"/>
      <c r="WQS98" s="58"/>
      <c r="WQT98" s="58"/>
      <c r="WQU98" s="58"/>
      <c r="WQV98" s="58"/>
      <c r="WQW98" s="58"/>
      <c r="WQX98" s="58"/>
      <c r="WQY98" s="58"/>
      <c r="WQZ98" s="58"/>
      <c r="WRA98" s="58"/>
      <c r="WRB98" s="58"/>
      <c r="WRC98" s="58"/>
      <c r="WRD98" s="58"/>
      <c r="WRE98" s="58"/>
      <c r="WRF98" s="58"/>
      <c r="WRG98" s="58"/>
      <c r="WRH98" s="58"/>
      <c r="WRI98" s="58"/>
      <c r="WRJ98" s="58"/>
      <c r="WRK98" s="58"/>
      <c r="WRL98" s="58"/>
      <c r="WRM98" s="58"/>
      <c r="WRN98" s="58"/>
      <c r="WRO98" s="58"/>
      <c r="WRP98" s="58"/>
      <c r="WRQ98" s="58"/>
      <c r="WRR98" s="58"/>
      <c r="WRS98" s="58"/>
      <c r="WRT98" s="58"/>
      <c r="WRU98" s="58"/>
      <c r="WRV98" s="58"/>
      <c r="WRW98" s="58"/>
      <c r="WRX98" s="58"/>
      <c r="WRY98" s="58"/>
      <c r="WRZ98" s="58"/>
      <c r="WSA98" s="58"/>
      <c r="WSB98" s="58"/>
      <c r="WSC98" s="58"/>
      <c r="WSD98" s="58"/>
      <c r="WSE98" s="58"/>
      <c r="WSF98" s="58"/>
      <c r="WSG98" s="58"/>
      <c r="WSH98" s="58"/>
      <c r="WSI98" s="58"/>
      <c r="WSJ98" s="58"/>
      <c r="WSK98" s="58"/>
      <c r="WSL98" s="58"/>
      <c r="WSM98" s="58"/>
      <c r="WSN98" s="58"/>
      <c r="WSO98" s="58"/>
      <c r="WSP98" s="58"/>
      <c r="WSQ98" s="58"/>
      <c r="WSR98" s="58"/>
      <c r="WSS98" s="58"/>
      <c r="WST98" s="58"/>
      <c r="WSU98" s="58"/>
      <c r="WSV98" s="58"/>
      <c r="WSW98" s="58"/>
      <c r="WSX98" s="58"/>
      <c r="WSY98" s="58"/>
      <c r="WSZ98" s="58"/>
      <c r="WTA98" s="58"/>
      <c r="WTB98" s="58"/>
      <c r="WTC98" s="58"/>
      <c r="WTD98" s="58"/>
      <c r="WTE98" s="58"/>
      <c r="WTF98" s="58"/>
      <c r="WTG98" s="58"/>
      <c r="WTH98" s="58"/>
      <c r="WTI98" s="58"/>
      <c r="WTJ98" s="58"/>
      <c r="WTK98" s="58"/>
      <c r="WTL98" s="58"/>
      <c r="WTM98" s="58"/>
      <c r="WTN98" s="58"/>
      <c r="WTO98" s="58"/>
      <c r="WTP98" s="58"/>
      <c r="WTQ98" s="58"/>
      <c r="WTR98" s="58"/>
      <c r="WTS98" s="58"/>
      <c r="WTT98" s="58"/>
      <c r="WTU98" s="58"/>
      <c r="WTV98" s="58"/>
      <c r="WTW98" s="58"/>
      <c r="WTX98" s="58"/>
      <c r="WTY98" s="58"/>
      <c r="WTZ98" s="58"/>
      <c r="WUA98" s="58"/>
      <c r="WUB98" s="58"/>
      <c r="WUC98" s="58"/>
      <c r="WUD98" s="58"/>
      <c r="WUE98" s="58"/>
      <c r="WUF98" s="58"/>
      <c r="WUG98" s="58"/>
      <c r="WUH98" s="58"/>
      <c r="WUI98" s="58"/>
      <c r="WUJ98" s="58"/>
      <c r="WUK98" s="58"/>
      <c r="WUL98" s="58"/>
      <c r="WUM98" s="58"/>
      <c r="WUN98" s="58"/>
      <c r="WUO98" s="58"/>
      <c r="WUP98" s="58"/>
      <c r="WUQ98" s="58"/>
      <c r="WUR98" s="58"/>
      <c r="WUS98" s="58"/>
      <c r="WUT98" s="58"/>
      <c r="WUU98" s="58"/>
      <c r="WUV98" s="58"/>
      <c r="WUW98" s="58"/>
      <c r="WUX98" s="58"/>
      <c r="WUY98" s="58"/>
      <c r="WUZ98" s="58"/>
      <c r="WVA98" s="58"/>
      <c r="WVB98" s="58"/>
      <c r="WVC98" s="58"/>
      <c r="WVD98" s="58"/>
      <c r="WVE98" s="58"/>
      <c r="WVF98" s="58"/>
      <c r="WVG98" s="58"/>
      <c r="WVH98" s="58"/>
      <c r="WVI98" s="58"/>
      <c r="WVJ98" s="58"/>
      <c r="WVK98" s="58"/>
      <c r="WVL98" s="58"/>
      <c r="WVM98" s="58"/>
      <c r="WVN98" s="58"/>
      <c r="WVO98" s="58"/>
      <c r="WVP98" s="58"/>
      <c r="WVQ98" s="58"/>
      <c r="WVR98" s="58"/>
      <c r="WVS98" s="58"/>
      <c r="WVT98" s="58"/>
      <c r="WVU98" s="58"/>
      <c r="WVV98" s="58"/>
      <c r="WVW98" s="58"/>
      <c r="WVX98" s="58"/>
      <c r="WVY98" s="58"/>
      <c r="WVZ98" s="58"/>
      <c r="WWA98" s="58"/>
      <c r="WWB98" s="58"/>
      <c r="WWC98" s="58"/>
      <c r="WWD98" s="58"/>
      <c r="WWE98" s="58"/>
      <c r="WWF98" s="58"/>
      <c r="WWG98" s="58"/>
      <c r="WWH98" s="58"/>
      <c r="WWI98" s="58"/>
      <c r="WWJ98" s="58"/>
      <c r="WWK98" s="58"/>
      <c r="WWL98" s="58"/>
      <c r="WWM98" s="58"/>
      <c r="WWN98" s="58"/>
      <c r="WWO98" s="58"/>
      <c r="WWP98" s="58"/>
      <c r="WWQ98" s="58"/>
      <c r="WWR98" s="58"/>
      <c r="WWS98" s="58"/>
      <c r="WWT98" s="58"/>
      <c r="WWU98" s="58"/>
      <c r="WWV98" s="58"/>
      <c r="WWW98" s="58"/>
      <c r="WWX98" s="58"/>
      <c r="WWY98" s="58"/>
      <c r="WWZ98" s="58"/>
      <c r="WXA98" s="58"/>
      <c r="WXB98" s="58"/>
      <c r="WXC98" s="58"/>
      <c r="WXD98" s="58"/>
      <c r="WXE98" s="58"/>
      <c r="WXF98" s="58"/>
      <c r="WXG98" s="58"/>
      <c r="WXH98" s="58"/>
      <c r="WXI98" s="58"/>
      <c r="WXJ98" s="58"/>
      <c r="WXK98" s="58"/>
      <c r="WXL98" s="58"/>
      <c r="WXM98" s="58"/>
      <c r="WXN98" s="58"/>
      <c r="WXO98" s="58"/>
      <c r="WXP98" s="58"/>
      <c r="WXQ98" s="58"/>
      <c r="WXR98" s="58"/>
      <c r="WXS98" s="58"/>
      <c r="WXT98" s="58"/>
      <c r="WXU98" s="58"/>
      <c r="WXV98" s="58"/>
      <c r="WXW98" s="58"/>
      <c r="WXX98" s="58"/>
      <c r="WXY98" s="58"/>
      <c r="WXZ98" s="58"/>
      <c r="WYA98" s="58"/>
      <c r="WYB98" s="58"/>
      <c r="WYC98" s="58"/>
      <c r="WYD98" s="58"/>
      <c r="WYE98" s="58"/>
      <c r="WYF98" s="58"/>
      <c r="WYG98" s="58"/>
      <c r="WYH98" s="58"/>
      <c r="WYI98" s="58"/>
      <c r="WYJ98" s="58"/>
      <c r="WYK98" s="58"/>
      <c r="WYL98" s="58"/>
      <c r="WYM98" s="58"/>
      <c r="WYN98" s="58"/>
      <c r="WYO98" s="58"/>
      <c r="WYP98" s="58"/>
      <c r="WYQ98" s="58"/>
      <c r="WYR98" s="58"/>
      <c r="WYS98" s="58"/>
      <c r="WYT98" s="58"/>
      <c r="WYU98" s="58"/>
      <c r="WYV98" s="58"/>
      <c r="WYW98" s="58"/>
      <c r="WYX98" s="58"/>
      <c r="WYY98" s="58"/>
      <c r="WYZ98" s="58"/>
      <c r="WZA98" s="58"/>
      <c r="WZB98" s="58"/>
      <c r="WZC98" s="58"/>
      <c r="WZD98" s="58"/>
      <c r="WZE98" s="58"/>
      <c r="WZF98" s="58"/>
      <c r="WZG98" s="58"/>
      <c r="WZH98" s="58"/>
      <c r="WZI98" s="58"/>
      <c r="WZJ98" s="58"/>
      <c r="WZK98" s="58"/>
      <c r="WZL98" s="58"/>
      <c r="WZM98" s="58"/>
      <c r="WZN98" s="58"/>
      <c r="WZO98" s="58"/>
      <c r="WZP98" s="58"/>
      <c r="WZQ98" s="58"/>
      <c r="WZR98" s="58"/>
      <c r="WZS98" s="58"/>
      <c r="WZT98" s="58"/>
      <c r="WZU98" s="58"/>
      <c r="WZV98" s="58"/>
      <c r="WZW98" s="58"/>
      <c r="WZX98" s="58"/>
      <c r="WZY98" s="58"/>
      <c r="WZZ98" s="58"/>
      <c r="XAA98" s="58"/>
      <c r="XAB98" s="58"/>
      <c r="XAC98" s="58"/>
      <c r="XAD98" s="58"/>
      <c r="XAE98" s="58"/>
      <c r="XAF98" s="58"/>
      <c r="XAG98" s="58"/>
      <c r="XAH98" s="58"/>
      <c r="XAI98" s="58"/>
      <c r="XAJ98" s="58"/>
      <c r="XAK98" s="58"/>
      <c r="XAL98" s="58"/>
      <c r="XAM98" s="58"/>
      <c r="XAN98" s="58"/>
      <c r="XAO98" s="58"/>
      <c r="XAP98" s="58"/>
      <c r="XAQ98" s="58"/>
      <c r="XAR98" s="58"/>
      <c r="XAS98" s="58"/>
      <c r="XAT98" s="58"/>
      <c r="XAU98" s="58"/>
      <c r="XAV98" s="58"/>
      <c r="XAW98" s="58"/>
      <c r="XAX98" s="58"/>
      <c r="XAY98" s="58"/>
      <c r="XAZ98" s="58"/>
      <c r="XBA98" s="58"/>
      <c r="XBB98" s="58"/>
      <c r="XBC98" s="58"/>
      <c r="XBD98" s="58"/>
      <c r="XBE98" s="58"/>
      <c r="XBF98" s="58"/>
      <c r="XBG98" s="58"/>
      <c r="XBH98" s="58"/>
      <c r="XBI98" s="58"/>
      <c r="XBJ98" s="58"/>
      <c r="XBK98" s="58"/>
      <c r="XBL98" s="58"/>
      <c r="XBM98" s="58"/>
      <c r="XBN98" s="58"/>
      <c r="XBO98" s="58"/>
      <c r="XBP98" s="58"/>
      <c r="XBQ98" s="58"/>
      <c r="XBR98" s="58"/>
      <c r="XBS98" s="58"/>
      <c r="XBT98" s="58"/>
      <c r="XBU98" s="58"/>
      <c r="XBV98" s="58"/>
      <c r="XBW98" s="58"/>
      <c r="XBX98" s="58"/>
      <c r="XBY98" s="58"/>
      <c r="XBZ98" s="58"/>
      <c r="XCA98" s="58"/>
      <c r="XCB98" s="58"/>
      <c r="XCC98" s="58"/>
      <c r="XCD98" s="58"/>
      <c r="XCE98" s="58"/>
      <c r="XCF98" s="58"/>
      <c r="XCG98" s="58"/>
      <c r="XCH98" s="58"/>
      <c r="XCI98" s="58"/>
      <c r="XCJ98" s="58"/>
      <c r="XCK98" s="58"/>
      <c r="XCL98" s="58"/>
      <c r="XCM98" s="58"/>
      <c r="XCN98" s="58"/>
      <c r="XCO98" s="58"/>
      <c r="XCP98" s="58"/>
      <c r="XCQ98" s="58"/>
      <c r="XCR98" s="58"/>
      <c r="XCS98" s="58"/>
      <c r="XCT98" s="58"/>
      <c r="XCU98" s="58"/>
      <c r="XCV98" s="58"/>
      <c r="XCW98" s="58"/>
      <c r="XCX98" s="58"/>
      <c r="XCY98" s="58"/>
      <c r="XCZ98" s="58"/>
      <c r="XDA98" s="58"/>
      <c r="XDB98" s="58"/>
      <c r="XDC98" s="58"/>
      <c r="XDD98" s="58"/>
      <c r="XDE98" s="58"/>
      <c r="XDF98" s="58"/>
      <c r="XDG98" s="58"/>
      <c r="XDH98" s="58"/>
      <c r="XDI98" s="58"/>
      <c r="XDJ98" s="58"/>
      <c r="XDK98" s="58"/>
      <c r="XDL98" s="58"/>
      <c r="XDM98" s="58"/>
      <c r="XDN98" s="58"/>
      <c r="XDO98" s="58"/>
      <c r="XDP98" s="58"/>
      <c r="XDQ98" s="58"/>
      <c r="XDR98" s="58"/>
      <c r="XDS98" s="58"/>
      <c r="XDT98" s="58"/>
      <c r="XDU98" s="58"/>
      <c r="XDV98" s="58"/>
      <c r="XDW98" s="58"/>
      <c r="XDX98" s="58"/>
      <c r="XDY98" s="58"/>
      <c r="XDZ98" s="58"/>
      <c r="XEA98" s="58"/>
      <c r="XEB98" s="58"/>
      <c r="XEC98" s="58"/>
      <c r="XED98" s="58"/>
      <c r="XEE98" s="58"/>
      <c r="XEF98" s="58"/>
      <c r="XEG98" s="58"/>
      <c r="XEH98" s="58"/>
      <c r="XEI98" s="58"/>
      <c r="XEJ98" s="58"/>
      <c r="XEK98" s="58"/>
      <c r="XEL98" s="58"/>
      <c r="XEM98" s="58"/>
      <c r="XEN98" s="58"/>
      <c r="XEO98" s="58"/>
      <c r="XEP98" s="58"/>
      <c r="XEQ98" s="58"/>
      <c r="XER98" s="58"/>
      <c r="XES98" s="58"/>
      <c r="XET98" s="58"/>
      <c r="XEU98" s="58"/>
      <c r="XEV98" s="58"/>
      <c r="XEW98" s="58"/>
      <c r="XEX98" s="58"/>
      <c r="XEY98" s="58"/>
      <c r="XEZ98" s="58"/>
      <c r="XFA98" s="58"/>
      <c r="XFB98" s="58"/>
    </row>
    <row r="99" spans="2:16384" ht="17" x14ac:dyDescent="0.2">
      <c r="B99" s="195" t="s">
        <v>645</v>
      </c>
      <c r="C99" s="196">
        <f>'AFS3'!B117-'AFS3'!B120</f>
        <v>106.20199999999994</v>
      </c>
      <c r="D99" s="196">
        <f>'AFS3'!C117-'AFS3'!C120</f>
        <v>118.09500000000003</v>
      </c>
      <c r="E99" s="177">
        <f>'AFS3'!D117-'AFS3'!D120</f>
        <v>76.600999999999999</v>
      </c>
      <c r="F99" s="177">
        <f>'AFS3'!E117-'AFS3'!E120</f>
        <v>92.772999999999911</v>
      </c>
      <c r="G99" s="177">
        <f>'AFS3'!F117-'AFS3'!F120</f>
        <v>101.29000000000008</v>
      </c>
      <c r="H99" s="177">
        <f>'AFS3'!G117-'AFS3'!G120</f>
        <v>54.995000000000005</v>
      </c>
      <c r="I99" s="177">
        <f>'AFS3'!H117-'AFS3'!H120</f>
        <v>200.99900000000002</v>
      </c>
      <c r="J99" s="177">
        <f>'AFS3'!I117-'AFS3'!I120</f>
        <v>225.25</v>
      </c>
      <c r="K99" s="177">
        <f>'AFS3'!J117-'AFS3'!J120</f>
        <v>88.663000000000011</v>
      </c>
      <c r="L99" s="177">
        <f>'AFS3'!K117-'AFS3'!K120</f>
        <v>221.03099999999995</v>
      </c>
      <c r="N99" s="58"/>
    </row>
    <row r="100" spans="2:16384" ht="17" x14ac:dyDescent="0.2">
      <c r="B100" s="197" t="s">
        <v>577</v>
      </c>
      <c r="C100" s="178">
        <f>'AFS3'!B120</f>
        <v>480.61200000000002</v>
      </c>
      <c r="D100" s="178">
        <f>'AFS3'!C120</f>
        <v>544.72199999999998</v>
      </c>
      <c r="E100" s="34">
        <f>'AFS3'!D120</f>
        <v>664.81600000000003</v>
      </c>
      <c r="F100" s="34">
        <f>'AFS3'!E120</f>
        <v>611.96</v>
      </c>
      <c r="G100" s="34">
        <f>'AFS3'!F120</f>
        <v>747.33299999999997</v>
      </c>
      <c r="H100" s="34">
        <f>'AFS3'!G120</f>
        <v>899.68299999999999</v>
      </c>
      <c r="I100" s="34">
        <f>'AFS3'!H120</f>
        <v>1165.3779999999999</v>
      </c>
      <c r="J100" s="34">
        <f>'AFS3'!I120</f>
        <v>1293.739</v>
      </c>
      <c r="K100" s="34">
        <f>'AFS3'!J120</f>
        <v>1449.9480000000001</v>
      </c>
      <c r="L100" s="34">
        <f>'AFS3'!K120</f>
        <v>1579.8869999999999</v>
      </c>
      <c r="M100" s="58"/>
      <c r="XFD100" s="37"/>
    </row>
    <row r="101" spans="2:16384" x14ac:dyDescent="0.2">
      <c r="B101" s="53"/>
      <c r="C101" s="138"/>
      <c r="D101" s="138"/>
      <c r="E101" s="138"/>
      <c r="F101" s="138"/>
      <c r="G101" s="138"/>
      <c r="H101" s="138"/>
      <c r="I101" s="138"/>
      <c r="J101" s="138"/>
      <c r="K101" s="138"/>
      <c r="L101" s="138"/>
    </row>
    <row r="102" spans="2:16384" ht="17" x14ac:dyDescent="0.2">
      <c r="B102" s="52" t="s">
        <v>646</v>
      </c>
      <c r="C102" s="183">
        <f>'AFS3'!B117</f>
        <v>586.81399999999996</v>
      </c>
      <c r="D102" s="183">
        <f>'AFS3'!C117</f>
        <v>662.81700000000001</v>
      </c>
      <c r="E102" s="135">
        <f>'AFS3'!D117</f>
        <v>741.41700000000003</v>
      </c>
      <c r="F102" s="135">
        <f>'AFS3'!E117</f>
        <v>704.73299999999995</v>
      </c>
      <c r="G102" s="135">
        <f>'AFS3'!F117</f>
        <v>848.62300000000005</v>
      </c>
      <c r="H102" s="135">
        <f>'AFS3'!G117</f>
        <v>954.678</v>
      </c>
      <c r="I102" s="135">
        <f>'AFS3'!H117</f>
        <v>1366.377</v>
      </c>
      <c r="J102" s="135">
        <f>'AFS3'!I117</f>
        <v>1518.989</v>
      </c>
      <c r="K102" s="135">
        <f>'AFS3'!J117</f>
        <v>1538.6110000000001</v>
      </c>
      <c r="L102" s="135">
        <f>'AFS3'!K117</f>
        <v>1800.9179999999999</v>
      </c>
    </row>
    <row r="103" spans="2:16384" ht="17" thickBot="1" x14ac:dyDescent="0.25">
      <c r="B103" s="178" t="s">
        <v>647</v>
      </c>
      <c r="C103" s="179">
        <f>'AFS3'!B127</f>
        <v>0.34399999999999997</v>
      </c>
      <c r="D103" s="179">
        <f>'AFS3'!C127</f>
        <v>0.56799999999999995</v>
      </c>
      <c r="E103" s="138">
        <f>'AFS3'!D127</f>
        <v>0.53800000000000003</v>
      </c>
      <c r="F103" s="138">
        <f>'AFS3'!E127</f>
        <v>2E-3</v>
      </c>
      <c r="G103" s="138">
        <f>'AFS3'!F127</f>
        <v>0</v>
      </c>
      <c r="H103" s="138">
        <f>'AFS3'!G127</f>
        <v>1.641</v>
      </c>
      <c r="I103" s="138">
        <f>'AFS3'!H127</f>
        <v>1.5620000000000001</v>
      </c>
      <c r="J103" s="138">
        <f>'AFS3'!I127</f>
        <v>0.76100000000000001</v>
      </c>
      <c r="K103" s="138">
        <f>'AFS3'!J127</f>
        <v>-0.64300000000000002</v>
      </c>
      <c r="L103" s="138">
        <f>'AFS3'!K127</f>
        <v>-1.8959999999999999</v>
      </c>
    </row>
    <row r="104" spans="2:16384" x14ac:dyDescent="0.2">
      <c r="B104" s="51" t="s">
        <v>648</v>
      </c>
      <c r="C104" s="158">
        <f>'AFS3'!B126+C103</f>
        <v>587.15800000000002</v>
      </c>
      <c r="D104" s="158">
        <f>'AFS3'!C126+D103</f>
        <v>663.38499999999999</v>
      </c>
      <c r="E104" s="158">
        <f>'AFS3'!D126+E103</f>
        <v>741.95500000000004</v>
      </c>
      <c r="F104" s="158">
        <f>'AFS3'!E126+F103</f>
        <v>704.7349999999999</v>
      </c>
      <c r="G104" s="158">
        <f>'AFS3'!F126+G103</f>
        <v>848.62300000000005</v>
      </c>
      <c r="H104" s="158">
        <f>'AFS3'!G126+H103</f>
        <v>956.31899999999996</v>
      </c>
      <c r="I104" s="158">
        <f>'AFS3'!H126+I103</f>
        <v>1367.9389999999999</v>
      </c>
      <c r="J104" s="158">
        <f>'AFS3'!I126+J103</f>
        <v>1519.75</v>
      </c>
      <c r="K104" s="158">
        <f>'AFS3'!J126+K103</f>
        <v>1537.9680000000001</v>
      </c>
      <c r="L104" s="158">
        <f>'AFS3'!K126+L103</f>
        <v>1799.0219999999999</v>
      </c>
    </row>
    <row r="105" spans="2:16384" x14ac:dyDescent="0.2">
      <c r="B105" s="39"/>
      <c r="C105" s="159"/>
      <c r="D105" s="159"/>
      <c r="E105" s="159"/>
      <c r="F105" s="159"/>
      <c r="G105" s="159"/>
      <c r="H105" s="159"/>
      <c r="I105" s="159"/>
      <c r="J105" s="159"/>
      <c r="K105" s="159"/>
      <c r="L105" s="159"/>
    </row>
    <row r="106" spans="2:16384" x14ac:dyDescent="0.2">
      <c r="B106" s="56" t="s">
        <v>649</v>
      </c>
      <c r="C106" s="142">
        <f t="shared" ref="C106:L106" si="34">C104+C97</f>
        <v>319.101</v>
      </c>
      <c r="D106" s="142">
        <f t="shared" si="34"/>
        <v>583.31700000000001</v>
      </c>
      <c r="E106" s="142">
        <f t="shared" si="34"/>
        <v>592.65300000000002</v>
      </c>
      <c r="F106" s="142">
        <f t="shared" si="34"/>
        <v>628.89199999999994</v>
      </c>
      <c r="G106" s="142">
        <f t="shared" si="34"/>
        <v>675.76100000000008</v>
      </c>
      <c r="H106" s="142">
        <f t="shared" si="34"/>
        <v>650.97199999999998</v>
      </c>
      <c r="I106" s="142">
        <f t="shared" si="34"/>
        <v>2360.0770000000002</v>
      </c>
      <c r="J106" s="142">
        <f t="shared" si="34"/>
        <v>2458.5169999999998</v>
      </c>
      <c r="K106" s="142">
        <f t="shared" si="34"/>
        <v>2327.2330000000002</v>
      </c>
      <c r="L106" s="142">
        <f t="shared" si="34"/>
        <v>2420.319</v>
      </c>
    </row>
    <row r="107" spans="2:16384" x14ac:dyDescent="0.2">
      <c r="B107" s="57" t="s">
        <v>607</v>
      </c>
      <c r="C107" s="160">
        <f t="shared" ref="C107:L107" si="35">C91-C106</f>
        <v>0</v>
      </c>
      <c r="D107" s="160">
        <f t="shared" si="35"/>
        <v>0</v>
      </c>
      <c r="E107" s="160">
        <f t="shared" si="35"/>
        <v>0</v>
      </c>
      <c r="F107" s="160">
        <f t="shared" si="35"/>
        <v>0</v>
      </c>
      <c r="G107" s="160">
        <f t="shared" si="35"/>
        <v>0</v>
      </c>
      <c r="H107" s="160">
        <f t="shared" si="35"/>
        <v>0</v>
      </c>
      <c r="I107" s="160">
        <f t="shared" si="35"/>
        <v>0</v>
      </c>
      <c r="J107" s="160">
        <f t="shared" si="35"/>
        <v>0</v>
      </c>
      <c r="K107" s="160">
        <f t="shared" si="35"/>
        <v>0</v>
      </c>
      <c r="L107" s="160">
        <f t="shared" si="35"/>
        <v>0</v>
      </c>
    </row>
    <row r="108" spans="2:16384" x14ac:dyDescent="0.2">
      <c r="C108" s="138"/>
      <c r="D108" s="138"/>
      <c r="E108" s="138"/>
      <c r="F108" s="138"/>
      <c r="G108" s="138"/>
      <c r="H108" s="138"/>
      <c r="I108" s="138"/>
      <c r="J108" s="138"/>
    </row>
    <row r="109" spans="2:16384" x14ac:dyDescent="0.2">
      <c r="B109" s="39"/>
      <c r="C109" s="138"/>
      <c r="D109" s="138"/>
      <c r="E109" s="138"/>
      <c r="F109" s="138"/>
      <c r="G109" s="138"/>
      <c r="H109" s="138"/>
      <c r="I109" s="138"/>
      <c r="J109" s="138"/>
    </row>
    <row r="110" spans="2:16384" x14ac:dyDescent="0.2">
      <c r="B110" s="36" t="s">
        <v>650</v>
      </c>
      <c r="C110" s="154"/>
      <c r="D110" s="154"/>
      <c r="E110" s="154"/>
      <c r="F110" s="154"/>
      <c r="G110" s="154"/>
      <c r="H110" s="154"/>
      <c r="I110" s="154"/>
      <c r="J110" s="154"/>
      <c r="K110" s="154"/>
      <c r="L110" s="154"/>
    </row>
    <row r="111" spans="2:16384" x14ac:dyDescent="0.2">
      <c r="C111" s="138"/>
      <c r="D111" s="138"/>
      <c r="E111" s="138"/>
      <c r="F111" s="138"/>
      <c r="G111" s="138"/>
      <c r="H111" s="138"/>
      <c r="I111" s="138"/>
      <c r="J111" s="138"/>
      <c r="K111" s="138"/>
      <c r="L111" s="138"/>
    </row>
    <row r="112" spans="2:16384" x14ac:dyDescent="0.2">
      <c r="B112" s="93" t="s">
        <v>442</v>
      </c>
      <c r="C112" s="138">
        <f t="shared" ref="C112:L112" si="36">C18</f>
        <v>156.07</v>
      </c>
      <c r="D112" s="169">
        <f t="shared" si="36"/>
        <v>177.92999999999995</v>
      </c>
      <c r="E112" s="169">
        <f t="shared" si="36"/>
        <v>197.56</v>
      </c>
      <c r="F112" s="169">
        <f t="shared" si="36"/>
        <v>209.85000000000008</v>
      </c>
      <c r="G112" s="169">
        <f t="shared" si="36"/>
        <v>222.46000000000004</v>
      </c>
      <c r="H112" s="169">
        <f t="shared" si="36"/>
        <v>330.11</v>
      </c>
      <c r="I112" s="169">
        <f t="shared" si="36"/>
        <v>441.40000000000009</v>
      </c>
      <c r="J112" s="169">
        <f t="shared" si="36"/>
        <v>375.32000000000016</v>
      </c>
      <c r="K112" s="169">
        <f t="shared" si="36"/>
        <v>237.85000000000002</v>
      </c>
      <c r="L112" s="169">
        <f t="shared" si="36"/>
        <v>265.04000000000008</v>
      </c>
    </row>
    <row r="113" spans="2:15" ht="17" thickBot="1" x14ac:dyDescent="0.25">
      <c r="B113" s="93" t="s">
        <v>651</v>
      </c>
      <c r="C113" s="138">
        <f>-SUM(Assumptions!F47:F48)*C112</f>
        <v>-43.543529999999997</v>
      </c>
      <c r="D113" s="138">
        <f>-SUM(Assumptions!G47:G48)*D112</f>
        <v>-49.642469999999982</v>
      </c>
      <c r="E113" s="138">
        <f>-SUM(Assumptions!H47:H48)*E112</f>
        <v>-55.119239999999998</v>
      </c>
      <c r="F113" s="138">
        <f>-SUM(Assumptions!I47:I48)*F112</f>
        <v>-58.548150000000014</v>
      </c>
      <c r="G113" s="138">
        <f>-SUM(Assumptions!J47:J48)*G112</f>
        <v>-62.066340000000004</v>
      </c>
      <c r="H113" s="138">
        <f>-SUM(Assumptions!K47:K48)*H112</f>
        <v>-92.10069</v>
      </c>
      <c r="I113" s="138">
        <f>-SUM(Assumptions!L47:L48)*I112</f>
        <v>-123.15060000000001</v>
      </c>
      <c r="J113" s="138">
        <f>-SUM(Assumptions!M47:M48)*J112</f>
        <v>-104.71428000000003</v>
      </c>
      <c r="K113" s="138">
        <f>-SUM(Assumptions!N47:N48)*K112</f>
        <v>-66.360150000000004</v>
      </c>
      <c r="L113" s="138">
        <f>-SUM(Assumptions!O47:O48)*L112</f>
        <v>-73.94616000000002</v>
      </c>
    </row>
    <row r="114" spans="2:15" x14ac:dyDescent="0.2">
      <c r="B114" s="165" t="s">
        <v>652</v>
      </c>
      <c r="C114" s="140">
        <f>SUM(C112:C113)</f>
        <v>112.52646999999999</v>
      </c>
      <c r="D114" s="171">
        <f>SUM(D112:D113)</f>
        <v>128.28752999999998</v>
      </c>
      <c r="E114" s="171">
        <f t="shared" ref="E114:L114" si="37">SUM(E112:E113)</f>
        <v>142.44076000000001</v>
      </c>
      <c r="F114" s="171">
        <f>SUM(F112:F113)</f>
        <v>151.30185000000006</v>
      </c>
      <c r="G114" s="171">
        <f t="shared" si="37"/>
        <v>160.39366000000004</v>
      </c>
      <c r="H114" s="171">
        <f t="shared" si="37"/>
        <v>238.00931000000003</v>
      </c>
      <c r="I114" s="171">
        <f t="shared" si="37"/>
        <v>318.24940000000009</v>
      </c>
      <c r="J114" s="171">
        <f t="shared" si="37"/>
        <v>270.60572000000013</v>
      </c>
      <c r="K114" s="171">
        <f t="shared" si="37"/>
        <v>171.48985000000002</v>
      </c>
      <c r="L114" s="171">
        <f t="shared" si="37"/>
        <v>191.09384000000006</v>
      </c>
    </row>
    <row r="115" spans="2:15" x14ac:dyDescent="0.2">
      <c r="B115" s="93" t="s">
        <v>488</v>
      </c>
      <c r="C115" s="138">
        <f t="shared" ref="C115:L115" si="38">-C46</f>
        <v>24.875</v>
      </c>
      <c r="D115" s="169">
        <f t="shared" si="38"/>
        <v>27.140999999999998</v>
      </c>
      <c r="E115" s="169">
        <f t="shared" si="38"/>
        <v>29.666</v>
      </c>
      <c r="F115" s="169">
        <f t="shared" si="38"/>
        <v>28.530999999999999</v>
      </c>
      <c r="G115" s="169">
        <f t="shared" si="38"/>
        <v>35.131999999999998</v>
      </c>
      <c r="H115" s="169">
        <f t="shared" si="38"/>
        <v>33.558</v>
      </c>
      <c r="I115" s="169">
        <f t="shared" si="38"/>
        <v>47.131</v>
      </c>
      <c r="J115" s="169">
        <f t="shared" si="38"/>
        <v>60.404000000000003</v>
      </c>
      <c r="K115" s="169">
        <f t="shared" si="38"/>
        <v>61.829000000000001</v>
      </c>
      <c r="L115" s="169">
        <f t="shared" si="38"/>
        <v>53.871000000000002</v>
      </c>
    </row>
    <row r="116" spans="2:15" ht="18" thickBot="1" x14ac:dyDescent="0.25">
      <c r="B116" s="166" t="s">
        <v>653</v>
      </c>
      <c r="C116" s="138">
        <f t="shared" ref="C116:L116" si="39">-C47</f>
        <v>8.109</v>
      </c>
      <c r="D116" s="169">
        <f t="shared" si="39"/>
        <v>17.565999999999999</v>
      </c>
      <c r="E116" s="169">
        <f t="shared" si="39"/>
        <v>16.184999999999999</v>
      </c>
      <c r="F116" s="169">
        <f t="shared" si="39"/>
        <v>16.844000000000001</v>
      </c>
      <c r="G116" s="169">
        <f t="shared" si="39"/>
        <v>17.643999999999998</v>
      </c>
      <c r="H116" s="169">
        <f t="shared" si="39"/>
        <v>25.254999999999999</v>
      </c>
      <c r="I116" s="169">
        <f t="shared" si="39"/>
        <v>36.274999999999999</v>
      </c>
      <c r="J116" s="169">
        <f t="shared" si="39"/>
        <v>58.94</v>
      </c>
      <c r="K116" s="169">
        <f t="shared" si="39"/>
        <v>53.197000000000003</v>
      </c>
      <c r="L116" s="169">
        <f t="shared" si="39"/>
        <v>75.17</v>
      </c>
    </row>
    <row r="117" spans="2:15" x14ac:dyDescent="0.2">
      <c r="B117" s="165" t="s">
        <v>654</v>
      </c>
      <c r="C117" s="140">
        <f>SUM(C114:C116)</f>
        <v>145.51047</v>
      </c>
      <c r="D117" s="171">
        <f>SUM(D114:D116)</f>
        <v>172.99452999999997</v>
      </c>
      <c r="E117" s="171">
        <f t="shared" ref="E117:L117" si="40">SUM(E114:E116)</f>
        <v>188.29176000000001</v>
      </c>
      <c r="F117" s="171">
        <f>SUM(F114:F116)</f>
        <v>196.67685000000006</v>
      </c>
      <c r="G117" s="171">
        <f t="shared" si="40"/>
        <v>213.16966000000005</v>
      </c>
      <c r="H117" s="171">
        <f t="shared" si="40"/>
        <v>296.82231000000002</v>
      </c>
      <c r="I117" s="171">
        <f>SUM(I114:I116)</f>
        <v>401.6554000000001</v>
      </c>
      <c r="J117" s="171">
        <f t="shared" si="40"/>
        <v>389.94972000000013</v>
      </c>
      <c r="K117" s="171">
        <f t="shared" si="40"/>
        <v>286.51585</v>
      </c>
      <c r="L117" s="171">
        <f t="shared" si="40"/>
        <v>320.13484000000005</v>
      </c>
    </row>
    <row r="118" spans="2:15" x14ac:dyDescent="0.2">
      <c r="C118" s="138"/>
      <c r="D118" s="138"/>
      <c r="E118" s="138"/>
      <c r="F118" s="138"/>
      <c r="G118" s="138"/>
      <c r="H118" s="138"/>
      <c r="I118" s="138"/>
      <c r="J118" s="138"/>
      <c r="K118" s="138"/>
      <c r="L118" s="138"/>
    </row>
    <row r="119" spans="2:15" x14ac:dyDescent="0.2">
      <c r="B119" s="93" t="s">
        <v>655</v>
      </c>
      <c r="D119" s="138">
        <f t="shared" ref="D119:L119" si="41">-(D77-C77)</f>
        <v>-12.585000000000022</v>
      </c>
      <c r="E119" s="138">
        <f t="shared" si="41"/>
        <v>-38.908999999999992</v>
      </c>
      <c r="F119" s="138">
        <f t="shared" si="41"/>
        <v>-5.275999999999982</v>
      </c>
      <c r="G119" s="138">
        <f t="shared" si="41"/>
        <v>-15.470000000000027</v>
      </c>
      <c r="H119" s="138">
        <f t="shared" si="41"/>
        <v>-0.47499999999999432</v>
      </c>
      <c r="I119" s="138">
        <f t="shared" si="41"/>
        <v>30.249000000000024</v>
      </c>
      <c r="J119" s="138">
        <f t="shared" si="41"/>
        <v>32.604999999999961</v>
      </c>
      <c r="K119" s="138">
        <f t="shared" si="41"/>
        <v>-4.2139999999999418</v>
      </c>
      <c r="L119" s="138">
        <f t="shared" si="41"/>
        <v>17.271999999999949</v>
      </c>
    </row>
    <row r="120" spans="2:15" x14ac:dyDescent="0.2">
      <c r="B120" s="93" t="s">
        <v>656</v>
      </c>
      <c r="D120" s="138">
        <f t="shared" ref="D120:L120" si="42">-(D79-C79)-D115</f>
        <v>-44.782000000000004</v>
      </c>
      <c r="E120" s="138">
        <f t="shared" si="42"/>
        <v>-29.863999999999994</v>
      </c>
      <c r="F120" s="138">
        <f t="shared" si="42"/>
        <v>-31.18</v>
      </c>
      <c r="G120" s="138">
        <f t="shared" si="42"/>
        <v>-68.536000000000001</v>
      </c>
      <c r="H120" s="138">
        <f t="shared" si="42"/>
        <v>-45.670000000000023</v>
      </c>
      <c r="I120" s="138">
        <f t="shared" si="42"/>
        <v>-182.83099999999999</v>
      </c>
      <c r="J120" s="138">
        <f t="shared" si="42"/>
        <v>-52.65499999999998</v>
      </c>
      <c r="K120" s="138">
        <f t="shared" si="42"/>
        <v>-49.667000000000023</v>
      </c>
      <c r="L120" s="138">
        <f t="shared" si="42"/>
        <v>-68.943999999999988</v>
      </c>
    </row>
    <row r="121" spans="2:15" ht="17" thickBot="1" x14ac:dyDescent="0.25">
      <c r="B121" s="93" t="s">
        <v>657</v>
      </c>
      <c r="C121" s="138"/>
      <c r="D121" s="138">
        <f t="shared" ref="D121:K121" si="43">-(D81-C81)-(D80-C80)-D116</f>
        <v>-256.74599999999998</v>
      </c>
      <c r="E121" s="138">
        <f t="shared" si="43"/>
        <v>-3.4489999999999803</v>
      </c>
      <c r="F121" s="138">
        <f t="shared" si="43"/>
        <v>-45.57800000000001</v>
      </c>
      <c r="G121" s="138">
        <f t="shared" si="43"/>
        <v>-14.83900000000002</v>
      </c>
      <c r="H121" s="138">
        <f t="shared" si="43"/>
        <v>-11.712999999999969</v>
      </c>
      <c r="I121" s="138">
        <f t="shared" si="43"/>
        <v>-1622.9070000000002</v>
      </c>
      <c r="J121" s="138">
        <f t="shared" si="43"/>
        <v>-110.63399999999996</v>
      </c>
      <c r="K121" s="138">
        <f t="shared" si="43"/>
        <v>16.895999999999958</v>
      </c>
      <c r="L121" s="138">
        <f>-(L81-K81)-(L80-K80)-L116</f>
        <v>-178.68599999999998</v>
      </c>
      <c r="O121" s="38"/>
    </row>
    <row r="122" spans="2:15" x14ac:dyDescent="0.2">
      <c r="B122" s="165" t="s">
        <v>658</v>
      </c>
      <c r="C122" s="140"/>
      <c r="D122" s="140">
        <f>SUM(D117:D121)</f>
        <v>-141.11847000000003</v>
      </c>
      <c r="E122" s="140">
        <f t="shared" ref="E122:L122" si="44">SUM(E117:E121)</f>
        <v>116.06976000000004</v>
      </c>
      <c r="F122" s="140">
        <f t="shared" si="44"/>
        <v>114.64285000000007</v>
      </c>
      <c r="G122" s="140">
        <f t="shared" si="44"/>
        <v>114.32465999999999</v>
      </c>
      <c r="H122" s="140">
        <f t="shared" si="44"/>
        <v>238.96431000000001</v>
      </c>
      <c r="I122" s="140">
        <f>SUM(I117:I121)</f>
        <v>-1373.8335999999999</v>
      </c>
      <c r="J122" s="140">
        <f t="shared" si="44"/>
        <v>259.26572000000016</v>
      </c>
      <c r="K122" s="140">
        <f t="shared" si="44"/>
        <v>249.53084999999999</v>
      </c>
      <c r="L122" s="140">
        <f t="shared" si="44"/>
        <v>89.77684000000005</v>
      </c>
    </row>
    <row r="123" spans="2:15" x14ac:dyDescent="0.2">
      <c r="C123" s="138"/>
      <c r="D123" s="138"/>
      <c r="E123" s="138"/>
      <c r="F123" s="138"/>
      <c r="G123" s="138"/>
      <c r="H123" s="138"/>
      <c r="I123" s="138"/>
      <c r="J123" s="138"/>
      <c r="K123" s="138"/>
      <c r="L123" s="138"/>
    </row>
    <row r="124" spans="2:15" x14ac:dyDescent="0.2">
      <c r="B124" s="178" t="s">
        <v>659</v>
      </c>
      <c r="C124" s="179"/>
      <c r="D124" s="179">
        <f t="shared" ref="D124:L124" si="45">D26-D113</f>
        <v>-5.9375300000000166</v>
      </c>
      <c r="E124" s="179">
        <f t="shared" si="45"/>
        <v>16.289239999999999</v>
      </c>
      <c r="F124" s="179">
        <f t="shared" si="45"/>
        <v>12.308150000000012</v>
      </c>
      <c r="G124" s="179">
        <f t="shared" si="45"/>
        <v>21.516340000000007</v>
      </c>
      <c r="H124" s="179">
        <f t="shared" si="45"/>
        <v>19.020690000000002</v>
      </c>
      <c r="I124" s="179">
        <f t="shared" si="45"/>
        <v>34.550600000000017</v>
      </c>
      <c r="J124" s="179">
        <f t="shared" si="45"/>
        <v>18.884280000000032</v>
      </c>
      <c r="K124" s="179">
        <f t="shared" si="45"/>
        <v>23.650150000000004</v>
      </c>
      <c r="L124" s="179">
        <f t="shared" si="45"/>
        <v>18.55616000000002</v>
      </c>
    </row>
    <row r="125" spans="2:15" x14ac:dyDescent="0.2">
      <c r="B125" s="178" t="s">
        <v>598</v>
      </c>
      <c r="C125" s="179"/>
      <c r="D125" s="179">
        <f>D52</f>
        <v>1.071</v>
      </c>
      <c r="E125" s="179">
        <f t="shared" ref="E125:L125" si="46">E52</f>
        <v>1.2230000000000001</v>
      </c>
      <c r="F125" s="179">
        <f t="shared" si="46"/>
        <v>1.5149999999999999</v>
      </c>
      <c r="G125" s="179">
        <f t="shared" si="46"/>
        <v>2.8330000000000002</v>
      </c>
      <c r="H125" s="179">
        <f t="shared" si="46"/>
        <v>2.0049999999999999</v>
      </c>
      <c r="I125" s="179">
        <f t="shared" si="46"/>
        <v>0.28399999999999997</v>
      </c>
      <c r="J125" s="179">
        <f t="shared" si="46"/>
        <v>5.6079999999999997</v>
      </c>
      <c r="K125" s="179">
        <f t="shared" si="46"/>
        <v>13.930999999999999</v>
      </c>
      <c r="L125" s="179">
        <f t="shared" si="46"/>
        <v>12.923999999999999</v>
      </c>
    </row>
    <row r="126" spans="2:15" x14ac:dyDescent="0.2">
      <c r="B126" s="178" t="s">
        <v>599</v>
      </c>
      <c r="C126" s="179"/>
      <c r="D126" s="179">
        <f t="shared" ref="D126:L126" si="47">D53+D55</f>
        <v>-8.5310000000000006</v>
      </c>
      <c r="E126" s="179">
        <f t="shared" si="47"/>
        <v>-16.155000000000001</v>
      </c>
      <c r="F126" s="179">
        <f t="shared" si="47"/>
        <v>-6.0269999999999992</v>
      </c>
      <c r="G126" s="179">
        <f t="shared" si="47"/>
        <v>-8.5790000000000006</v>
      </c>
      <c r="H126" s="179">
        <f t="shared" si="47"/>
        <v>-9.3140000000000001</v>
      </c>
      <c r="I126" s="179">
        <f t="shared" si="47"/>
        <v>-43.716000000000001</v>
      </c>
      <c r="J126" s="179">
        <f t="shared" si="47"/>
        <v>-54.451999999999998</v>
      </c>
      <c r="K126" s="179">
        <f t="shared" si="47"/>
        <v>-41.182000000000002</v>
      </c>
      <c r="L126" s="179">
        <f t="shared" si="47"/>
        <v>-34.030999999999999</v>
      </c>
    </row>
    <row r="127" spans="2:15" x14ac:dyDescent="0.2">
      <c r="B127" s="178" t="s">
        <v>619</v>
      </c>
      <c r="C127" s="179"/>
      <c r="D127" s="179">
        <f>D54</f>
        <v>-0.55500000000000005</v>
      </c>
      <c r="E127" s="179">
        <f t="shared" ref="E127:L127" si="48">E54</f>
        <v>-0.40400000000000003</v>
      </c>
      <c r="F127" s="179">
        <f t="shared" si="48"/>
        <v>-0.14299999999999999</v>
      </c>
      <c r="G127" s="179">
        <f t="shared" si="48"/>
        <v>-0.115</v>
      </c>
      <c r="H127" s="179">
        <f t="shared" si="48"/>
        <v>0</v>
      </c>
      <c r="I127" s="179">
        <f t="shared" si="48"/>
        <v>0</v>
      </c>
      <c r="J127" s="179">
        <f t="shared" si="48"/>
        <v>0</v>
      </c>
      <c r="K127" s="179">
        <f t="shared" si="48"/>
        <v>0</v>
      </c>
      <c r="L127" s="179">
        <f t="shared" si="48"/>
        <v>0</v>
      </c>
    </row>
    <row r="128" spans="2:15" x14ac:dyDescent="0.2">
      <c r="B128" s="178" t="s">
        <v>615</v>
      </c>
      <c r="C128" s="179"/>
      <c r="D128" s="179">
        <f>D51</f>
        <v>0.53200000000000003</v>
      </c>
      <c r="E128" s="179">
        <f t="shared" ref="E128:L128" si="49">E51</f>
        <v>-4.1459999999999999</v>
      </c>
      <c r="F128" s="179">
        <f t="shared" si="49"/>
        <v>0.46800000000000003</v>
      </c>
      <c r="G128" s="179">
        <f t="shared" si="49"/>
        <v>-4.1749999999999998</v>
      </c>
      <c r="H128" s="179">
        <f t="shared" si="49"/>
        <v>-4.3959999999999999</v>
      </c>
      <c r="I128" s="179">
        <f t="shared" si="49"/>
        <v>-1.766</v>
      </c>
      <c r="J128" s="179">
        <f t="shared" si="49"/>
        <v>-7.4320000000000004</v>
      </c>
      <c r="K128" s="179">
        <f t="shared" si="49"/>
        <v>-7.3209999999999997</v>
      </c>
      <c r="L128" s="179">
        <f t="shared" si="49"/>
        <v>-14.097</v>
      </c>
    </row>
    <row r="129" spans="2:12" x14ac:dyDescent="0.2">
      <c r="B129" s="178"/>
      <c r="C129" s="179"/>
      <c r="D129" s="179"/>
      <c r="E129" s="179"/>
      <c r="F129" s="179"/>
      <c r="G129" s="179"/>
      <c r="H129" s="179"/>
      <c r="I129" s="179"/>
      <c r="J129" s="179"/>
      <c r="K129" s="179"/>
      <c r="L129" s="179"/>
    </row>
    <row r="130" spans="2:12" x14ac:dyDescent="0.2">
      <c r="B130" s="178" t="s">
        <v>660</v>
      </c>
      <c r="C130" s="179"/>
      <c r="D130" s="179">
        <f t="shared" ref="D130:L130" si="50">D95-C95</f>
        <v>48.100000000000009</v>
      </c>
      <c r="E130" s="179">
        <f t="shared" si="50"/>
        <v>-26.388000000000005</v>
      </c>
      <c r="F130" s="179">
        <f t="shared" si="50"/>
        <v>-3.3300000000000018</v>
      </c>
      <c r="G130" s="179">
        <f t="shared" si="50"/>
        <v>8.5960000000000036</v>
      </c>
      <c r="H130" s="179">
        <f t="shared" si="50"/>
        <v>5.3819999999999943</v>
      </c>
      <c r="I130" s="179">
        <f t="shared" si="50"/>
        <v>1360.498</v>
      </c>
      <c r="J130" s="179">
        <f t="shared" si="50"/>
        <v>-43.173000000000229</v>
      </c>
      <c r="K130" s="179">
        <f t="shared" si="50"/>
        <v>-159.3309999999999</v>
      </c>
      <c r="L130" s="179">
        <f t="shared" si="50"/>
        <v>-178.08900000000006</v>
      </c>
    </row>
    <row r="131" spans="2:12" ht="17" thickBot="1" x14ac:dyDescent="0.25">
      <c r="B131" s="178" t="s">
        <v>661</v>
      </c>
      <c r="C131" s="179"/>
      <c r="D131" s="179">
        <f t="shared" ref="D131:L131" si="51">-(D89-C89)</f>
        <v>5.19</v>
      </c>
      <c r="E131" s="179">
        <f t="shared" si="51"/>
        <v>17.034999999999997</v>
      </c>
      <c r="F131" s="179">
        <f t="shared" si="51"/>
        <v>0.42000000000000171</v>
      </c>
      <c r="G131" s="179">
        <f t="shared" si="51"/>
        <v>-0.80000000000000071</v>
      </c>
      <c r="H131" s="179">
        <f t="shared" si="51"/>
        <v>23.834</v>
      </c>
      <c r="I131" s="179">
        <f t="shared" si="51"/>
        <v>-17.021999999999998</v>
      </c>
      <c r="J131" s="179">
        <f t="shared" si="51"/>
        <v>-87.1</v>
      </c>
      <c r="K131" s="179">
        <f t="shared" si="51"/>
        <v>53.243000000000002</v>
      </c>
      <c r="L131" s="179">
        <f t="shared" si="51"/>
        <v>8.2309999999999999</v>
      </c>
    </row>
    <row r="132" spans="2:12" x14ac:dyDescent="0.2">
      <c r="B132" s="180" t="s">
        <v>662</v>
      </c>
      <c r="C132" s="181"/>
      <c r="D132" s="181">
        <f t="shared" ref="D132:L132" si="52">SUM(D122:D131)</f>
        <v>-101.24900000000004</v>
      </c>
      <c r="E132" s="181">
        <f t="shared" si="52"/>
        <v>103.52400000000004</v>
      </c>
      <c r="F132" s="181">
        <f t="shared" si="52"/>
        <v>119.85400000000007</v>
      </c>
      <c r="G132" s="181">
        <f t="shared" si="52"/>
        <v>133.601</v>
      </c>
      <c r="H132" s="181">
        <f t="shared" si="52"/>
        <v>275.49600000000004</v>
      </c>
      <c r="I132" s="181">
        <f t="shared" si="52"/>
        <v>-41.004999999999718</v>
      </c>
      <c r="J132" s="181">
        <f t="shared" si="52"/>
        <v>91.600999999999999</v>
      </c>
      <c r="K132" s="181">
        <f t="shared" si="52"/>
        <v>132.52100000000004</v>
      </c>
      <c r="L132" s="181">
        <f t="shared" si="52"/>
        <v>-96.728999999999999</v>
      </c>
    </row>
    <row r="133" spans="2:12" x14ac:dyDescent="0.2">
      <c r="B133" s="182"/>
      <c r="C133" s="183"/>
      <c r="D133" s="183"/>
      <c r="E133" s="183"/>
      <c r="F133" s="183"/>
      <c r="G133" s="183"/>
      <c r="H133" s="183"/>
      <c r="I133" s="183"/>
      <c r="J133" s="183"/>
      <c r="K133" s="183"/>
      <c r="L133" s="183"/>
    </row>
    <row r="134" spans="2:12" x14ac:dyDescent="0.2">
      <c r="B134" s="178" t="s">
        <v>663</v>
      </c>
      <c r="C134" s="179"/>
      <c r="D134" s="179">
        <f t="shared" ref="D134:L134" si="53">D65</f>
        <v>0.8</v>
      </c>
      <c r="E134" s="179">
        <f t="shared" si="53"/>
        <v>0.85</v>
      </c>
      <c r="F134" s="179">
        <f t="shared" si="53"/>
        <v>0.9</v>
      </c>
      <c r="G134" s="179">
        <f t="shared" si="53"/>
        <v>0.95</v>
      </c>
      <c r="H134" s="179">
        <f t="shared" si="53"/>
        <v>1</v>
      </c>
      <c r="I134" s="179">
        <f t="shared" si="53"/>
        <v>1.05</v>
      </c>
      <c r="J134" s="179">
        <f t="shared" si="53"/>
        <v>1.1000000000000001</v>
      </c>
      <c r="K134" s="179">
        <f t="shared" si="53"/>
        <v>1.1499999999999999</v>
      </c>
      <c r="L134" s="179">
        <f t="shared" si="53"/>
        <v>1.2</v>
      </c>
    </row>
    <row r="135" spans="2:12" x14ac:dyDescent="0.2">
      <c r="B135" s="178" t="s">
        <v>664</v>
      </c>
      <c r="C135" s="179"/>
      <c r="D135" s="179">
        <f t="shared" ref="D135:L135" si="54">D61</f>
        <v>-0.23499999999999999</v>
      </c>
      <c r="E135" s="179">
        <f t="shared" si="54"/>
        <v>0</v>
      </c>
      <c r="F135" s="179">
        <f t="shared" si="54"/>
        <v>-2E-3</v>
      </c>
      <c r="G135" s="179">
        <f t="shared" si="54"/>
        <v>0</v>
      </c>
      <c r="H135" s="179">
        <f t="shared" si="54"/>
        <v>-0.42499999999999999</v>
      </c>
      <c r="I135" s="179">
        <f t="shared" si="54"/>
        <v>0.23599999999999999</v>
      </c>
      <c r="J135" s="179">
        <f t="shared" si="54"/>
        <v>0.79700000000000004</v>
      </c>
      <c r="K135" s="179">
        <f t="shared" si="54"/>
        <v>1.341</v>
      </c>
      <c r="L135" s="179">
        <f t="shared" si="54"/>
        <v>1.048</v>
      </c>
    </row>
    <row r="136" spans="2:12" x14ac:dyDescent="0.2">
      <c r="B136" s="178" t="s">
        <v>665</v>
      </c>
      <c r="C136" s="179"/>
      <c r="D136" s="179">
        <f t="shared" ref="D136:L136" si="55">D102-C102-D62+D65</f>
        <v>-35.580000000000013</v>
      </c>
      <c r="E136" s="179">
        <f t="shared" si="55"/>
        <v>-60.427999999999962</v>
      </c>
      <c r="F136" s="179">
        <f t="shared" si="55"/>
        <v>-193.91200000000001</v>
      </c>
      <c r="G136" s="179">
        <f t="shared" si="55"/>
        <v>-30.894999999999914</v>
      </c>
      <c r="H136" s="179">
        <f t="shared" si="55"/>
        <v>-140.81600000000003</v>
      </c>
      <c r="I136" s="179">
        <f t="shared" si="55"/>
        <v>101.78099999999999</v>
      </c>
      <c r="J136" s="179">
        <f t="shared" si="55"/>
        <v>-87.194999999999879</v>
      </c>
      <c r="K136" s="179">
        <f t="shared" si="55"/>
        <v>-139.07699999999997</v>
      </c>
      <c r="L136" s="179">
        <f t="shared" si="55"/>
        <v>75.401999999999774</v>
      </c>
    </row>
    <row r="137" spans="2:12" x14ac:dyDescent="0.2">
      <c r="B137" s="178" t="s">
        <v>666</v>
      </c>
      <c r="C137" s="179"/>
      <c r="D137" s="179">
        <f t="shared" ref="D137:L137" si="56">D103-C103</f>
        <v>0.22399999999999998</v>
      </c>
      <c r="E137" s="179">
        <f t="shared" si="56"/>
        <v>-2.9999999999999916E-2</v>
      </c>
      <c r="F137" s="179">
        <f t="shared" si="56"/>
        <v>-0.53600000000000003</v>
      </c>
      <c r="G137" s="179">
        <f t="shared" si="56"/>
        <v>-2E-3</v>
      </c>
      <c r="H137" s="179">
        <f t="shared" si="56"/>
        <v>1.641</v>
      </c>
      <c r="I137" s="179">
        <f t="shared" si="56"/>
        <v>-7.8999999999999959E-2</v>
      </c>
      <c r="J137" s="179">
        <f t="shared" si="56"/>
        <v>-0.80100000000000005</v>
      </c>
      <c r="K137" s="179">
        <f t="shared" si="56"/>
        <v>-1.4039999999999999</v>
      </c>
      <c r="L137" s="179">
        <f t="shared" si="56"/>
        <v>-1.2529999999999999</v>
      </c>
    </row>
    <row r="138" spans="2:12" ht="15" hidden="1" customHeight="1" x14ac:dyDescent="0.2">
      <c r="B138" s="178" t="s">
        <v>665</v>
      </c>
      <c r="C138" s="179"/>
      <c r="D138" s="179"/>
      <c r="E138" s="179"/>
      <c r="F138" s="179"/>
      <c r="G138" s="179"/>
      <c r="H138" s="179"/>
      <c r="I138" s="179"/>
      <c r="J138" s="179"/>
      <c r="K138" s="179"/>
      <c r="L138" s="179"/>
    </row>
    <row r="139" spans="2:12" hidden="1" x14ac:dyDescent="0.2">
      <c r="B139" s="178"/>
      <c r="C139" s="184"/>
      <c r="D139" s="185"/>
      <c r="E139" s="185"/>
      <c r="F139" s="185"/>
      <c r="G139" s="185"/>
      <c r="H139" s="185"/>
      <c r="I139" s="185"/>
      <c r="J139" s="185"/>
      <c r="K139" s="185"/>
      <c r="L139" s="185"/>
    </row>
    <row r="140" spans="2:12" x14ac:dyDescent="0.2">
      <c r="B140" s="178"/>
      <c r="C140" s="184"/>
      <c r="D140" s="185"/>
      <c r="E140" s="185"/>
      <c r="F140" s="185"/>
      <c r="G140" s="185"/>
      <c r="H140" s="185"/>
      <c r="I140" s="185"/>
      <c r="J140" s="185"/>
      <c r="K140" s="185"/>
      <c r="L140" s="185"/>
    </row>
    <row r="141" spans="2:12" x14ac:dyDescent="0.2">
      <c r="B141" s="182" t="s">
        <v>667</v>
      </c>
      <c r="C141" s="183"/>
      <c r="D141" s="183">
        <f>SUM(D132:D137)</f>
        <v>-136.04000000000008</v>
      </c>
      <c r="E141" s="183">
        <f t="shared" ref="E141:L141" si="57">SUM(E132:E137)</f>
        <v>43.916000000000075</v>
      </c>
      <c r="F141" s="183">
        <f t="shared" si="57"/>
        <v>-73.695999999999927</v>
      </c>
      <c r="G141" s="183">
        <f t="shared" si="57"/>
        <v>103.65400000000008</v>
      </c>
      <c r="H141" s="183">
        <f t="shared" si="57"/>
        <v>136.89599999999999</v>
      </c>
      <c r="I141" s="183">
        <f t="shared" si="57"/>
        <v>61.983000000000267</v>
      </c>
      <c r="J141" s="183">
        <f t="shared" si="57"/>
        <v>5.5020000000001108</v>
      </c>
      <c r="K141" s="183">
        <f t="shared" si="57"/>
        <v>-5.4689999999999124</v>
      </c>
      <c r="L141" s="183">
        <f t="shared" si="57"/>
        <v>-20.332000000000221</v>
      </c>
    </row>
    <row r="142" spans="2:12" x14ac:dyDescent="0.2">
      <c r="B142" s="186" t="s">
        <v>607</v>
      </c>
      <c r="C142" s="187"/>
      <c r="D142" s="188">
        <f t="shared" ref="D142:L142" si="58">D141-(D96-C96)</f>
        <v>3.8489999999999611</v>
      </c>
      <c r="E142" s="188">
        <f t="shared" si="58"/>
        <v>1.0700000000000713</v>
      </c>
      <c r="F142" s="188">
        <f t="shared" si="58"/>
        <v>3.0930000000000604</v>
      </c>
      <c r="G142" s="188">
        <f t="shared" si="58"/>
        <v>-1.960999999999899</v>
      </c>
      <c r="H142" s="188">
        <f t="shared" si="58"/>
        <v>-0.97100000000003206</v>
      </c>
      <c r="I142" s="188">
        <f t="shared" si="58"/>
        <v>-1.0299999999997098</v>
      </c>
      <c r="J142" s="188">
        <f t="shared" si="58"/>
        <v>-4.6959999999999251</v>
      </c>
      <c r="K142" s="188">
        <f t="shared" si="58"/>
        <v>4.3600000000000954</v>
      </c>
      <c r="L142" s="188">
        <f t="shared" si="58"/>
        <v>-10.211000000000183</v>
      </c>
    </row>
    <row r="143" spans="2:12" ht="17" thickBot="1" x14ac:dyDescent="0.25">
      <c r="B143" s="186"/>
      <c r="C143" s="187"/>
      <c r="D143" s="187"/>
      <c r="E143" s="187"/>
      <c r="F143" s="187"/>
      <c r="G143" s="187"/>
      <c r="H143" s="187"/>
      <c r="I143" s="187"/>
      <c r="J143" s="187"/>
      <c r="K143" s="178"/>
      <c r="L143" s="178"/>
    </row>
    <row r="144" spans="2:12" x14ac:dyDescent="0.2">
      <c r="B144" s="51"/>
      <c r="C144" s="140"/>
      <c r="D144" s="140"/>
      <c r="E144" s="140"/>
      <c r="F144" s="140"/>
      <c r="G144" s="140"/>
      <c r="H144" s="140"/>
      <c r="I144" s="140"/>
      <c r="J144" s="140"/>
      <c r="K144" s="140"/>
      <c r="L144" s="140"/>
    </row>
    <row r="145" spans="2:12" x14ac:dyDescent="0.2">
      <c r="B145" s="39"/>
      <c r="C145" s="162"/>
      <c r="D145" s="161"/>
      <c r="E145" s="161"/>
      <c r="F145" s="161"/>
      <c r="G145" s="161"/>
      <c r="H145" s="161"/>
      <c r="I145" s="161"/>
      <c r="J145" s="161"/>
      <c r="K145" s="161"/>
      <c r="L145" s="161"/>
    </row>
    <row r="146" spans="2:12" x14ac:dyDescent="0.2"/>
    <row r="147" spans="2:12" x14ac:dyDescent="0.2"/>
    <row r="148" spans="2:12" x14ac:dyDescent="0.2"/>
    <row r="149" spans="2:12" x14ac:dyDescent="0.2"/>
    <row r="150" spans="2:12" x14ac:dyDescent="0.2"/>
    <row r="151" spans="2:12" x14ac:dyDescent="0.2"/>
    <row r="152" spans="2:12" x14ac:dyDescent="0.2"/>
    <row r="153" spans="2:12" x14ac:dyDescent="0.2"/>
    <row r="154" spans="2:12" x14ac:dyDescent="0.2"/>
    <row r="155" spans="2:12" x14ac:dyDescent="0.2"/>
    <row r="156" spans="2:12" x14ac:dyDescent="0.2"/>
    <row r="157" spans="2:12" x14ac:dyDescent="0.2"/>
    <row r="158" spans="2:12" x14ac:dyDescent="0.2"/>
    <row r="159" spans="2:12" x14ac:dyDescent="0.2"/>
    <row r="160" spans="2:12"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sheetData>
  <mergeCells count="2">
    <mergeCell ref="A1:B3"/>
    <mergeCell ref="C3:J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5EF88-755D-2F40-94C1-234D9C89AB16}">
  <dimension ref="B1:AA53"/>
  <sheetViews>
    <sheetView showGridLines="0" zoomScale="106" zoomScaleNormal="100" workbookViewId="0">
      <pane ySplit="6" topLeftCell="A7" activePane="bottomLeft" state="frozen"/>
      <selection activeCell="N59" sqref="N59"/>
      <selection pane="bottomLeft" activeCell="U20" sqref="U20"/>
    </sheetView>
  </sheetViews>
  <sheetFormatPr baseColWidth="10" defaultColWidth="7.1640625" defaultRowHeight="13.25" customHeight="1" x14ac:dyDescent="0.15"/>
  <cols>
    <col min="1" max="1" width="11.1640625" style="23" customWidth="1"/>
    <col min="2" max="2" width="24.5" style="23" customWidth="1"/>
    <col min="3" max="3" width="7.1640625" style="23" customWidth="1"/>
    <col min="4" max="4" width="7.6640625" style="23" customWidth="1"/>
    <col min="5" max="5" width="7.1640625" style="23" customWidth="1"/>
    <col min="6" max="6" width="7.1640625" style="23"/>
    <col min="7" max="7" width="9.5" style="23" bestFit="1" customWidth="1"/>
    <col min="8" max="20" width="7.1640625" style="23"/>
    <col min="21" max="21" width="12" style="23" customWidth="1"/>
    <col min="22" max="16384" width="7.1640625" style="23"/>
  </cols>
  <sheetData>
    <row r="1" spans="2:27" ht="13.25" customHeight="1" x14ac:dyDescent="0.15">
      <c r="B1" s="198"/>
      <c r="C1" s="199"/>
      <c r="D1" s="199"/>
      <c r="E1" s="199"/>
      <c r="F1" s="200"/>
      <c r="G1" s="199"/>
      <c r="H1" s="199"/>
      <c r="I1" s="199"/>
      <c r="J1" s="199"/>
      <c r="K1" s="199"/>
      <c r="L1" s="199"/>
      <c r="M1" s="199"/>
      <c r="N1" s="199"/>
      <c r="O1" s="199"/>
      <c r="P1" s="199"/>
      <c r="Q1" s="199"/>
      <c r="R1" s="199"/>
      <c r="S1" s="199"/>
      <c r="T1" s="199"/>
      <c r="V1" s="257"/>
      <c r="W1" s="257"/>
      <c r="X1" s="257"/>
      <c r="Y1" s="257"/>
    </row>
    <row r="2" spans="2:27" ht="20" customHeight="1" x14ac:dyDescent="0.15">
      <c r="B2" s="198" t="s">
        <v>668</v>
      </c>
      <c r="C2" s="199"/>
      <c r="D2" s="199"/>
      <c r="E2" s="199"/>
      <c r="F2" s="199"/>
      <c r="G2" s="199"/>
      <c r="H2" s="199"/>
      <c r="I2" s="199"/>
      <c r="J2" s="199"/>
      <c r="K2" s="199"/>
      <c r="L2" s="199"/>
      <c r="M2" s="199"/>
      <c r="N2" s="199"/>
      <c r="O2" s="199"/>
      <c r="P2" s="199"/>
      <c r="Q2" s="199"/>
      <c r="R2" s="199"/>
      <c r="S2" s="199"/>
      <c r="T2" s="199"/>
      <c r="V2" s="257"/>
      <c r="W2" s="257"/>
      <c r="X2" s="257"/>
      <c r="Y2" s="257"/>
    </row>
    <row r="3" spans="2:27" ht="13.25" customHeight="1" x14ac:dyDescent="0.15">
      <c r="B3" s="201"/>
      <c r="C3" s="199"/>
      <c r="D3" s="199"/>
      <c r="E3" s="199"/>
      <c r="F3" s="202" t="s">
        <v>586</v>
      </c>
      <c r="G3" s="203"/>
      <c r="H3" s="203"/>
      <c r="I3" s="203"/>
      <c r="J3" s="203"/>
      <c r="K3" s="203"/>
      <c r="L3" s="203"/>
      <c r="M3" s="203"/>
      <c r="N3" s="203"/>
      <c r="O3" s="203"/>
      <c r="P3" s="202" t="s">
        <v>669</v>
      </c>
      <c r="Q3" s="204"/>
      <c r="R3" s="204"/>
      <c r="S3" s="204"/>
      <c r="T3" s="204"/>
      <c r="V3" s="257"/>
      <c r="W3" s="257"/>
      <c r="X3" s="257"/>
      <c r="Y3" s="257"/>
    </row>
    <row r="4" spans="2:27" ht="5" customHeight="1" x14ac:dyDescent="0.15">
      <c r="B4" s="201"/>
      <c r="C4" s="199"/>
      <c r="D4" s="199"/>
      <c r="E4" s="199"/>
      <c r="F4" s="200"/>
      <c r="G4" s="199"/>
      <c r="H4" s="199"/>
      <c r="I4" s="199"/>
      <c r="J4" s="199"/>
      <c r="K4" s="199"/>
      <c r="L4" s="199"/>
      <c r="M4" s="199"/>
      <c r="N4" s="199"/>
      <c r="O4" s="199"/>
      <c r="P4" s="200"/>
      <c r="Q4" s="199"/>
      <c r="R4" s="199"/>
      <c r="S4" s="199"/>
      <c r="T4" s="199"/>
    </row>
    <row r="5" spans="2:27" ht="15" customHeight="1" x14ac:dyDescent="0.15">
      <c r="B5" s="256" t="s">
        <v>670</v>
      </c>
      <c r="C5" s="206"/>
      <c r="D5" s="207"/>
      <c r="E5" s="206"/>
      <c r="F5" s="59">
        <v>2015</v>
      </c>
      <c r="G5" s="59">
        <f>F5+1</f>
        <v>2016</v>
      </c>
      <c r="H5" s="59">
        <f t="shared" ref="H5:N5" si="0">G5+1</f>
        <v>2017</v>
      </c>
      <c r="I5" s="59">
        <f t="shared" si="0"/>
        <v>2018</v>
      </c>
      <c r="J5" s="59">
        <f t="shared" si="0"/>
        <v>2019</v>
      </c>
      <c r="K5" s="59">
        <f t="shared" si="0"/>
        <v>2020</v>
      </c>
      <c r="L5" s="59">
        <f t="shared" si="0"/>
        <v>2021</v>
      </c>
      <c r="M5" s="59">
        <f t="shared" si="0"/>
        <v>2022</v>
      </c>
      <c r="N5" s="59">
        <f t="shared" si="0"/>
        <v>2023</v>
      </c>
      <c r="O5" s="163">
        <f>N5+1</f>
        <v>2024</v>
      </c>
      <c r="P5" s="298">
        <f t="shared" ref="P5:T5" si="1">O5+1</f>
        <v>2025</v>
      </c>
      <c r="Q5" s="298">
        <f t="shared" si="1"/>
        <v>2026</v>
      </c>
      <c r="R5" s="298">
        <f t="shared" si="1"/>
        <v>2027</v>
      </c>
      <c r="S5" s="298">
        <f t="shared" si="1"/>
        <v>2028</v>
      </c>
      <c r="T5" s="298">
        <f t="shared" si="1"/>
        <v>2029</v>
      </c>
      <c r="V5" s="210" t="s">
        <v>671</v>
      </c>
      <c r="W5" s="210"/>
      <c r="X5" s="210"/>
      <c r="Y5" s="210"/>
      <c r="Z5" s="210"/>
      <c r="AA5" s="210"/>
    </row>
    <row r="6" spans="2:27" ht="5" customHeight="1" x14ac:dyDescent="0.15">
      <c r="B6" s="201"/>
      <c r="C6" s="199"/>
      <c r="D6" s="199"/>
      <c r="E6" s="199"/>
      <c r="F6" s="200"/>
      <c r="G6" s="199"/>
      <c r="H6" s="199"/>
      <c r="I6" s="199"/>
      <c r="J6" s="199"/>
      <c r="K6" s="199"/>
      <c r="L6" s="199"/>
      <c r="M6" s="199"/>
      <c r="N6" s="199"/>
      <c r="O6" s="199"/>
      <c r="P6" s="199"/>
      <c r="Q6" s="199"/>
      <c r="R6" s="199"/>
      <c r="S6" s="199"/>
      <c r="T6" s="199"/>
    </row>
    <row r="7" spans="2:27" ht="5" customHeight="1" x14ac:dyDescent="0.15">
      <c r="B7" s="201"/>
      <c r="C7" s="199"/>
      <c r="D7" s="199"/>
      <c r="E7" s="199"/>
      <c r="F7" s="199"/>
      <c r="G7" s="199"/>
      <c r="H7" s="199"/>
      <c r="I7" s="199"/>
      <c r="J7" s="199"/>
      <c r="K7" s="199"/>
      <c r="L7" s="199"/>
      <c r="M7" s="199"/>
      <c r="N7" s="199"/>
      <c r="O7" s="199"/>
      <c r="P7" s="199"/>
      <c r="Q7" s="199"/>
      <c r="R7" s="199"/>
      <c r="S7" s="199"/>
      <c r="T7" s="199"/>
    </row>
    <row r="8" spans="2:27" ht="13.25" customHeight="1" x14ac:dyDescent="0.15">
      <c r="B8" s="211" t="s">
        <v>672</v>
      </c>
      <c r="C8" s="211"/>
      <c r="D8" s="211"/>
      <c r="E8" s="211"/>
      <c r="F8" s="211"/>
      <c r="G8" s="211"/>
      <c r="H8" s="211"/>
      <c r="I8" s="211"/>
      <c r="J8" s="211"/>
      <c r="K8" s="211"/>
      <c r="L8" s="211"/>
      <c r="M8" s="211"/>
      <c r="N8" s="211"/>
      <c r="O8" s="211"/>
      <c r="P8" s="211"/>
      <c r="Q8" s="211"/>
      <c r="R8" s="211"/>
      <c r="S8" s="211"/>
      <c r="T8" s="211"/>
    </row>
    <row r="9" spans="2:27" ht="5" customHeight="1" x14ac:dyDescent="0.15">
      <c r="B9" s="201"/>
    </row>
    <row r="10" spans="2:27" ht="12" customHeight="1" x14ac:dyDescent="0.15">
      <c r="B10" s="252" t="s">
        <v>673</v>
      </c>
      <c r="C10" s="251"/>
      <c r="D10" s="251"/>
      <c r="E10" s="251"/>
      <c r="F10" s="251"/>
      <c r="G10" s="251"/>
      <c r="H10" s="251"/>
      <c r="I10" s="251"/>
      <c r="J10" s="251"/>
      <c r="K10" s="251"/>
      <c r="L10" s="251"/>
      <c r="M10" s="251"/>
      <c r="N10" s="251"/>
      <c r="O10" s="251"/>
      <c r="P10" s="299"/>
      <c r="Q10" s="250"/>
      <c r="R10" s="250"/>
      <c r="S10" s="250"/>
      <c r="T10" s="250"/>
    </row>
    <row r="11" spans="2:27" ht="13.25" customHeight="1" thickBot="1" x14ac:dyDescent="0.2">
      <c r="B11" s="201" t="s">
        <v>674</v>
      </c>
      <c r="G11" s="215">
        <f>Restatements!D8/Restatements!C8-1</f>
        <v>0.14049040426299109</v>
      </c>
      <c r="H11" s="215">
        <f>Restatements!E8/Restatements!D8-1</f>
        <v>0.11975900651666072</v>
      </c>
      <c r="I11" s="215">
        <f>Restatements!F8/Restatements!E8-1</f>
        <v>4.9741956736576221E-2</v>
      </c>
      <c r="J11" s="215">
        <f>Restatements!G8/Restatements!F8-1</f>
        <v>5.5469216975493119E-2</v>
      </c>
      <c r="K11" s="215">
        <f>Restatements!H8/Restatements!G8-1</f>
        <v>0.2477488956846754</v>
      </c>
      <c r="L11" s="215">
        <f>Restatements!I8/Restatements!H8-1</f>
        <v>0.40432991796303241</v>
      </c>
      <c r="M11" s="215">
        <f>Restatements!J8/Restatements!I8-1</f>
        <v>9.9777804710540208E-2</v>
      </c>
      <c r="N11" s="215">
        <f>Restatements!K8/Restatements!J8-1</f>
        <v>-0.15643504709287803</v>
      </c>
      <c r="O11" s="215">
        <f>Restatements!L8/Restatements!K8-1</f>
        <v>3.2415673091159336E-2</v>
      </c>
      <c r="P11" s="240">
        <f t="shared" ref="P11:T11" si="2">+AVERAGE($G$11:$J$11,$O$11)</f>
        <v>7.9575251516576101E-2</v>
      </c>
      <c r="Q11" s="240">
        <f t="shared" si="2"/>
        <v>7.9575251516576101E-2</v>
      </c>
      <c r="R11" s="240">
        <f t="shared" si="2"/>
        <v>7.9575251516576101E-2</v>
      </c>
      <c r="S11" s="240">
        <f t="shared" si="2"/>
        <v>7.9575251516576101E-2</v>
      </c>
      <c r="T11" s="240">
        <f t="shared" si="2"/>
        <v>7.9575251516576101E-2</v>
      </c>
    </row>
    <row r="12" spans="2:27" ht="13.25" customHeight="1" thickTop="1" thickBot="1" x14ac:dyDescent="0.2">
      <c r="B12" s="201" t="s">
        <v>675</v>
      </c>
      <c r="P12" s="240">
        <v>0.05</v>
      </c>
      <c r="Q12" s="240">
        <v>0.05</v>
      </c>
      <c r="R12" s="240">
        <v>0.05</v>
      </c>
      <c r="S12" s="240">
        <v>0.05</v>
      </c>
      <c r="T12" s="240">
        <v>0.05</v>
      </c>
    </row>
    <row r="13" spans="2:27" ht="13.25" customHeight="1" thickTop="1" x14ac:dyDescent="0.15">
      <c r="B13" s="201"/>
      <c r="F13" s="215"/>
      <c r="G13" s="215"/>
      <c r="H13" s="215"/>
      <c r="I13" s="215"/>
      <c r="J13" s="215"/>
      <c r="K13" s="215"/>
      <c r="L13" s="215"/>
      <c r="M13" s="215"/>
      <c r="N13" s="215"/>
      <c r="O13" s="215"/>
    </row>
    <row r="14" spans="2:27" ht="13.25" customHeight="1" x14ac:dyDescent="0.15">
      <c r="B14" s="211" t="s">
        <v>676</v>
      </c>
      <c r="C14" s="211"/>
      <c r="D14" s="211"/>
      <c r="E14" s="211"/>
      <c r="F14" s="211"/>
      <c r="G14" s="211"/>
      <c r="H14" s="211"/>
      <c r="I14" s="211"/>
      <c r="J14" s="211"/>
      <c r="K14" s="211"/>
      <c r="L14" s="211"/>
      <c r="M14" s="211"/>
      <c r="N14" s="211"/>
      <c r="O14" s="211"/>
      <c r="P14" s="211"/>
      <c r="Q14" s="211"/>
      <c r="R14" s="211"/>
      <c r="S14" s="211"/>
      <c r="T14" s="211"/>
    </row>
    <row r="15" spans="2:27" ht="5" customHeight="1" x14ac:dyDescent="0.15">
      <c r="B15" s="201"/>
    </row>
    <row r="16" spans="2:27" ht="13.25" customHeight="1" thickBot="1" x14ac:dyDescent="0.2">
      <c r="B16" s="201" t="s">
        <v>677</v>
      </c>
      <c r="F16" s="237">
        <f>-Restatements!C41/Restatements!C8</f>
        <v>0.2658159381385472</v>
      </c>
      <c r="G16" s="237">
        <f>-Restatements!D41/Restatements!D8</f>
        <v>0.27054153273260617</v>
      </c>
      <c r="H16" s="237">
        <f>-Restatements!E41/Restatements!E8</f>
        <v>0.28116990070432474</v>
      </c>
      <c r="I16" s="237">
        <f>-Restatements!F41/Restatements!F8</f>
        <v>0.28329497907949786</v>
      </c>
      <c r="J16" s="237">
        <f>-Restatements!G41/Restatements!G8</f>
        <v>0.27096358591006908</v>
      </c>
      <c r="K16" s="237">
        <f>-Restatements!H41/Restatements!H8</f>
        <v>0.27245691073515566</v>
      </c>
      <c r="L16" s="237">
        <f>-Restatements!I41/Restatements!I8</f>
        <v>0.3007158728234961</v>
      </c>
      <c r="M16" s="237">
        <f>-Restatements!J41/Restatements!J8</f>
        <v>0.30510307536329839</v>
      </c>
      <c r="N16" s="237">
        <f>-Restatements!K41/Restatements!K8</f>
        <v>0.31710314315325594</v>
      </c>
      <c r="O16" s="237">
        <f>-Restatements!L41/Restatements!L8</f>
        <v>0.29429658436179273</v>
      </c>
      <c r="P16" s="242">
        <v>0.30430466892546082</v>
      </c>
      <c r="Q16" s="242">
        <v>0.30430466892546082</v>
      </c>
      <c r="R16" s="242">
        <v>0.3</v>
      </c>
      <c r="S16" s="242">
        <v>0.3</v>
      </c>
      <c r="T16" s="242">
        <v>0.3</v>
      </c>
    </row>
    <row r="17" spans="2:25" ht="13.25" customHeight="1" thickTop="1" thickBot="1" x14ac:dyDescent="0.25">
      <c r="B17" s="201" t="s">
        <v>678</v>
      </c>
      <c r="F17" s="237">
        <f>-Restatements!C42/Restatements!C8</f>
        <v>0.35486598020754034</v>
      </c>
      <c r="G17" s="237">
        <f>-Restatements!D42/Restatements!D8</f>
        <v>0.34235126732360227</v>
      </c>
      <c r="H17" s="237">
        <f>-Restatements!E42/Restatements!E8</f>
        <v>0.33601311393119893</v>
      </c>
      <c r="I17" s="237">
        <f>-Restatements!F42/Restatements!F8</f>
        <v>0.33725194261805136</v>
      </c>
      <c r="J17" s="237">
        <f>-Restatements!G42/Restatements!G8</f>
        <v>0.33388973836221542</v>
      </c>
      <c r="K17" s="237">
        <f>-Restatements!H42/Restatements!H8</f>
        <v>0.28286868411796079</v>
      </c>
      <c r="L17" s="237">
        <f>-Restatements!I42/Restatements!I8</f>
        <v>0.27272169030016563</v>
      </c>
      <c r="M17" s="237">
        <f>-Restatements!J42/Restatements!J8</f>
        <v>0.32641021496686595</v>
      </c>
      <c r="N17" s="237">
        <f>-Restatements!K42/Restatements!K8</f>
        <v>0.37736563868978673</v>
      </c>
      <c r="O17" s="237">
        <f>-Restatements!L42/Restatements!L8</f>
        <v>0.36262453286992902</v>
      </c>
      <c r="P17" s="242">
        <f>O17*(1+$O$17-$T$17)^(1/5)</f>
        <v>0.36477379933542414</v>
      </c>
      <c r="Q17" s="242">
        <v>0.36</v>
      </c>
      <c r="R17" s="242">
        <v>0.33</v>
      </c>
      <c r="S17" s="242">
        <v>0.33</v>
      </c>
      <c r="T17" s="242">
        <f t="shared" ref="T17" si="3">+AVERAGE($F17:$O17)</f>
        <v>0.3326362803387316</v>
      </c>
      <c r="V17"/>
      <c r="W17" s="396" t="s">
        <v>573</v>
      </c>
      <c r="X17" s="396"/>
      <c r="Y17" s="396" t="s">
        <v>679</v>
      </c>
    </row>
    <row r="18" spans="2:25" ht="13.25" customHeight="1" thickTop="1" thickBot="1" x14ac:dyDescent="0.25">
      <c r="V18" s="393" t="s">
        <v>680</v>
      </c>
      <c r="W18" s="397">
        <v>5398.522591022087</v>
      </c>
      <c r="X18" s="395">
        <v>643.35306165722398</v>
      </c>
      <c r="Y18" s="397">
        <v>6041.8756526793113</v>
      </c>
    </row>
    <row r="19" spans="2:25" ht="13.25" customHeight="1" x14ac:dyDescent="0.2">
      <c r="B19" s="211" t="s">
        <v>681</v>
      </c>
      <c r="C19" s="211"/>
      <c r="D19" s="211"/>
      <c r="E19" s="211"/>
      <c r="F19" s="211"/>
      <c r="G19" s="211"/>
      <c r="H19" s="211"/>
      <c r="I19" s="211"/>
      <c r="J19" s="211"/>
      <c r="K19" s="211"/>
      <c r="L19" s="211"/>
      <c r="M19" s="211"/>
      <c r="N19" s="211"/>
      <c r="O19" s="211"/>
      <c r="P19" s="211"/>
      <c r="Q19" s="211"/>
      <c r="R19" s="211"/>
      <c r="S19" s="211"/>
      <c r="T19" s="211"/>
      <c r="V19" s="394" t="s">
        <v>682</v>
      </c>
      <c r="W19" s="397">
        <v>5976.9648979506865</v>
      </c>
      <c r="X19" s="395">
        <v>643.35306165722398</v>
      </c>
      <c r="Y19" s="397">
        <v>6620.3179596079108</v>
      </c>
    </row>
    <row r="20" spans="2:25" ht="5" customHeight="1" x14ac:dyDescent="0.15">
      <c r="B20" s="201"/>
    </row>
    <row r="21" spans="2:25" ht="13.25" customHeight="1" thickBot="1" x14ac:dyDescent="0.2">
      <c r="B21" s="201" t="s">
        <v>683</v>
      </c>
      <c r="F21" s="249">
        <f>-Restatements!C120/Restatements!C38</f>
        <v>0</v>
      </c>
      <c r="G21" s="249">
        <f>-Restatements!D120/Restatements!D38</f>
        <v>7.8659856107020407E-2</v>
      </c>
      <c r="H21" s="249">
        <f>-Restatements!E120/Restatements!E38</f>
        <v>4.6846445496143446E-2</v>
      </c>
      <c r="I21" s="249">
        <f>-Restatements!F120/Restatements!F38</f>
        <v>4.6593155677625571E-2</v>
      </c>
      <c r="J21" s="249">
        <f>-Restatements!G120/Restatements!G38</f>
        <v>9.7032643890366824E-2</v>
      </c>
      <c r="K21" s="249">
        <f>-Restatements!H120/Restatements!H38</f>
        <v>5.1820879264272895E-2</v>
      </c>
      <c r="L21" s="249">
        <f>-Restatements!I120/Restatements!I38</f>
        <v>0.14772383881117016</v>
      </c>
      <c r="M21" s="249">
        <f>-Restatements!J120/Restatements!J38</f>
        <v>3.8684541905376221E-2</v>
      </c>
      <c r="N21" s="249">
        <f>-Restatements!K120/Restatements!K38</f>
        <v>4.3256024594804106E-2</v>
      </c>
      <c r="O21" s="249">
        <f>-Restatements!L120/Restatements!L38</f>
        <v>5.8159633617253521E-2</v>
      </c>
      <c r="P21" s="240">
        <f>+AVERAGE($H21:$I21)</f>
        <v>4.6719800586884505E-2</v>
      </c>
      <c r="Q21" s="240">
        <f t="shared" ref="Q21:T21" si="4">+AVERAGE($H21:$I21)</f>
        <v>4.6719800586884505E-2</v>
      </c>
      <c r="R21" s="240">
        <f t="shared" si="4"/>
        <v>4.6719800586884505E-2</v>
      </c>
      <c r="S21" s="240">
        <f t="shared" si="4"/>
        <v>4.6719800586884505E-2</v>
      </c>
      <c r="T21" s="240">
        <f t="shared" si="4"/>
        <v>4.6719800586884505E-2</v>
      </c>
    </row>
    <row r="22" spans="2:25" ht="13.25" customHeight="1" thickTop="1" thickBot="1" x14ac:dyDescent="0.2">
      <c r="B22" s="246" t="s">
        <v>684</v>
      </c>
      <c r="D22" s="248"/>
      <c r="G22" s="237">
        <f>-Restatements!D46/Restatements!C79</f>
        <v>0.36434295839877573</v>
      </c>
      <c r="H22" s="237">
        <f>-Restatements!E46/Restatements!D79</f>
        <v>0.32198753988755507</v>
      </c>
      <c r="I22" s="237">
        <f>-Restatements!F46/Restatements!E79</f>
        <v>0.3090044621582983</v>
      </c>
      <c r="J22" s="237">
        <f>-Restatements!G46/Restatements!F79</f>
        <v>0.36988450321643274</v>
      </c>
      <c r="K22" s="237">
        <f>-Restatements!H46/Restatements!G79</f>
        <v>0.26138567589671691</v>
      </c>
      <c r="L22" s="237">
        <f>-Restatements!I46/Restatements!H79</f>
        <v>0.33545912012356133</v>
      </c>
      <c r="M22" s="237">
        <f>-Restatements!J46/Restatements!I79</f>
        <v>0.21869897211048636</v>
      </c>
      <c r="N22" s="237">
        <f>-Restatements!K46/Restatements!J79</f>
        <v>0.23032021099058292</v>
      </c>
      <c r="O22" s="237">
        <f>-Restatements!L46/Restatements!K79</f>
        <v>0.21019876232022039</v>
      </c>
      <c r="P22" s="240">
        <f>+AVERAGE($N22:$O22)</f>
        <v>0.22025948665540165</v>
      </c>
      <c r="Q22" s="240">
        <f t="shared" ref="Q22:T22" si="5">+AVERAGE($M22:$O22)</f>
        <v>0.21973931514042988</v>
      </c>
      <c r="R22" s="240">
        <f t="shared" si="5"/>
        <v>0.21973931514042988</v>
      </c>
      <c r="S22" s="240">
        <f t="shared" si="5"/>
        <v>0.21973931514042988</v>
      </c>
      <c r="T22" s="240">
        <f t="shared" si="5"/>
        <v>0.21973931514042988</v>
      </c>
    </row>
    <row r="23" spans="2:25" ht="13.25" customHeight="1" thickTop="1" x14ac:dyDescent="0.15"/>
    <row r="24" spans="2:25" ht="13.25" customHeight="1" thickBot="1" x14ac:dyDescent="0.2">
      <c r="B24" s="246" t="s">
        <v>685</v>
      </c>
      <c r="G24" s="215">
        <f>-Restatements!D121/Restatements!D38</f>
        <v>0.45097591478837612</v>
      </c>
      <c r="H24" s="215">
        <f>-Restatements!E121/Restatements!E38</f>
        <v>5.4103064062482539E-3</v>
      </c>
      <c r="I24" s="215">
        <f>-Restatements!F121/Restatements!F38</f>
        <v>6.8108494210225107E-2</v>
      </c>
      <c r="J24" s="215">
        <f>-Restatements!G121/Restatements!G38</f>
        <v>2.1008920898347661E-2</v>
      </c>
      <c r="K24" s="215">
        <f>-Restatements!H121/Restatements!H38</f>
        <v>1.3290518038590465E-2</v>
      </c>
      <c r="L24" s="215">
        <f>-Restatements!I121/Restatements!I38</f>
        <v>1.3112768188847612</v>
      </c>
      <c r="M24" s="215">
        <f>-Restatements!J121/Restatements!J38</f>
        <v>8.1280516744077352E-2</v>
      </c>
      <c r="N24" s="215">
        <f>-Restatements!K121/Restatements!K38</f>
        <v>-1.4715078252236053E-2</v>
      </c>
      <c r="O24" s="215">
        <f>-Restatements!L121/Restatements!L38</f>
        <v>0.15073555773573571</v>
      </c>
      <c r="P24" s="247">
        <f>AVERAGE($H$24:$K$24,$M$24:$O$24)</f>
        <v>4.6445605111569789E-2</v>
      </c>
      <c r="Q24" s="247">
        <f t="shared" ref="Q24:T24" si="6">AVERAGE($H$24:$K$24,$M$24:$O$24)</f>
        <v>4.6445605111569789E-2</v>
      </c>
      <c r="R24" s="247">
        <f t="shared" si="6"/>
        <v>4.6445605111569789E-2</v>
      </c>
      <c r="S24" s="247">
        <f t="shared" si="6"/>
        <v>4.6445605111569789E-2</v>
      </c>
      <c r="T24" s="247">
        <f t="shared" si="6"/>
        <v>4.6445605111569789E-2</v>
      </c>
    </row>
    <row r="25" spans="2:25" ht="13.25" customHeight="1" thickTop="1" thickBot="1" x14ac:dyDescent="0.2">
      <c r="B25" s="246" t="s">
        <v>686</v>
      </c>
      <c r="G25" s="215">
        <f>-Restatements!D121/SUM(Restatements!C80:C81)</f>
        <v>2.1775482163757567</v>
      </c>
      <c r="H25" s="215">
        <f>-Restatements!E121/SUM(Restatements!D80:D81)</f>
        <v>9.6587376710371743E-3</v>
      </c>
      <c r="I25" s="215">
        <f>-Restatements!F121/SUM(Restatements!E80:E81)</f>
        <v>0.1323595179323363</v>
      </c>
      <c r="J25" s="215">
        <f>-Restatements!G121/SUM(Restatements!F80:F81)</f>
        <v>3.9773884701568597E-2</v>
      </c>
      <c r="K25" s="215">
        <f>-Restatements!H121/SUM(Restatements!G80:G81)</f>
        <v>3.1632903837376596E-2</v>
      </c>
      <c r="L25" s="215">
        <f>-Restatements!I121/SUM(Restatements!H80:H81)</f>
        <v>4.5493094352422103</v>
      </c>
      <c r="M25" s="215">
        <f>-Restatements!J121/SUM(Restatements!I80:I81)</f>
        <v>5.6928972315602414E-2</v>
      </c>
      <c r="N25" s="215">
        <f>-Restatements!K121/SUM(Restatements!J80:J81)</f>
        <v>-8.4689054932099682E-3</v>
      </c>
      <c r="O25" s="215">
        <f>-Restatements!L121/SUM(Restatements!K80:K81)</f>
        <v>9.2825342732614002E-2</v>
      </c>
      <c r="P25" s="240">
        <f>AVERAGE($O$25,$N$25,$M$25,$K$25,$J$25,$H$25)</f>
        <v>3.7058489294164804E-2</v>
      </c>
      <c r="Q25" s="240">
        <f t="shared" ref="Q25:T25" si="7">AVERAGE($O$25,$N$25,$M$25,$K$25,$J$25,$H$25)</f>
        <v>3.7058489294164804E-2</v>
      </c>
      <c r="R25" s="240">
        <f t="shared" si="7"/>
        <v>3.7058489294164804E-2</v>
      </c>
      <c r="S25" s="240">
        <f t="shared" si="7"/>
        <v>3.7058489294164804E-2</v>
      </c>
      <c r="T25" s="240">
        <f t="shared" si="7"/>
        <v>3.7058489294164804E-2</v>
      </c>
    </row>
    <row r="26" spans="2:25" ht="13.25" customHeight="1" thickTop="1" x14ac:dyDescent="0.15">
      <c r="B26" s="201"/>
      <c r="D26" s="218"/>
      <c r="F26" s="218"/>
      <c r="G26" s="218"/>
      <c r="H26" s="218"/>
      <c r="I26" s="218"/>
      <c r="J26" s="218"/>
      <c r="K26" s="218"/>
      <c r="L26" s="218"/>
      <c r="M26" s="218"/>
      <c r="N26" s="218"/>
      <c r="O26" s="218"/>
      <c r="R26" s="221"/>
      <c r="S26" s="221"/>
      <c r="T26" s="221"/>
    </row>
    <row r="27" spans="2:25" ht="13.25" customHeight="1" thickBot="1" x14ac:dyDescent="0.2">
      <c r="B27" s="201" t="s">
        <v>687</v>
      </c>
      <c r="F27" s="244">
        <f>+(Restatements!C70*365)/(Restatements!C38*(1+$F$46))</f>
        <v>63.295949256685724</v>
      </c>
      <c r="G27" s="244">
        <f>+(Restatements!D70*365)/(Restatements!D38*(1+$F$46))</f>
        <v>63.198607107940923</v>
      </c>
      <c r="H27" s="244">
        <f>+(Restatements!E70*365)/(Restatements!E38*(1+$F$46))</f>
        <v>69.101505560756294</v>
      </c>
      <c r="I27" s="244">
        <f>+(Restatements!F70*365)/(Restatements!F38*(1+$F$46))</f>
        <v>60.911098809713629</v>
      </c>
      <c r="J27" s="244">
        <f>+(Restatements!G70*365)/(Restatements!G38*(1+$F$46))</f>
        <v>59.512537628994508</v>
      </c>
      <c r="K27" s="244">
        <f>+(Restatements!H70*365)/(Restatements!H38*(1+$F$46))</f>
        <v>56.585939387017447</v>
      </c>
      <c r="L27" s="244">
        <f>+(Restatements!I70*365)/(Restatements!I38*(1+$F$46))</f>
        <v>54.69157777537179</v>
      </c>
      <c r="M27" s="244">
        <f>+(Restatements!J70*365)/(Restatements!J38*(1+$F$46))</f>
        <v>53.049778694100929</v>
      </c>
      <c r="N27" s="244">
        <f>+(Restatements!K70*365)/(Restatements!K38*(1+$F$46))</f>
        <v>59.593481999994005</v>
      </c>
      <c r="O27" s="244">
        <f>+(Restatements!L70*365)/(Restatements!L38*(1+$F$46))</f>
        <v>51.513923591785364</v>
      </c>
      <c r="P27" s="245">
        <f>+AVERAGE($M27:$O27)</f>
        <v>54.719061428626766</v>
      </c>
      <c r="Q27" s="245">
        <f t="shared" ref="Q27:T27" si="8">+AVERAGE($M27:$O27)</f>
        <v>54.719061428626766</v>
      </c>
      <c r="R27" s="245">
        <f t="shared" si="8"/>
        <v>54.719061428626766</v>
      </c>
      <c r="S27" s="245">
        <f t="shared" si="8"/>
        <v>54.719061428626766</v>
      </c>
      <c r="T27" s="245">
        <f t="shared" si="8"/>
        <v>54.719061428626766</v>
      </c>
    </row>
    <row r="28" spans="2:25" ht="13.25" customHeight="1" thickTop="1" thickBot="1" x14ac:dyDescent="0.2">
      <c r="B28" s="201" t="s">
        <v>688</v>
      </c>
      <c r="F28" s="244">
        <f>Restatements!C71*365/(Restatements!C41*(1+$F$46))</f>
        <v>91.936678490108221</v>
      </c>
      <c r="G28" s="244">
        <f>Restatements!D71*365/(Restatements!D41*(1+$F$46))</f>
        <v>92.604452291358839</v>
      </c>
      <c r="H28" s="244">
        <f>Restatements!E71*365/(Restatements!E41*(1+$F$46))</f>
        <v>104.03870174229088</v>
      </c>
      <c r="I28" s="244">
        <f>Restatements!F71*365/(Restatements!F41*(1+$F$46))</f>
        <v>90.403807672156404</v>
      </c>
      <c r="J28" s="244">
        <f>Restatements!G71*365/(Restatements!G41*(1+$F$46))</f>
        <v>87.123039773415911</v>
      </c>
      <c r="K28" s="244">
        <f>Restatements!H71*365/(Restatements!H41*(1+$F$46))</f>
        <v>81.592142939508349</v>
      </c>
      <c r="L28" s="244">
        <f>Restatements!I71*365/(Restatements!I41*(1+$F$46))</f>
        <v>68.145375326591704</v>
      </c>
      <c r="M28" s="244">
        <f>Restatements!J71*365/(Restatements!J41*(1+$F$46))</f>
        <v>75.07028107059655</v>
      </c>
      <c r="N28" s="244">
        <f>Restatements!K71*365/(Restatements!K41*(1+$F$46))</f>
        <v>82.749715321739458</v>
      </c>
      <c r="O28" s="244">
        <f>Restatements!L71*365/(Restatements!L41*(1+$F$46))</f>
        <v>85.345822000034957</v>
      </c>
      <c r="P28" s="245">
        <f>+AVERAGE($F$28:$I$28,$O$28)</f>
        <v>92.865892439189864</v>
      </c>
      <c r="Q28" s="245">
        <f t="shared" ref="Q28:T28" si="9">+AVERAGE($F$28:$I$28,$O$28)</f>
        <v>92.865892439189864</v>
      </c>
      <c r="R28" s="245">
        <f t="shared" si="9"/>
        <v>92.865892439189864</v>
      </c>
      <c r="S28" s="245">
        <f t="shared" si="9"/>
        <v>92.865892439189864</v>
      </c>
      <c r="T28" s="245">
        <f t="shared" si="9"/>
        <v>92.865892439189864</v>
      </c>
    </row>
    <row r="29" spans="2:25" ht="13.25" customHeight="1" thickTop="1" thickBot="1" x14ac:dyDescent="0.2">
      <c r="B29" s="201" t="s">
        <v>689</v>
      </c>
      <c r="F29" s="244">
        <f>365*Restatements!C72/Restatements!C8</f>
        <v>77.648233102287747</v>
      </c>
      <c r="G29" s="244">
        <f>365*Restatements!D72/Restatements!D8</f>
        <v>82.622033689905336</v>
      </c>
      <c r="H29" s="244">
        <f>365*Restatements!E72/Restatements!E8</f>
        <v>81.76242764592385</v>
      </c>
      <c r="I29" s="244">
        <f>365*Restatements!F72/Restatements!F8</f>
        <v>87.48436939629407</v>
      </c>
      <c r="J29" s="244">
        <f>365*Restatements!G72/Restatements!G8</f>
        <v>88.432091686487709</v>
      </c>
      <c r="K29" s="244">
        <f>365*Restatements!H72/Restatements!H8</f>
        <v>79.200746615833253</v>
      </c>
      <c r="L29" s="244">
        <f>365*Restatements!I72/Restatements!I8</f>
        <v>87.898747626550303</v>
      </c>
      <c r="M29" s="244">
        <f>365*Restatements!J72/Restatements!J8</f>
        <v>82.191100841941306</v>
      </c>
      <c r="N29" s="244">
        <f>365*Restatements!K72/Restatements!K8</f>
        <v>100.29306485747381</v>
      </c>
      <c r="O29" s="244">
        <f>365*Restatements!L72/Restatements!L8</f>
        <v>105.93261095130038</v>
      </c>
      <c r="P29" s="245">
        <f>+AVERAGE($F29:$H29)</f>
        <v>80.67756481270564</v>
      </c>
      <c r="Q29" s="245">
        <f t="shared" ref="Q29:T29" si="10">+AVERAGE($F29:$H29)</f>
        <v>80.67756481270564</v>
      </c>
      <c r="R29" s="245">
        <f t="shared" si="10"/>
        <v>80.67756481270564</v>
      </c>
      <c r="S29" s="245">
        <f t="shared" si="10"/>
        <v>80.67756481270564</v>
      </c>
      <c r="T29" s="245">
        <f t="shared" si="10"/>
        <v>80.67756481270564</v>
      </c>
    </row>
    <row r="30" spans="2:25" ht="13.25" customHeight="1" thickTop="1" x14ac:dyDescent="0.15">
      <c r="B30" s="201"/>
      <c r="F30" s="244"/>
      <c r="G30" s="244"/>
      <c r="H30" s="244"/>
      <c r="I30" s="244"/>
      <c r="J30" s="244"/>
      <c r="K30" s="244"/>
      <c r="L30" s="244"/>
      <c r="M30" s="244"/>
      <c r="N30" s="244"/>
      <c r="O30" s="244"/>
      <c r="P30" s="244"/>
      <c r="Q30" s="244"/>
      <c r="R30" s="244"/>
      <c r="S30" s="244"/>
      <c r="T30" s="244"/>
    </row>
    <row r="31" spans="2:25" ht="13.25" customHeight="1" thickBot="1" x14ac:dyDescent="0.2">
      <c r="B31" s="201" t="s">
        <v>690</v>
      </c>
      <c r="F31" s="243">
        <f>Restatements!C73/Restatements!C38</f>
        <v>-4.168427884875426E-2</v>
      </c>
      <c r="G31" s="243">
        <f>Restatements!D73/Restatements!D38</f>
        <v>-5.548451464223484E-2</v>
      </c>
      <c r="H31" s="243">
        <f>Restatements!E73/Restatements!E38</f>
        <v>-4.988964480844315E-2</v>
      </c>
      <c r="I31" s="243">
        <f>Restatements!F73/Restatements!F38</f>
        <v>-4.3868995228609813E-2</v>
      </c>
      <c r="J31" s="243">
        <f>Restatements!G73/Restatements!G38</f>
        <v>-4.8335100712284397E-2</v>
      </c>
      <c r="K31" s="243">
        <f>Restatements!H73/Restatements!H38</f>
        <v>-5.0719104055917077E-2</v>
      </c>
      <c r="L31" s="243">
        <f>Restatements!I73/Restatements!I38</f>
        <v>-6.1258639328923919E-2</v>
      </c>
      <c r="M31" s="243">
        <f>Restatements!J73/Restatements!J38</f>
        <v>-2.6035567297364413E-2</v>
      </c>
      <c r="N31" s="243">
        <f>Restatements!K73/Restatements!K38</f>
        <v>-5.6845873141672693E-2</v>
      </c>
      <c r="O31" s="243">
        <f>Restatements!L73/Restatements!L38</f>
        <v>-7.1001419741578364E-2</v>
      </c>
      <c r="P31" s="242">
        <f>AVERAGE($F$31:$O$31)</f>
        <v>-5.0512313780578286E-2</v>
      </c>
      <c r="Q31" s="242">
        <f t="shared" ref="Q31:T31" si="11">AVERAGE($F$31:$O$31)</f>
        <v>-5.0512313780578286E-2</v>
      </c>
      <c r="R31" s="242">
        <f t="shared" si="11"/>
        <v>-5.0512313780578286E-2</v>
      </c>
      <c r="S31" s="242">
        <f t="shared" si="11"/>
        <v>-5.0512313780578286E-2</v>
      </c>
      <c r="T31" s="242">
        <f t="shared" si="11"/>
        <v>-5.0512313780578286E-2</v>
      </c>
    </row>
    <row r="32" spans="2:25" ht="13.25" customHeight="1" thickTop="1" x14ac:dyDescent="0.15">
      <c r="B32" s="201"/>
      <c r="D32" s="199"/>
      <c r="F32" s="199"/>
      <c r="G32" s="199"/>
      <c r="H32" s="199"/>
      <c r="I32" s="199"/>
      <c r="J32" s="199"/>
      <c r="K32" s="199"/>
      <c r="L32" s="199"/>
      <c r="M32" s="199"/>
      <c r="N32" s="199"/>
      <c r="O32" s="199"/>
    </row>
    <row r="33" spans="2:21" ht="13.25" customHeight="1" x14ac:dyDescent="0.15">
      <c r="B33" s="211" t="s">
        <v>691</v>
      </c>
      <c r="C33" s="211"/>
      <c r="D33" s="211"/>
      <c r="E33" s="211"/>
      <c r="F33" s="211"/>
      <c r="G33" s="211"/>
      <c r="H33" s="211"/>
      <c r="I33" s="211"/>
      <c r="J33" s="211"/>
      <c r="K33" s="211"/>
      <c r="L33" s="211"/>
      <c r="M33" s="211"/>
      <c r="N33" s="211"/>
      <c r="O33" s="211"/>
      <c r="P33" s="211"/>
      <c r="Q33" s="211"/>
      <c r="R33" s="211"/>
      <c r="S33" s="211"/>
      <c r="T33" s="211"/>
    </row>
    <row r="34" spans="2:21" ht="5" customHeight="1" x14ac:dyDescent="0.15">
      <c r="B34" s="201"/>
      <c r="U34" s="239"/>
    </row>
    <row r="35" spans="2:21" ht="13.25" customHeight="1" thickBot="1" x14ac:dyDescent="0.2">
      <c r="B35" s="201" t="s">
        <v>692</v>
      </c>
      <c r="F35" s="237">
        <f>Restatements!C65/Restatements!C62</f>
        <v>6.4728141804421468E-3</v>
      </c>
      <c r="G35" s="237">
        <f>Restatements!D65/Restatements!D62</f>
        <v>7.118514366051802E-3</v>
      </c>
      <c r="H35" s="237">
        <f>Restatements!E65/Restatements!E62</f>
        <v>6.0767240023449007E-3</v>
      </c>
      <c r="I35" s="237">
        <f>Restatements!F65/Restatements!F62</f>
        <v>5.6915916219771349E-3</v>
      </c>
      <c r="J35" s="237">
        <f>Restatements!G65/Restatements!G62</f>
        <v>5.4058667880615696E-3</v>
      </c>
      <c r="K35" s="237">
        <f>Restatements!H65/Restatements!H62</f>
        <v>4.0343565806407371E-3</v>
      </c>
      <c r="L35" s="237">
        <f>Restatements!I65/Restatements!I62</f>
        <v>3.3765532144786605E-3</v>
      </c>
      <c r="M35" s="237">
        <f>Restatements!J65/Restatements!J62</f>
        <v>4.5660773659544985E-3</v>
      </c>
      <c r="N35" s="237">
        <f>Restatements!K65/Restatements!K62</f>
        <v>7.1942896108202091E-3</v>
      </c>
      <c r="O35" s="237">
        <f>Restatements!L65/Restatements!L62</f>
        <v>6.3794157518407262E-3</v>
      </c>
      <c r="P35" s="242">
        <f>+AVERAGE($F35:$O35)</f>
        <v>5.6316203482612379E-3</v>
      </c>
      <c r="Q35" s="242">
        <f t="shared" ref="Q35:T35" si="12">+AVERAGE($F35:$O35)</f>
        <v>5.6316203482612379E-3</v>
      </c>
      <c r="R35" s="242">
        <f t="shared" si="12"/>
        <v>5.6316203482612379E-3</v>
      </c>
      <c r="S35" s="242">
        <f t="shared" si="12"/>
        <v>5.6316203482612379E-3</v>
      </c>
      <c r="T35" s="242">
        <f t="shared" si="12"/>
        <v>5.6316203482612379E-3</v>
      </c>
    </row>
    <row r="36" spans="2:21" ht="13.25" customHeight="1" thickTop="1" thickBot="1" x14ac:dyDescent="0.2">
      <c r="B36" s="201" t="s">
        <v>693</v>
      </c>
      <c r="P36" s="238"/>
      <c r="Q36" s="238"/>
      <c r="R36" s="238"/>
      <c r="S36" s="238"/>
      <c r="T36" s="238"/>
    </row>
    <row r="37" spans="2:21" ht="13.25" customHeight="1" thickTop="1" thickBot="1" x14ac:dyDescent="0.2">
      <c r="B37" s="201"/>
    </row>
    <row r="38" spans="2:21" ht="13.25" customHeight="1" thickTop="1" thickBot="1" x14ac:dyDescent="0.2">
      <c r="B38" s="201" t="s">
        <v>694</v>
      </c>
      <c r="F38" s="237">
        <f>Restatements!C93/Restatements!C38</f>
        <v>4.6075471622517685E-3</v>
      </c>
      <c r="G38" s="237">
        <f>Restatements!D93/Restatements!D38</f>
        <v>4.6568489685796188E-2</v>
      </c>
      <c r="H38" s="237">
        <f>Restatements!E93/Restatements!E38</f>
        <v>3.750664719437416E-2</v>
      </c>
      <c r="I38" s="237">
        <f>Restatements!F93/Restatements!F38</f>
        <v>3.078465683498282E-2</v>
      </c>
      <c r="J38" s="237">
        <f>Restatements!G93/Restatements!G38</f>
        <v>6.812785724297379E-3</v>
      </c>
      <c r="K38" s="237">
        <f>Restatements!H93/Restatements!H38</f>
        <v>4.7758721441498687E-3</v>
      </c>
      <c r="L38" s="237">
        <f>Restatements!I93/Restatements!I38</f>
        <v>8.1130105829254381E-2</v>
      </c>
      <c r="M38" s="237">
        <f>Restatements!J93/Restatements!J38</f>
        <v>8.8176217253504052E-2</v>
      </c>
      <c r="N38" s="237">
        <f>Restatements!K93/Restatements!K38</f>
        <v>9.5495597495231704E-2</v>
      </c>
      <c r="O38" s="237">
        <f>Restatements!L93/Restatements!L38</f>
        <v>4.0309525597105517E-2</v>
      </c>
      <c r="P38" s="236">
        <f>+AVERAGE($I$38,$G$38,$F$38)</f>
        <v>2.732023122767693E-2</v>
      </c>
      <c r="Q38" s="236">
        <f>+AVERAGE($I$38,$G$38,$F$38)</f>
        <v>2.732023122767693E-2</v>
      </c>
      <c r="R38" s="236">
        <f>+AVERAGE($I$38,$G$38,$F$38)</f>
        <v>2.732023122767693E-2</v>
      </c>
      <c r="S38" s="236">
        <f>+AVERAGE($I$38,$G$38,$F$38)</f>
        <v>2.732023122767693E-2</v>
      </c>
      <c r="T38" s="236">
        <f>+AVERAGE($I$38,$G$38,$F$38)</f>
        <v>2.732023122767693E-2</v>
      </c>
      <c r="U38" s="239"/>
    </row>
    <row r="39" spans="2:21" ht="13.25" customHeight="1" thickTop="1" thickBot="1" x14ac:dyDescent="0.2">
      <c r="B39" s="201" t="s">
        <v>695</v>
      </c>
      <c r="F39" s="241"/>
      <c r="G39" s="237">
        <f>-SUM(Restatements!D53)/AVERAGE(Restatements!C95:D95)</f>
        <v>0.11783681214421252</v>
      </c>
      <c r="H39" s="237">
        <f>-SUM(Restatements!E53)/AVERAGE(Restatements!D95:E95)</f>
        <v>0.11108423372574315</v>
      </c>
      <c r="I39" s="237">
        <f>-SUM(Restatements!F53)/AVERAGE(Restatements!E95:F95)</f>
        <v>0.19322504139258062</v>
      </c>
      <c r="J39" s="237">
        <f>-SUM(Restatements!G53)/AVERAGE(Restatements!F95:G95)</f>
        <v>0.15868694955964771</v>
      </c>
      <c r="K39" s="237">
        <f>-SUM(Restatements!H53)/AVERAGE(Restatements!G95:H95)</f>
        <v>0.10726015827833213</v>
      </c>
      <c r="L39" s="237">
        <f>-SUM(Restatements!I53)/AVERAGE(Restatements!H95:I95)</f>
        <v>3.0512974378557267E-2</v>
      </c>
      <c r="M39" s="237">
        <f>-SUM(Restatements!J53)/AVERAGE(Restatements!I95:J95)</f>
        <v>2.5063857250969462E-2</v>
      </c>
      <c r="N39" s="237">
        <f>-SUM(Restatements!K53)/AVERAGE(Restatements!J95:K95)</f>
        <v>2.3082252531695064E-2</v>
      </c>
      <c r="O39" s="237">
        <f>-SUM(Restatements!L53)/AVERAGE(Restatements!K95:L95)</f>
        <v>2.50450906774543E-2</v>
      </c>
      <c r="P39" s="240">
        <f>+AVERAGE($J39:$O39)</f>
        <v>6.160854711277599E-2</v>
      </c>
      <c r="Q39" s="240">
        <f t="shared" ref="Q39:T39" si="13">+AVERAGE($J39:$O39)</f>
        <v>6.160854711277599E-2</v>
      </c>
      <c r="R39" s="240">
        <f>+AVERAGE($J39:$O39)</f>
        <v>6.160854711277599E-2</v>
      </c>
      <c r="S39" s="240">
        <f t="shared" si="13"/>
        <v>6.160854711277599E-2</v>
      </c>
      <c r="T39" s="240">
        <f t="shared" si="13"/>
        <v>6.160854711277599E-2</v>
      </c>
    </row>
    <row r="40" spans="2:21" ht="13.25" customHeight="1" thickTop="1" thickBot="1" x14ac:dyDescent="0.2">
      <c r="B40" s="201" t="s">
        <v>696</v>
      </c>
      <c r="P40" s="238"/>
      <c r="Q40" s="238"/>
      <c r="R40" s="238"/>
      <c r="S40" s="238"/>
      <c r="T40" s="238"/>
    </row>
    <row r="41" spans="2:21" ht="13.25" customHeight="1" thickTop="1" thickBot="1" x14ac:dyDescent="0.2">
      <c r="B41" s="201" t="s">
        <v>697</v>
      </c>
      <c r="P41" s="238"/>
      <c r="Q41" s="238"/>
      <c r="R41" s="238"/>
      <c r="S41" s="238"/>
      <c r="T41" s="238"/>
    </row>
    <row r="42" spans="2:21" ht="13.25" customHeight="1" thickTop="1" thickBot="1" x14ac:dyDescent="0.2">
      <c r="B42" s="201" t="s">
        <v>698</v>
      </c>
      <c r="F42" s="237"/>
      <c r="G42" s="237">
        <f>Restatements!D52/AVERAGE(Restatements!C96:D96)</f>
        <v>5.3439780452816058E-3</v>
      </c>
      <c r="H42" s="237">
        <f>Restatements!E52/AVERAGE(Restatements!D96:E96)</f>
        <v>8.0518266388396945E-3</v>
      </c>
      <c r="I42" s="237">
        <f>Restatements!F52/AVERAGE(Restatements!E96:F96)</f>
        <v>1.1228917984427751E-2</v>
      </c>
      <c r="J42" s="237">
        <f>Restatements!G52/AVERAGE(Restatements!F96:G96)</f>
        <v>1.8971088008303622E-2</v>
      </c>
      <c r="K42" s="237">
        <f>Restatements!H52/AVERAGE(Restatements!G96:H96)</f>
        <v>7.3965179185719009E-3</v>
      </c>
      <c r="L42" s="237">
        <f>Restatements!I52/AVERAGE(Restatements!H96:I96)</f>
        <v>7.644405923337913E-4</v>
      </c>
      <c r="M42" s="237">
        <f>Restatements!J52/AVERAGE(Restatements!I96:J96)</f>
        <v>1.3741090221234492E-2</v>
      </c>
      <c r="N42" s="237">
        <f>Restatements!K52/AVERAGE(Restatements!J96:K96)</f>
        <v>3.4119227486416354E-2</v>
      </c>
      <c r="O42" s="237">
        <f>Restatements!L52/AVERAGE(Restatements!K96:L96)</f>
        <v>3.2445581975680877E-2</v>
      </c>
      <c r="P42" s="236">
        <f>AVERAGE($G$42:$O$42)</f>
        <v>1.4673629874565565E-2</v>
      </c>
      <c r="Q42" s="236">
        <f t="shared" ref="Q42:T42" si="14">AVERAGE($G$42:$O$42)</f>
        <v>1.4673629874565565E-2</v>
      </c>
      <c r="R42" s="236">
        <f t="shared" si="14"/>
        <v>1.4673629874565565E-2</v>
      </c>
      <c r="S42" s="236">
        <f t="shared" si="14"/>
        <v>1.4673629874565565E-2</v>
      </c>
      <c r="T42" s="236">
        <f t="shared" si="14"/>
        <v>1.4673629874565565E-2</v>
      </c>
    </row>
    <row r="43" spans="2:21" ht="13.25" customHeight="1" thickTop="1" x14ac:dyDescent="0.15"/>
    <row r="44" spans="2:21" ht="13.25" customHeight="1" x14ac:dyDescent="0.15">
      <c r="B44" s="211" t="s">
        <v>699</v>
      </c>
      <c r="C44" s="211"/>
      <c r="D44" s="211"/>
      <c r="E44" s="211"/>
      <c r="F44" s="211"/>
      <c r="G44" s="211"/>
      <c r="H44" s="211"/>
      <c r="I44" s="211"/>
      <c r="J44" s="211"/>
      <c r="K44" s="211"/>
      <c r="L44" s="211"/>
      <c r="M44" s="211"/>
      <c r="N44" s="211"/>
      <c r="O44" s="211"/>
      <c r="P44" s="211"/>
      <c r="Q44" s="211"/>
      <c r="R44" s="211"/>
      <c r="S44" s="211"/>
      <c r="T44" s="211"/>
    </row>
    <row r="45" spans="2:21" ht="5" customHeight="1" thickBot="1" x14ac:dyDescent="0.2">
      <c r="B45" s="201"/>
    </row>
    <row r="46" spans="2:21" ht="13.25" customHeight="1" thickTop="1" thickBot="1" x14ac:dyDescent="0.2">
      <c r="B46" s="201" t="s">
        <v>700</v>
      </c>
      <c r="F46" s="235">
        <v>0.22</v>
      </c>
      <c r="G46" s="234">
        <f t="shared" ref="G46:I48" si="15">+$F46</f>
        <v>0.22</v>
      </c>
      <c r="H46" s="234">
        <f t="shared" si="15"/>
        <v>0.22</v>
      </c>
      <c r="I46" s="234">
        <f t="shared" si="15"/>
        <v>0.22</v>
      </c>
      <c r="J46" s="234">
        <f t="shared" ref="J46:O48" si="16">+$F46</f>
        <v>0.22</v>
      </c>
      <c r="K46" s="234">
        <f t="shared" si="16"/>
        <v>0.22</v>
      </c>
      <c r="L46" s="234">
        <f t="shared" si="16"/>
        <v>0.22</v>
      </c>
      <c r="M46" s="234">
        <f t="shared" si="16"/>
        <v>0.22</v>
      </c>
      <c r="N46" s="234">
        <f t="shared" si="16"/>
        <v>0.22</v>
      </c>
      <c r="O46" s="234">
        <f t="shared" si="16"/>
        <v>0.22</v>
      </c>
      <c r="P46" s="234">
        <f t="shared" ref="P46:T48" si="17">+$F46</f>
        <v>0.22</v>
      </c>
      <c r="Q46" s="234">
        <f t="shared" si="17"/>
        <v>0.22</v>
      </c>
      <c r="R46" s="234">
        <f t="shared" si="17"/>
        <v>0.22</v>
      </c>
      <c r="S46" s="234">
        <f t="shared" si="17"/>
        <v>0.22</v>
      </c>
      <c r="T46" s="234">
        <f t="shared" si="17"/>
        <v>0.22</v>
      </c>
    </row>
    <row r="47" spans="2:21" ht="13.25" customHeight="1" thickTop="1" thickBot="1" x14ac:dyDescent="0.2">
      <c r="B47" s="201" t="s">
        <v>701</v>
      </c>
      <c r="F47" s="235">
        <v>0.24</v>
      </c>
      <c r="G47" s="234">
        <f t="shared" si="15"/>
        <v>0.24</v>
      </c>
      <c r="H47" s="234">
        <f t="shared" si="15"/>
        <v>0.24</v>
      </c>
      <c r="I47" s="234">
        <f t="shared" si="15"/>
        <v>0.24</v>
      </c>
      <c r="J47" s="234">
        <f t="shared" si="16"/>
        <v>0.24</v>
      </c>
      <c r="K47" s="234">
        <f t="shared" si="16"/>
        <v>0.24</v>
      </c>
      <c r="L47" s="234">
        <f t="shared" si="16"/>
        <v>0.24</v>
      </c>
      <c r="M47" s="234">
        <f t="shared" si="16"/>
        <v>0.24</v>
      </c>
      <c r="N47" s="234">
        <f t="shared" si="16"/>
        <v>0.24</v>
      </c>
      <c r="O47" s="234">
        <f t="shared" si="16"/>
        <v>0.24</v>
      </c>
      <c r="P47" s="234">
        <f t="shared" si="17"/>
        <v>0.24</v>
      </c>
      <c r="Q47" s="234">
        <f t="shared" si="17"/>
        <v>0.24</v>
      </c>
      <c r="R47" s="234">
        <f t="shared" si="17"/>
        <v>0.24</v>
      </c>
      <c r="S47" s="234">
        <f t="shared" si="17"/>
        <v>0.24</v>
      </c>
      <c r="T47" s="234">
        <f t="shared" si="17"/>
        <v>0.24</v>
      </c>
    </row>
    <row r="48" spans="2:21" ht="13.25" customHeight="1" thickTop="1" thickBot="1" x14ac:dyDescent="0.2">
      <c r="B48" s="201" t="s">
        <v>702</v>
      </c>
      <c r="F48" s="235">
        <v>3.9E-2</v>
      </c>
      <c r="G48" s="234">
        <f t="shared" si="15"/>
        <v>3.9E-2</v>
      </c>
      <c r="H48" s="234">
        <f t="shared" si="15"/>
        <v>3.9E-2</v>
      </c>
      <c r="I48" s="234">
        <f t="shared" si="15"/>
        <v>3.9E-2</v>
      </c>
      <c r="J48" s="234">
        <f t="shared" si="16"/>
        <v>3.9E-2</v>
      </c>
      <c r="K48" s="234">
        <f t="shared" si="16"/>
        <v>3.9E-2</v>
      </c>
      <c r="L48" s="234">
        <f t="shared" si="16"/>
        <v>3.9E-2</v>
      </c>
      <c r="M48" s="234">
        <f t="shared" si="16"/>
        <v>3.9E-2</v>
      </c>
      <c r="N48" s="234">
        <f t="shared" si="16"/>
        <v>3.9E-2</v>
      </c>
      <c r="O48" s="234">
        <f t="shared" si="16"/>
        <v>3.9E-2</v>
      </c>
      <c r="P48" s="234">
        <f t="shared" si="17"/>
        <v>3.9E-2</v>
      </c>
      <c r="Q48" s="234">
        <f t="shared" si="17"/>
        <v>3.9E-2</v>
      </c>
      <c r="R48" s="234">
        <f t="shared" si="17"/>
        <v>3.9E-2</v>
      </c>
      <c r="S48" s="234">
        <f t="shared" si="17"/>
        <v>3.9E-2</v>
      </c>
      <c r="T48" s="234">
        <f t="shared" si="17"/>
        <v>3.9E-2</v>
      </c>
    </row>
    <row r="49" spans="2:20" ht="13.25" customHeight="1" thickTop="1" x14ac:dyDescent="0.15">
      <c r="B49" s="201"/>
      <c r="F49" s="199"/>
      <c r="G49" s="199"/>
      <c r="H49" s="199"/>
      <c r="I49" s="199"/>
      <c r="J49" s="199"/>
      <c r="K49" s="199"/>
      <c r="L49" s="199"/>
      <c r="M49" s="199"/>
      <c r="N49" s="199"/>
      <c r="O49" s="199"/>
    </row>
    <row r="50" spans="2:20" ht="13.25" customHeight="1" x14ac:dyDescent="0.15">
      <c r="B50" s="211" t="s">
        <v>703</v>
      </c>
      <c r="C50" s="211"/>
      <c r="D50" s="211"/>
      <c r="E50" s="211"/>
      <c r="F50" s="211"/>
      <c r="G50" s="211"/>
      <c r="H50" s="211"/>
      <c r="I50" s="211"/>
      <c r="J50" s="211"/>
      <c r="K50" s="211"/>
      <c r="L50" s="211"/>
      <c r="M50" s="211"/>
      <c r="N50" s="211"/>
      <c r="O50" s="211"/>
      <c r="P50" s="211"/>
      <c r="Q50" s="211"/>
      <c r="R50" s="211"/>
      <c r="S50" s="211"/>
      <c r="T50" s="211"/>
    </row>
    <row r="51" spans="2:20" ht="5" customHeight="1" thickBot="1" x14ac:dyDescent="0.2">
      <c r="B51" s="201"/>
    </row>
    <row r="52" spans="2:20" ht="13.25" customHeight="1" thickTop="1" thickBot="1" x14ac:dyDescent="0.2">
      <c r="B52" s="201" t="s">
        <v>704</v>
      </c>
      <c r="T52" s="234">
        <v>0.02</v>
      </c>
    </row>
    <row r="53" spans="2:20" ht="13.25" customHeight="1" thickTop="1" x14ac:dyDescent="0.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88651-3752-E74F-BC8F-4608E9B32B2F}">
  <sheetPr>
    <tabColor rgb="FF3333CC"/>
  </sheetPr>
  <dimension ref="A1:P34"/>
  <sheetViews>
    <sheetView showGridLines="0" zoomScaleNormal="100" workbookViewId="0">
      <selection activeCell="G13" sqref="G13"/>
    </sheetView>
  </sheetViews>
  <sheetFormatPr baseColWidth="10" defaultColWidth="0" defaultRowHeight="11.25" customHeight="1" zeroHeight="1" x14ac:dyDescent="0.15"/>
  <cols>
    <col min="1" max="14" width="6.1640625" style="23" customWidth="1"/>
    <col min="15" max="16" width="6.1640625" style="23" hidden="1" customWidth="1"/>
    <col min="17" max="16384" width="6.1640625" style="23" hidden="1"/>
  </cols>
  <sheetData>
    <row r="1" spans="1:16" ht="11" x14ac:dyDescent="0.15">
      <c r="A1" s="22"/>
      <c r="B1" s="22"/>
      <c r="C1" s="22"/>
      <c r="D1" s="22"/>
      <c r="E1" s="22"/>
      <c r="F1" s="22"/>
      <c r="G1" s="22"/>
      <c r="H1" s="22"/>
      <c r="I1" s="22"/>
      <c r="J1" s="22"/>
      <c r="K1" s="22"/>
      <c r="L1" s="22"/>
      <c r="M1" s="22"/>
      <c r="N1" s="22"/>
      <c r="O1" s="22"/>
      <c r="P1" s="22"/>
    </row>
    <row r="2" spans="1:16" ht="11" x14ac:dyDescent="0.15">
      <c r="A2" s="22"/>
      <c r="B2" s="22"/>
      <c r="C2" s="22"/>
      <c r="D2" s="22"/>
      <c r="E2" s="22"/>
      <c r="F2" s="22"/>
      <c r="G2" s="22"/>
      <c r="H2" s="22"/>
      <c r="I2" s="22"/>
      <c r="J2" s="22"/>
      <c r="K2" s="22"/>
      <c r="L2" s="22"/>
      <c r="M2" s="22"/>
      <c r="N2" s="22"/>
      <c r="O2" s="22"/>
      <c r="P2" s="22"/>
    </row>
    <row r="3" spans="1:16" ht="11" x14ac:dyDescent="0.15">
      <c r="A3" s="22"/>
      <c r="B3" s="22"/>
      <c r="C3" s="22"/>
      <c r="D3" s="22"/>
      <c r="E3" s="22"/>
      <c r="F3" s="22"/>
      <c r="G3" s="22"/>
      <c r="H3" s="22"/>
      <c r="I3" s="22"/>
      <c r="J3" s="22"/>
      <c r="K3" s="22"/>
      <c r="L3" s="22"/>
      <c r="M3" s="22"/>
      <c r="N3" s="22"/>
      <c r="O3" s="22"/>
      <c r="P3" s="22"/>
    </row>
    <row r="4" spans="1:16" ht="11" x14ac:dyDescent="0.15">
      <c r="A4" s="22"/>
      <c r="B4" s="22"/>
      <c r="C4" s="22"/>
      <c r="D4" s="22"/>
      <c r="E4" s="22"/>
      <c r="F4" s="22"/>
      <c r="G4" s="22"/>
      <c r="H4" s="22"/>
      <c r="I4" s="22"/>
      <c r="J4" s="22"/>
      <c r="K4" s="22"/>
      <c r="L4" s="22"/>
      <c r="M4" s="22"/>
      <c r="N4" s="22"/>
      <c r="O4" s="22"/>
      <c r="P4" s="22"/>
    </row>
    <row r="5" spans="1:16" ht="11" x14ac:dyDescent="0.15">
      <c r="A5" s="22"/>
      <c r="B5" s="22"/>
      <c r="C5" s="22"/>
      <c r="D5" s="22"/>
      <c r="E5" s="22"/>
      <c r="F5" s="22"/>
      <c r="G5" s="22"/>
      <c r="H5" s="22"/>
      <c r="I5" s="22"/>
      <c r="J5" s="22"/>
      <c r="K5" s="22"/>
      <c r="L5" s="22"/>
      <c r="M5" s="22"/>
      <c r="N5" s="22"/>
      <c r="O5" s="22"/>
      <c r="P5" s="22"/>
    </row>
    <row r="6" spans="1:16" ht="11" x14ac:dyDescent="0.15"/>
    <row r="7" spans="1:16" ht="11" x14ac:dyDescent="0.15"/>
    <row r="8" spans="1:16" ht="11" x14ac:dyDescent="0.15"/>
    <row r="9" spans="1:16" ht="11" x14ac:dyDescent="0.15"/>
    <row r="10" spans="1:16" ht="11" x14ac:dyDescent="0.15"/>
    <row r="11" spans="1:16" ht="11" x14ac:dyDescent="0.15"/>
    <row r="12" spans="1:16" ht="23" x14ac:dyDescent="0.25">
      <c r="C12" s="297" t="s">
        <v>0</v>
      </c>
      <c r="D12" s="296"/>
      <c r="E12" s="297"/>
    </row>
    <row r="13" spans="1:16" ht="23" x14ac:dyDescent="0.25">
      <c r="C13" s="297" t="s">
        <v>2</v>
      </c>
      <c r="D13" s="296"/>
      <c r="E13" s="296"/>
    </row>
    <row r="14" spans="1:16" ht="11" x14ac:dyDescent="0.15"/>
    <row r="15" spans="1:16" ht="11" x14ac:dyDescent="0.15"/>
    <row r="16" spans="1:16" ht="11" x14ac:dyDescent="0.15"/>
    <row r="17" spans="3:3" ht="28" x14ac:dyDescent="0.3">
      <c r="C17" s="33" t="s">
        <v>705</v>
      </c>
    </row>
    <row r="18" spans="3:3" ht="28" x14ac:dyDescent="0.3">
      <c r="C18" s="33"/>
    </row>
    <row r="19" spans="3:3" ht="11" x14ac:dyDescent="0.15"/>
    <row r="20" spans="3:3" ht="11" x14ac:dyDescent="0.15"/>
    <row r="21" spans="3:3" ht="11" x14ac:dyDescent="0.15"/>
    <row r="22" spans="3:3" ht="11" x14ac:dyDescent="0.15"/>
    <row r="23" spans="3:3" ht="11" x14ac:dyDescent="0.15"/>
    <row r="24" spans="3:3" ht="11" x14ac:dyDescent="0.15"/>
    <row r="25" spans="3:3" ht="11" x14ac:dyDescent="0.15"/>
    <row r="26" spans="3:3" ht="11" x14ac:dyDescent="0.15"/>
    <row r="27" spans="3:3" ht="11" x14ac:dyDescent="0.15"/>
    <row r="28" spans="3:3" ht="11" x14ac:dyDescent="0.15"/>
    <row r="29" spans="3:3" ht="11" x14ac:dyDescent="0.15"/>
    <row r="30" spans="3:3" ht="11" hidden="1" x14ac:dyDescent="0.15"/>
    <row r="31" spans="3:3" ht="11" hidden="1" x14ac:dyDescent="0.15"/>
    <row r="32" spans="3:3" ht="11" hidden="1" x14ac:dyDescent="0.15"/>
    <row r="33" ht="11" hidden="1" x14ac:dyDescent="0.15"/>
    <row r="34" ht="11" hidden="1" x14ac:dyDescent="0.15"/>
  </sheetData>
  <pageMargins left="0.7" right="0.7" top="0.75" bottom="0.75" header="0.3" footer="0.3"/>
  <pageSetup paperSize="9"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09773-B15A-184D-A78F-3DFF580AB337}">
  <dimension ref="A1:AA82"/>
  <sheetViews>
    <sheetView showGridLines="0" zoomScale="118" zoomScaleNormal="38" workbookViewId="0">
      <pane ySplit="6" topLeftCell="A7" activePane="bottomLeft" state="frozen"/>
      <selection pane="bottomLeft" activeCell="P16" sqref="P16"/>
    </sheetView>
  </sheetViews>
  <sheetFormatPr baseColWidth="10" defaultColWidth="7.1640625" defaultRowHeight="13.25" customHeight="1" x14ac:dyDescent="0.15"/>
  <cols>
    <col min="1" max="1" width="11.1640625" style="23" customWidth="1"/>
    <col min="2" max="2" width="24.5" style="201" customWidth="1"/>
    <col min="3" max="14" width="7.1640625" style="199" customWidth="1"/>
    <col min="15" max="15" width="7.1640625" style="199"/>
    <col min="16" max="16" width="12.5" style="199" bestFit="1" customWidth="1"/>
    <col min="17" max="20" width="7.1640625" style="199"/>
    <col min="21" max="21" width="0.6640625" style="23" customWidth="1"/>
    <col min="22" max="16384" width="7.1640625" style="199"/>
  </cols>
  <sheetData>
    <row r="1" spans="1:27" ht="13.25" customHeight="1" x14ac:dyDescent="0.15">
      <c r="A1" s="253"/>
      <c r="B1" s="198"/>
      <c r="F1" s="200"/>
    </row>
    <row r="2" spans="1:27" ht="20" customHeight="1" x14ac:dyDescent="0.15">
      <c r="A2" s="253"/>
      <c r="B2" s="198" t="s">
        <v>706</v>
      </c>
    </row>
    <row r="3" spans="1:27" ht="13.25" customHeight="1" x14ac:dyDescent="0.15">
      <c r="A3" s="253"/>
      <c r="F3" s="202" t="s">
        <v>586</v>
      </c>
      <c r="G3" s="203"/>
      <c r="H3" s="203"/>
      <c r="I3" s="203"/>
      <c r="J3" s="203"/>
      <c r="K3" s="203"/>
      <c r="L3" s="203"/>
      <c r="M3" s="203"/>
      <c r="N3" s="203"/>
      <c r="O3" s="203"/>
      <c r="P3" s="202" t="s">
        <v>669</v>
      </c>
      <c r="Q3" s="204"/>
      <c r="R3" s="204"/>
      <c r="S3" s="204"/>
      <c r="T3" s="204"/>
    </row>
    <row r="4" spans="1:27" ht="5" customHeight="1" x14ac:dyDescent="0.15">
      <c r="A4" s="253"/>
      <c r="F4" s="200"/>
      <c r="P4" s="200"/>
    </row>
    <row r="5" spans="1:27" ht="15" customHeight="1" x14ac:dyDescent="0.15">
      <c r="A5" s="253"/>
      <c r="B5" s="205" t="str">
        <f>[1]AsReported!B5</f>
        <v>(EUR m)</v>
      </c>
      <c r="C5" s="210"/>
      <c r="D5" s="207"/>
      <c r="E5" s="206"/>
      <c r="F5" s="301">
        <v>2015</v>
      </c>
      <c r="G5" s="302">
        <f>F5+1</f>
        <v>2016</v>
      </c>
      <c r="H5" s="302">
        <f t="shared" ref="H5:O5" si="0">G5+1</f>
        <v>2017</v>
      </c>
      <c r="I5" s="302">
        <f t="shared" si="0"/>
        <v>2018</v>
      </c>
      <c r="J5" s="302">
        <f t="shared" si="0"/>
        <v>2019</v>
      </c>
      <c r="K5" s="302">
        <f t="shared" si="0"/>
        <v>2020</v>
      </c>
      <c r="L5" s="302">
        <f t="shared" si="0"/>
        <v>2021</v>
      </c>
      <c r="M5" s="302">
        <f t="shared" si="0"/>
        <v>2022</v>
      </c>
      <c r="N5" s="302">
        <f t="shared" si="0"/>
        <v>2023</v>
      </c>
      <c r="O5" s="302">
        <f t="shared" si="0"/>
        <v>2024</v>
      </c>
      <c r="P5" s="303">
        <f>O5+1</f>
        <v>2025</v>
      </c>
      <c r="Q5" s="303">
        <f t="shared" ref="Q5:T5" si="1">P5+1</f>
        <v>2026</v>
      </c>
      <c r="R5" s="303">
        <f t="shared" si="1"/>
        <v>2027</v>
      </c>
      <c r="S5" s="303">
        <f t="shared" si="1"/>
        <v>2028</v>
      </c>
      <c r="T5" s="303">
        <f t="shared" si="1"/>
        <v>2029</v>
      </c>
      <c r="V5" s="210" t="s">
        <v>671</v>
      </c>
      <c r="W5" s="210"/>
      <c r="X5" s="210"/>
      <c r="Y5" s="210"/>
      <c r="Z5" s="210"/>
      <c r="AA5" s="210"/>
    </row>
    <row r="6" spans="1:27" ht="5" customHeight="1" x14ac:dyDescent="0.15">
      <c r="A6" s="253"/>
      <c r="F6" s="200"/>
    </row>
    <row r="7" spans="1:27" ht="5" customHeight="1" x14ac:dyDescent="0.15">
      <c r="A7" s="253"/>
    </row>
    <row r="8" spans="1:27" ht="13.25" customHeight="1" x14ac:dyDescent="0.15">
      <c r="A8" s="253"/>
      <c r="B8" s="211" t="s">
        <v>707</v>
      </c>
      <c r="C8" s="212"/>
      <c r="D8" s="212"/>
      <c r="E8" s="212"/>
      <c r="F8" s="212"/>
      <c r="G8" s="212"/>
      <c r="H8" s="212"/>
      <c r="I8" s="212"/>
      <c r="J8" s="212"/>
      <c r="K8" s="212"/>
      <c r="L8" s="212"/>
      <c r="M8" s="212"/>
      <c r="N8" s="212"/>
      <c r="O8" s="212"/>
      <c r="P8" s="212"/>
      <c r="Q8" s="212"/>
      <c r="R8" s="212"/>
      <c r="S8" s="212"/>
      <c r="T8" s="212"/>
    </row>
    <row r="9" spans="1:27" ht="5" customHeight="1" x14ac:dyDescent="0.15">
      <c r="A9" s="262"/>
      <c r="C9" s="267"/>
      <c r="D9" s="267"/>
      <c r="E9" s="267"/>
      <c r="F9" s="267"/>
      <c r="G9" s="267"/>
      <c r="H9" s="267"/>
      <c r="I9" s="267"/>
      <c r="J9" s="267"/>
      <c r="K9" s="267"/>
      <c r="L9" s="267"/>
      <c r="M9" s="267"/>
      <c r="N9" s="267"/>
      <c r="O9" s="267"/>
      <c r="P9" s="267"/>
      <c r="Q9" s="267"/>
      <c r="R9" s="267"/>
      <c r="S9" s="267"/>
      <c r="T9" s="267"/>
    </row>
    <row r="10" spans="1:27" ht="13.25" customHeight="1" thickBot="1" x14ac:dyDescent="0.25">
      <c r="A10" s="261"/>
      <c r="B10" s="266" t="s">
        <v>708</v>
      </c>
      <c r="C10" s="263"/>
      <c r="D10" s="265"/>
      <c r="E10" s="265"/>
      <c r="F10" s="263">
        <f>Restatements!C8</f>
        <v>499.18</v>
      </c>
      <c r="G10" s="263">
        <f>Restatements!D8</f>
        <v>569.30999999999995</v>
      </c>
      <c r="H10" s="263">
        <f>Restatements!E8</f>
        <v>637.49</v>
      </c>
      <c r="I10" s="263">
        <f>Restatements!F8</f>
        <v>669.2</v>
      </c>
      <c r="J10" s="263">
        <f>Restatements!G8</f>
        <v>706.32</v>
      </c>
      <c r="K10" s="263">
        <f>Restatements!H8</f>
        <v>881.31</v>
      </c>
      <c r="L10" s="263">
        <f>Restatements!I8</f>
        <v>1237.6500000000001</v>
      </c>
      <c r="M10" s="263">
        <f>Restatements!J8</f>
        <v>1361.14</v>
      </c>
      <c r="N10" s="263">
        <f>Restatements!K8</f>
        <v>1148.21</v>
      </c>
      <c r="O10" s="280">
        <f>Restatements!L8</f>
        <v>1185.43</v>
      </c>
      <c r="P10" s="263">
        <v>1200</v>
      </c>
      <c r="Q10" s="263">
        <f>P10*(1+Assumptions!Q12)</f>
        <v>1260</v>
      </c>
      <c r="R10" s="263">
        <f>Q10*(1+Assumptions!R12)</f>
        <v>1323</v>
      </c>
      <c r="S10" s="263">
        <f>R10*(1+Assumptions!S12)</f>
        <v>1389.15</v>
      </c>
      <c r="T10" s="263">
        <f>S10*(1+Assumptions!T12)</f>
        <v>1458.6075000000001</v>
      </c>
      <c r="U10" s="199"/>
    </row>
    <row r="11" spans="1:27" ht="13.25" customHeight="1" thickTop="1" x14ac:dyDescent="0.2">
      <c r="A11" s="261"/>
      <c r="B11" s="260" t="s">
        <v>709</v>
      </c>
      <c r="C11" s="258"/>
      <c r="F11" s="258"/>
      <c r="G11" s="258"/>
      <c r="H11" s="258"/>
      <c r="I11" s="258"/>
      <c r="J11" s="258"/>
      <c r="K11" s="258"/>
      <c r="L11" s="258"/>
      <c r="M11" s="258"/>
      <c r="N11" s="258"/>
      <c r="P11" s="258">
        <f>O10*(1+Assumptions!P11)</f>
        <v>1279.760890405295</v>
      </c>
      <c r="Q11" s="258">
        <f>P10*(1+Assumptions!Q11)</f>
        <v>1295.4903018198913</v>
      </c>
      <c r="R11" s="258">
        <f>Q10*(1+Assumptions!R11)</f>
        <v>1360.2648169108859</v>
      </c>
      <c r="S11" s="258">
        <f>R10*(1+Assumptions!S11)</f>
        <v>1428.2780577564304</v>
      </c>
      <c r="T11" s="258">
        <f>S10*(1+Assumptions!T11)</f>
        <v>1499.6919606442518</v>
      </c>
      <c r="U11" s="199"/>
    </row>
    <row r="12" spans="1:27" ht="13.25" customHeight="1" x14ac:dyDescent="0.15">
      <c r="U12" s="199"/>
    </row>
    <row r="13" spans="1:27" ht="13.25" customHeight="1" x14ac:dyDescent="0.2">
      <c r="A13" s="262"/>
      <c r="B13" s="211" t="s">
        <v>710</v>
      </c>
      <c r="C13" s="212"/>
      <c r="D13" s="212"/>
      <c r="E13" s="212"/>
      <c r="F13" s="212"/>
      <c r="G13" s="212"/>
      <c r="H13" s="212"/>
      <c r="I13" s="212"/>
      <c r="J13" s="212"/>
      <c r="K13" s="212"/>
      <c r="L13" s="212"/>
      <c r="M13" s="212"/>
      <c r="N13" s="212"/>
      <c r="O13" s="212"/>
      <c r="P13" s="212"/>
      <c r="Q13" s="212"/>
      <c r="R13" s="212"/>
      <c r="S13" s="212"/>
      <c r="T13" s="212"/>
      <c r="U13" s="199"/>
    </row>
    <row r="14" spans="1:27" ht="5" customHeight="1" x14ac:dyDescent="0.2">
      <c r="A14" s="262"/>
      <c r="U14" s="199"/>
    </row>
    <row r="15" spans="1:27" ht="13.25" customHeight="1" x14ac:dyDescent="0.2">
      <c r="A15" s="261"/>
      <c r="B15" s="260" t="s">
        <v>592</v>
      </c>
      <c r="C15" s="216"/>
      <c r="F15" s="199">
        <f>-Restatements!C10</f>
        <v>-157.28</v>
      </c>
      <c r="G15" s="199">
        <f>-Restatements!D10</f>
        <v>-180.16</v>
      </c>
      <c r="H15" s="199">
        <f>-Restatements!E10</f>
        <v>-205.59</v>
      </c>
      <c r="I15" s="199">
        <f>-Restatements!F10</f>
        <v>-213.43</v>
      </c>
      <c r="J15" s="199">
        <f>-Restatements!G10</f>
        <v>-217.63</v>
      </c>
      <c r="K15" s="199">
        <f>-Restatements!H10</f>
        <v>-278.39999999999998</v>
      </c>
      <c r="L15" s="199">
        <f>-Restatements!I10</f>
        <v>-412.88</v>
      </c>
      <c r="M15" s="199">
        <f>-Restatements!J10</f>
        <v>-460.53</v>
      </c>
      <c r="N15" s="199">
        <f>-Restatements!K10</f>
        <v>-407.02</v>
      </c>
      <c r="O15" s="199">
        <f>-Restatements!L10</f>
        <v>-403.73</v>
      </c>
      <c r="P15" s="258">
        <f>-P$10*Assumptions!P16</f>
        <v>-365.165602710553</v>
      </c>
      <c r="Q15" s="258">
        <f>-Q$10*Assumptions!Q16</f>
        <v>-383.42388284608063</v>
      </c>
      <c r="R15" s="258">
        <f>-R$10*Assumptions!R16</f>
        <v>-396.9</v>
      </c>
      <c r="S15" s="258">
        <f>-S$10*Assumptions!S16</f>
        <v>-416.745</v>
      </c>
      <c r="T15" s="258">
        <f>-T$10*Assumptions!T16</f>
        <v>-437.58224999999999</v>
      </c>
      <c r="U15" s="199"/>
    </row>
    <row r="16" spans="1:27" ht="13.25" customHeight="1" x14ac:dyDescent="0.2">
      <c r="A16" s="261"/>
      <c r="B16" s="260" t="s">
        <v>711</v>
      </c>
      <c r="C16" s="216"/>
      <c r="F16" s="199">
        <f>-Restatements!C11</f>
        <v>-132.91000000000003</v>
      </c>
      <c r="G16" s="199">
        <f>-Restatements!D11</f>
        <v>-148.79</v>
      </c>
      <c r="H16" s="199">
        <f>-Restatements!E11</f>
        <v>-163.39999999999998</v>
      </c>
      <c r="I16" s="199">
        <f>-Restatements!F11</f>
        <v>-179.70999999999998</v>
      </c>
      <c r="J16" s="199">
        <f>-Restatements!G11</f>
        <v>-186.95</v>
      </c>
      <c r="K16" s="199">
        <f>-Restatements!H11</f>
        <v>-193.17999999999998</v>
      </c>
      <c r="L16" s="199">
        <f>-Restatements!I11</f>
        <v>-264.73</v>
      </c>
      <c r="M16" s="199">
        <f>-Restatements!J11</f>
        <v>-357.17999999999995</v>
      </c>
      <c r="N16" s="199">
        <f>-Restatements!K11</f>
        <v>-347.03</v>
      </c>
      <c r="O16" s="199">
        <f>-Restatements!L11</f>
        <v>-361.65</v>
      </c>
      <c r="P16" s="258">
        <f>-P$10*Assumptions!P17</f>
        <v>-437.72855920250896</v>
      </c>
      <c r="Q16" s="258">
        <f>-Q$10*Assumptions!Q17</f>
        <v>-453.59999999999997</v>
      </c>
      <c r="R16" s="258">
        <f>-R$10*Assumptions!R17</f>
        <v>-436.59000000000003</v>
      </c>
      <c r="S16" s="258">
        <f>-S$10*Assumptions!S17</f>
        <v>-458.41950000000003</v>
      </c>
      <c r="T16" s="258">
        <f>-T$10*Assumptions!T17</f>
        <v>-485.18577327417648</v>
      </c>
      <c r="U16" s="199"/>
    </row>
    <row r="17" spans="1:21" ht="13.25" customHeight="1" x14ac:dyDescent="0.15">
      <c r="P17" s="399">
        <f>(P16+P15)/P10</f>
        <v>-0.66907846826088491</v>
      </c>
      <c r="U17" s="199"/>
    </row>
    <row r="18" spans="1:21" ht="13.25" customHeight="1" x14ac:dyDescent="0.2">
      <c r="A18" s="261"/>
      <c r="B18" s="199"/>
      <c r="C18" s="216"/>
      <c r="P18" s="258"/>
      <c r="Q18" s="258"/>
      <c r="R18" s="258"/>
      <c r="S18" s="258"/>
      <c r="T18" s="258"/>
      <c r="U18" s="199"/>
    </row>
    <row r="19" spans="1:21" ht="13.25" customHeight="1" x14ac:dyDescent="0.15">
      <c r="U19" s="199"/>
    </row>
    <row r="20" spans="1:21" ht="13.25" customHeight="1" x14ac:dyDescent="0.15">
      <c r="U20" s="199"/>
    </row>
    <row r="21" spans="1:21" ht="13.25" customHeight="1" x14ac:dyDescent="0.15">
      <c r="U21" s="199"/>
    </row>
    <row r="22" spans="1:21" ht="13.25" customHeight="1" x14ac:dyDescent="0.15">
      <c r="O22" s="23"/>
      <c r="U22" s="199"/>
    </row>
    <row r="23" spans="1:21" ht="13.25" customHeight="1" x14ac:dyDescent="0.15">
      <c r="H23" s="23"/>
      <c r="I23" s="23"/>
      <c r="J23" s="23"/>
      <c r="K23" s="23"/>
      <c r="L23" s="23"/>
      <c r="M23" s="23"/>
      <c r="N23" s="23"/>
      <c r="O23" s="23"/>
      <c r="P23" s="23"/>
      <c r="U23" s="199"/>
    </row>
    <row r="24" spans="1:21" ht="13.25" customHeight="1" x14ac:dyDescent="0.15">
      <c r="H24" s="23"/>
      <c r="I24" s="23"/>
      <c r="J24" s="23"/>
      <c r="K24" s="23"/>
      <c r="L24" s="23"/>
      <c r="M24" s="23"/>
      <c r="N24" s="23"/>
      <c r="O24" s="23"/>
      <c r="P24" s="23"/>
      <c r="U24" s="199"/>
    </row>
    <row r="25" spans="1:21" ht="13.25" customHeight="1" x14ac:dyDescent="0.15">
      <c r="H25" s="23"/>
      <c r="I25" s="23"/>
      <c r="J25" s="23"/>
      <c r="K25" s="23"/>
      <c r="L25" s="23"/>
      <c r="M25" s="23"/>
      <c r="N25" s="23"/>
      <c r="O25" s="23"/>
      <c r="P25" s="23"/>
      <c r="U25" s="199"/>
    </row>
    <row r="26" spans="1:21" ht="13.25" customHeight="1" x14ac:dyDescent="0.15">
      <c r="H26" s="23"/>
      <c r="I26" s="23"/>
      <c r="J26" s="23"/>
      <c r="K26" s="23"/>
      <c r="L26" s="23"/>
      <c r="M26" s="23"/>
      <c r="N26" s="23"/>
      <c r="O26" s="23"/>
      <c r="P26" s="23"/>
      <c r="U26" s="199"/>
    </row>
    <row r="27" spans="1:21" ht="13.25" customHeight="1" x14ac:dyDescent="0.15">
      <c r="H27" s="23"/>
      <c r="I27" s="23"/>
      <c r="J27" s="23"/>
      <c r="K27" s="23"/>
      <c r="L27" s="23"/>
      <c r="M27" s="23"/>
      <c r="N27" s="23"/>
      <c r="O27" s="23"/>
      <c r="P27" s="23"/>
      <c r="U27" s="199"/>
    </row>
    <row r="28" spans="1:21" ht="13.25" customHeight="1" x14ac:dyDescent="0.15">
      <c r="H28" s="23"/>
      <c r="I28" s="23"/>
      <c r="J28" s="23"/>
      <c r="K28" s="23"/>
      <c r="L28" s="23"/>
      <c r="M28" s="23"/>
      <c r="N28" s="23"/>
      <c r="O28" s="23"/>
      <c r="P28" s="23"/>
      <c r="U28" s="199"/>
    </row>
    <row r="29" spans="1:21" ht="13.25" customHeight="1" x14ac:dyDescent="0.15">
      <c r="H29" s="23"/>
      <c r="I29" s="23"/>
      <c r="J29" s="23"/>
      <c r="K29" s="23"/>
      <c r="L29" s="23"/>
      <c r="M29" s="23"/>
      <c r="N29" s="23"/>
      <c r="O29" s="23"/>
      <c r="P29" s="23"/>
      <c r="U29" s="199"/>
    </row>
    <row r="30" spans="1:21" ht="13.25" customHeight="1" x14ac:dyDescent="0.15">
      <c r="H30" s="23"/>
      <c r="I30" s="23"/>
      <c r="J30" s="23"/>
      <c r="K30" s="23"/>
      <c r="L30" s="23"/>
      <c r="M30" s="23"/>
      <c r="N30" s="23"/>
      <c r="O30" s="23"/>
      <c r="P30" s="23"/>
      <c r="U30" s="199"/>
    </row>
    <row r="31" spans="1:21" ht="13.25" customHeight="1" x14ac:dyDescent="0.15">
      <c r="H31" s="23"/>
      <c r="I31" s="23"/>
      <c r="J31" s="23"/>
      <c r="K31" s="23"/>
      <c r="L31" s="23"/>
      <c r="M31" s="23"/>
      <c r="N31" s="23"/>
      <c r="P31" s="23"/>
      <c r="U31" s="199"/>
    </row>
    <row r="32" spans="1:21" ht="13.25" customHeight="1" x14ac:dyDescent="0.15">
      <c r="U32" s="199"/>
    </row>
    <row r="33" spans="21:21" ht="13.25" customHeight="1" x14ac:dyDescent="0.15">
      <c r="U33" s="199"/>
    </row>
    <row r="34" spans="21:21" ht="13.25" customHeight="1" x14ac:dyDescent="0.15">
      <c r="U34" s="199"/>
    </row>
    <row r="35" spans="21:21" ht="13.25" customHeight="1" x14ac:dyDescent="0.15">
      <c r="U35" s="199"/>
    </row>
    <row r="36" spans="21:21" ht="13.25" customHeight="1" x14ac:dyDescent="0.15">
      <c r="U36" s="199"/>
    </row>
    <row r="37" spans="21:21" ht="13.25" customHeight="1" x14ac:dyDescent="0.15">
      <c r="U37" s="199"/>
    </row>
    <row r="38" spans="21:21" ht="13.25" customHeight="1" x14ac:dyDescent="0.15">
      <c r="U38" s="199"/>
    </row>
    <row r="39" spans="21:21" ht="13.25" customHeight="1" x14ac:dyDescent="0.15">
      <c r="U39" s="199"/>
    </row>
    <row r="40" spans="21:21" ht="13.25" customHeight="1" x14ac:dyDescent="0.15">
      <c r="U40" s="199"/>
    </row>
    <row r="41" spans="21:21" ht="13.25" customHeight="1" x14ac:dyDescent="0.15">
      <c r="U41" s="199"/>
    </row>
    <row r="42" spans="21:21" ht="13.25" customHeight="1" x14ac:dyDescent="0.15">
      <c r="U42" s="199"/>
    </row>
    <row r="43" spans="21:21" ht="13.25" customHeight="1" x14ac:dyDescent="0.15">
      <c r="U43" s="199"/>
    </row>
    <row r="44" spans="21:21" ht="13.25" customHeight="1" x14ac:dyDescent="0.15">
      <c r="U44" s="199"/>
    </row>
    <row r="45" spans="21:21" ht="13.25" customHeight="1" x14ac:dyDescent="0.15">
      <c r="U45" s="239"/>
    </row>
    <row r="46" spans="21:21" ht="13.25" customHeight="1" x14ac:dyDescent="0.15">
      <c r="U46" s="239"/>
    </row>
    <row r="47" spans="21:21" ht="13.25" customHeight="1" x14ac:dyDescent="0.15">
      <c r="U47" s="239"/>
    </row>
    <row r="48" spans="21:21" ht="13.25" customHeight="1" x14ac:dyDescent="0.15">
      <c r="U48" s="239"/>
    </row>
    <row r="49" spans="21:21" ht="13.25" customHeight="1" x14ac:dyDescent="0.15">
      <c r="U49" s="239"/>
    </row>
    <row r="50" spans="21:21" ht="13.25" customHeight="1" x14ac:dyDescent="0.15">
      <c r="U50" s="239"/>
    </row>
    <row r="51" spans="21:21" ht="13.25" customHeight="1" x14ac:dyDescent="0.15">
      <c r="U51" s="239"/>
    </row>
    <row r="52" spans="21:21" ht="13.25" customHeight="1" x14ac:dyDescent="0.15">
      <c r="U52" s="239"/>
    </row>
    <row r="53" spans="21:21" ht="13.25" customHeight="1" x14ac:dyDescent="0.15">
      <c r="U53" s="239"/>
    </row>
    <row r="54" spans="21:21" ht="13.25" customHeight="1" x14ac:dyDescent="0.15">
      <c r="U54" s="239"/>
    </row>
    <row r="55" spans="21:21" ht="13.25" customHeight="1" x14ac:dyDescent="0.15">
      <c r="U55" s="239"/>
    </row>
    <row r="56" spans="21:21" ht="13.25" customHeight="1" x14ac:dyDescent="0.15">
      <c r="U56" s="239"/>
    </row>
    <row r="57" spans="21:21" ht="13.25" customHeight="1" x14ac:dyDescent="0.15">
      <c r="U57" s="239"/>
    </row>
    <row r="58" spans="21:21" ht="13.25" customHeight="1" x14ac:dyDescent="0.15">
      <c r="U58" s="239"/>
    </row>
    <row r="59" spans="21:21" ht="13.25" customHeight="1" x14ac:dyDescent="0.15">
      <c r="U59" s="239"/>
    </row>
    <row r="60" spans="21:21" ht="13.25" customHeight="1" x14ac:dyDescent="0.15">
      <c r="U60" s="239"/>
    </row>
    <row r="62" spans="21:21" ht="13.25" customHeight="1" x14ac:dyDescent="0.15">
      <c r="U62" s="239"/>
    </row>
    <row r="63" spans="21:21" ht="13.25" customHeight="1" x14ac:dyDescent="0.15">
      <c r="U63" s="239"/>
    </row>
    <row r="64" spans="21:21" ht="13.25" customHeight="1" x14ac:dyDescent="0.15">
      <c r="U64" s="239"/>
    </row>
    <row r="65" spans="21:21" ht="13.25" customHeight="1" x14ac:dyDescent="0.15">
      <c r="U65" s="239"/>
    </row>
    <row r="66" spans="21:21" ht="13.25" customHeight="1" x14ac:dyDescent="0.15">
      <c r="U66" s="239"/>
    </row>
    <row r="67" spans="21:21" ht="13.25" customHeight="1" x14ac:dyDescent="0.15">
      <c r="U67" s="239"/>
    </row>
    <row r="68" spans="21:21" ht="13.25" customHeight="1" x14ac:dyDescent="0.15">
      <c r="U68" s="239"/>
    </row>
    <row r="69" spans="21:21" ht="13.25" customHeight="1" x14ac:dyDescent="0.15">
      <c r="U69" s="239"/>
    </row>
    <row r="70" spans="21:21" ht="13.25" customHeight="1" x14ac:dyDescent="0.15">
      <c r="U70" s="239"/>
    </row>
    <row r="71" spans="21:21" ht="13.25" customHeight="1" x14ac:dyDescent="0.15">
      <c r="U71" s="239"/>
    </row>
    <row r="72" spans="21:21" ht="13.25" customHeight="1" x14ac:dyDescent="0.15">
      <c r="U72" s="239"/>
    </row>
    <row r="73" spans="21:21" ht="13.25" customHeight="1" x14ac:dyDescent="0.15">
      <c r="U73" s="239"/>
    </row>
    <row r="74" spans="21:21" ht="13.25" customHeight="1" x14ac:dyDescent="0.15">
      <c r="U74" s="239"/>
    </row>
    <row r="75" spans="21:21" ht="13.25" customHeight="1" x14ac:dyDescent="0.15">
      <c r="U75" s="239"/>
    </row>
    <row r="76" spans="21:21" ht="13.25" customHeight="1" x14ac:dyDescent="0.15">
      <c r="U76" s="239"/>
    </row>
    <row r="77" spans="21:21" ht="13.25" customHeight="1" x14ac:dyDescent="0.15">
      <c r="U77" s="239"/>
    </row>
    <row r="78" spans="21:21" ht="13.25" customHeight="1" x14ac:dyDescent="0.15">
      <c r="U78" s="239"/>
    </row>
    <row r="79" spans="21:21" ht="13.25" customHeight="1" x14ac:dyDescent="0.15">
      <c r="U79" s="239"/>
    </row>
    <row r="80" spans="21:21" ht="13.25" customHeight="1" x14ac:dyDescent="0.15">
      <c r="U80" s="239"/>
    </row>
    <row r="81" spans="21:21" ht="13.25" customHeight="1" x14ac:dyDescent="0.15">
      <c r="U81" s="239"/>
    </row>
    <row r="82" spans="21:21" ht="13.25" customHeight="1" x14ac:dyDescent="0.15">
      <c r="U82" s="239"/>
    </row>
  </sheetData>
  <conditionalFormatting sqref="A10:A11">
    <cfRule type="iconSet" priority="1">
      <iconSet iconSet="3ArrowsGray">
        <cfvo type="percent" val="0"/>
        <cfvo type="percent" val="33"/>
        <cfvo type="percent" val="67"/>
      </iconSet>
    </cfRule>
  </conditionalFormatting>
  <conditionalFormatting sqref="A18 A15:A16">
    <cfRule type="iconSet" priority="2">
      <iconSet iconSet="3ArrowsGray">
        <cfvo type="percent" val="0"/>
        <cfvo type="percent" val="33"/>
        <cfvo type="percent" val="67"/>
      </iconSet>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F5DB3-E83E-2848-85DF-85B2E1DF5944}">
  <dimension ref="A1:AL105"/>
  <sheetViews>
    <sheetView showGridLines="0" zoomScale="115" zoomScaleNormal="100" workbookViewId="0">
      <pane ySplit="6" topLeftCell="A7" activePane="bottomLeft" state="frozen"/>
      <selection pane="bottomLeft" activeCell="P35" sqref="P35"/>
    </sheetView>
  </sheetViews>
  <sheetFormatPr baseColWidth="10" defaultColWidth="7.1640625" defaultRowHeight="13.25" customHeight="1" x14ac:dyDescent="0.15"/>
  <cols>
    <col min="1" max="1" width="11.1640625" style="268" customWidth="1"/>
    <col min="2" max="2" width="24.5" style="201" customWidth="1"/>
    <col min="3" max="20" width="7.1640625" style="199"/>
    <col min="21" max="21" width="0.6640625" style="23" customWidth="1"/>
    <col min="22" max="16384" width="7.1640625" style="199"/>
  </cols>
  <sheetData>
    <row r="1" spans="1:35" ht="13.25" customHeight="1" x14ac:dyDescent="0.15">
      <c r="B1" s="198"/>
      <c r="E1" s="284"/>
      <c r="F1" s="283"/>
    </row>
    <row r="2" spans="1:35" ht="20" customHeight="1" x14ac:dyDescent="0.15">
      <c r="A2" s="253"/>
      <c r="B2" s="198" t="s">
        <v>712</v>
      </c>
    </row>
    <row r="3" spans="1:35" ht="13.25" customHeight="1" x14ac:dyDescent="0.15">
      <c r="A3" s="253"/>
      <c r="F3" s="202" t="s">
        <v>586</v>
      </c>
      <c r="G3" s="203"/>
      <c r="H3" s="203"/>
      <c r="I3" s="203"/>
      <c r="J3" s="203"/>
      <c r="K3" s="203"/>
      <c r="L3" s="203"/>
      <c r="M3" s="203"/>
      <c r="N3" s="203"/>
      <c r="O3" s="203"/>
      <c r="P3" s="202" t="s">
        <v>669</v>
      </c>
      <c r="Q3" s="204"/>
      <c r="R3" s="204"/>
      <c r="S3" s="204"/>
      <c r="T3" s="204"/>
    </row>
    <row r="4" spans="1:35" ht="5" customHeight="1" x14ac:dyDescent="0.15">
      <c r="A4" s="253"/>
      <c r="F4" s="200"/>
      <c r="P4" s="200"/>
    </row>
    <row r="5" spans="1:35" ht="15" customHeight="1" x14ac:dyDescent="0.15">
      <c r="A5" s="253"/>
      <c r="B5" s="205" t="str">
        <f>[1]AsReported!B5</f>
        <v>(EUR m)</v>
      </c>
      <c r="C5" s="210"/>
      <c r="D5" s="207"/>
      <c r="E5" s="206"/>
      <c r="F5" s="208">
        <v>42192</v>
      </c>
      <c r="G5" s="209">
        <f>F5+365</f>
        <v>42557</v>
      </c>
      <c r="H5" s="209">
        <f t="shared" ref="H5:O5" si="0">G5+365</f>
        <v>42922</v>
      </c>
      <c r="I5" s="209">
        <f t="shared" si="0"/>
        <v>43287</v>
      </c>
      <c r="J5" s="209">
        <f t="shared" si="0"/>
        <v>43652</v>
      </c>
      <c r="K5" s="209">
        <f t="shared" si="0"/>
        <v>44017</v>
      </c>
      <c r="L5" s="209">
        <f t="shared" si="0"/>
        <v>44382</v>
      </c>
      <c r="M5" s="209">
        <f t="shared" si="0"/>
        <v>44747</v>
      </c>
      <c r="N5" s="209">
        <f t="shared" si="0"/>
        <v>45112</v>
      </c>
      <c r="O5" s="209">
        <f t="shared" si="0"/>
        <v>45477</v>
      </c>
      <c r="P5" s="255">
        <f>O5+365</f>
        <v>45842</v>
      </c>
      <c r="Q5" s="254">
        <f>P5+365</f>
        <v>46207</v>
      </c>
      <c r="R5" s="254">
        <f t="shared" ref="R5:T5" si="1">Q5+365</f>
        <v>46572</v>
      </c>
      <c r="S5" s="254">
        <f t="shared" si="1"/>
        <v>46937</v>
      </c>
      <c r="T5" s="254">
        <f t="shared" si="1"/>
        <v>47302</v>
      </c>
      <c r="V5" s="210" t="s">
        <v>671</v>
      </c>
      <c r="W5" s="210"/>
      <c r="X5" s="210"/>
      <c r="Y5" s="210"/>
      <c r="Z5" s="210"/>
      <c r="AA5" s="210"/>
    </row>
    <row r="6" spans="1:35" ht="5" customHeight="1" x14ac:dyDescent="0.15">
      <c r="A6" s="253"/>
      <c r="F6" s="200"/>
    </row>
    <row r="7" spans="1:35" ht="5" customHeight="1" x14ac:dyDescent="0.15">
      <c r="A7" s="253"/>
    </row>
    <row r="8" spans="1:35" ht="13.25" customHeight="1" x14ac:dyDescent="0.2">
      <c r="A8" s="262"/>
      <c r="B8" s="211" t="s">
        <v>713</v>
      </c>
      <c r="C8" s="212"/>
      <c r="D8" s="212"/>
      <c r="E8" s="212"/>
      <c r="F8" s="212"/>
      <c r="G8" s="212"/>
      <c r="H8" s="212"/>
      <c r="I8" s="212"/>
      <c r="J8" s="212"/>
      <c r="K8" s="212"/>
      <c r="L8" s="212"/>
      <c r="M8" s="212"/>
      <c r="N8" s="212"/>
      <c r="O8" s="212"/>
      <c r="P8" s="212"/>
      <c r="Q8" s="212"/>
      <c r="R8" s="212"/>
      <c r="S8" s="212"/>
      <c r="T8" s="212"/>
      <c r="U8" s="199"/>
    </row>
    <row r="9" spans="1:35" ht="5" customHeight="1" x14ac:dyDescent="0.2">
      <c r="A9" s="262"/>
      <c r="U9" s="199"/>
    </row>
    <row r="10" spans="1:35" ht="13.25" customHeight="1" x14ac:dyDescent="0.2">
      <c r="A10" s="261"/>
      <c r="B10" s="260" t="s">
        <v>624</v>
      </c>
      <c r="P10" s="258">
        <f>+(Assumptions!P27*SalesOPEX!P10*(1+Assumptions!P$46))/365</f>
        <v>219.47590666167008</v>
      </c>
      <c r="Q10" s="258">
        <f>+(Assumptions!Q27*SalesOPEX!Q10*(1+Assumptions!Q$46))/365</f>
        <v>230.44970199475361</v>
      </c>
      <c r="R10" s="258">
        <f>+(Assumptions!R27*SalesOPEX!R10*(1+Assumptions!R$46))/365</f>
        <v>241.97218709449129</v>
      </c>
      <c r="S10" s="258">
        <f>+(Assumptions!S27*SalesOPEX!S10*(1+Assumptions!S$46))/365</f>
        <v>254.07079644921583</v>
      </c>
      <c r="T10" s="258">
        <f>+(Assumptions!T27*SalesOPEX!T10*(1+Assumptions!T$46))/365</f>
        <v>266.77433627167665</v>
      </c>
      <c r="U10" s="199"/>
    </row>
    <row r="11" spans="1:35" ht="13.25" customHeight="1" x14ac:dyDescent="0.2">
      <c r="A11" s="261"/>
      <c r="B11" s="260" t="s">
        <v>714</v>
      </c>
      <c r="P11" s="258">
        <f>+(Assumptions!P28*SalesOPEX!P15*(1+Assumptions!P$46))/365</f>
        <v>-113.34779203355721</v>
      </c>
      <c r="Q11" s="258">
        <f>+(Assumptions!Q28*SalesOPEX!Q15*(1+Assumptions!Q$46))/365</f>
        <v>-119.01518163523507</v>
      </c>
      <c r="R11" s="258">
        <f>+(Assumptions!R28*SalesOPEX!R15*(1+Assumptions!R$46))/365</f>
        <v>-123.19818275375242</v>
      </c>
      <c r="S11" s="258">
        <f>+(Assumptions!S28*SalesOPEX!S15*(1+Assumptions!S$46))/365</f>
        <v>-129.35809189144004</v>
      </c>
      <c r="T11" s="258">
        <f>+(Assumptions!T28*SalesOPEX!T15*(1+Assumptions!T$46))/365</f>
        <v>-135.82599648601203</v>
      </c>
      <c r="U11" s="199"/>
      <c r="AC11" s="215"/>
      <c r="AD11" s="215"/>
      <c r="AE11" s="215"/>
      <c r="AF11" s="215"/>
      <c r="AG11" s="215"/>
      <c r="AH11" s="215"/>
      <c r="AI11" s="215"/>
    </row>
    <row r="12" spans="1:35" ht="13.25" customHeight="1" x14ac:dyDescent="0.2">
      <c r="A12" s="261"/>
      <c r="B12" s="260" t="s">
        <v>626</v>
      </c>
      <c r="P12" s="258">
        <f>+(Assumptions!P29*SalesOPEX!P10)/365</f>
        <v>265.24130897327882</v>
      </c>
      <c r="Q12" s="258">
        <f>+(Assumptions!Q29*SalesOPEX!Q10)/365</f>
        <v>278.50337442194274</v>
      </c>
      <c r="R12" s="258">
        <f>+(Assumptions!R29*SalesOPEX!R10)/365</f>
        <v>292.42854314303986</v>
      </c>
      <c r="S12" s="258">
        <f>+(Assumptions!S29*SalesOPEX!S10)/365</f>
        <v>307.04997030019189</v>
      </c>
      <c r="T12" s="258">
        <f>+(Assumptions!T29*SalesOPEX!T10)/365</f>
        <v>322.40246881520153</v>
      </c>
      <c r="U12" s="199"/>
    </row>
    <row r="13" spans="1:35" ht="13.25" customHeight="1" x14ac:dyDescent="0.2">
      <c r="A13" s="261"/>
      <c r="B13" s="260" t="s">
        <v>715</v>
      </c>
      <c r="P13" s="258">
        <f>Assumptions!P$31*SalesOPEX!P10</f>
        <v>-60.614776536693945</v>
      </c>
      <c r="Q13" s="258">
        <f>Assumptions!Q$31*SalesOPEX!Q10</f>
        <v>-63.645515363528638</v>
      </c>
      <c r="R13" s="258">
        <f>Assumptions!R$31*SalesOPEX!R10</f>
        <v>-66.827791131705069</v>
      </c>
      <c r="S13" s="258">
        <f>Assumptions!S$31*SalesOPEX!S10</f>
        <v>-70.169180688290325</v>
      </c>
      <c r="T13" s="258">
        <f>Assumptions!T$31*SalesOPEX!T10</f>
        <v>-73.677639722704839</v>
      </c>
      <c r="U13" s="199"/>
    </row>
    <row r="14" spans="1:35" ht="5" customHeight="1" thickBot="1" x14ac:dyDescent="0.25">
      <c r="A14" s="262"/>
      <c r="U14" s="199"/>
    </row>
    <row r="15" spans="1:35" ht="13.25" customHeight="1" thickTop="1" thickBot="1" x14ac:dyDescent="0.25">
      <c r="A15" s="261"/>
      <c r="B15" s="213" t="s">
        <v>716</v>
      </c>
      <c r="C15" s="282"/>
      <c r="D15" s="282"/>
      <c r="E15" s="282"/>
      <c r="F15" s="385"/>
      <c r="G15" s="385"/>
      <c r="H15" s="385"/>
      <c r="J15" s="385"/>
      <c r="K15" s="385"/>
      <c r="L15" s="385"/>
      <c r="M15" s="385"/>
      <c r="N15" s="385"/>
      <c r="O15" s="259">
        <f>Restatements!L74</f>
        <v>-167.96899999999999</v>
      </c>
      <c r="P15" s="281">
        <f>O15</f>
        <v>-167.96899999999999</v>
      </c>
      <c r="Q15" s="281">
        <f t="shared" ref="Q15:T16" si="2">+P15</f>
        <v>-167.96899999999999</v>
      </c>
      <c r="R15" s="281">
        <f t="shared" si="2"/>
        <v>-167.96899999999999</v>
      </c>
      <c r="S15" s="281">
        <f t="shared" si="2"/>
        <v>-167.96899999999999</v>
      </c>
      <c r="T15" s="281">
        <f t="shared" si="2"/>
        <v>-167.96899999999999</v>
      </c>
      <c r="U15" s="199"/>
    </row>
    <row r="16" spans="1:35" ht="13.25" customHeight="1" thickTop="1" thickBot="1" x14ac:dyDescent="0.25">
      <c r="A16" s="261"/>
      <c r="B16" s="213" t="s">
        <v>717</v>
      </c>
      <c r="C16" s="282"/>
      <c r="D16" s="282"/>
      <c r="E16" s="282"/>
      <c r="F16" s="385"/>
      <c r="G16" s="385"/>
      <c r="H16" s="385"/>
      <c r="J16" s="385"/>
      <c r="K16" s="385"/>
      <c r="L16" s="385"/>
      <c r="M16" s="385"/>
      <c r="N16" s="385"/>
      <c r="O16" s="259">
        <f>Restatements!L76</f>
        <v>-54.662999999999997</v>
      </c>
      <c r="P16" s="281">
        <f>O16</f>
        <v>-54.662999999999997</v>
      </c>
      <c r="Q16" s="281">
        <f t="shared" si="2"/>
        <v>-54.662999999999997</v>
      </c>
      <c r="R16" s="281">
        <f t="shared" si="2"/>
        <v>-54.662999999999997</v>
      </c>
      <c r="S16" s="281">
        <f t="shared" si="2"/>
        <v>-54.662999999999997</v>
      </c>
      <c r="T16" s="281">
        <f t="shared" si="2"/>
        <v>-54.662999999999997</v>
      </c>
      <c r="U16" s="199"/>
    </row>
    <row r="17" spans="1:38" ht="13.25" customHeight="1" thickTop="1" x14ac:dyDescent="0.2">
      <c r="U17" s="199"/>
    </row>
    <row r="18" spans="1:38" ht="13.25" customHeight="1" x14ac:dyDescent="0.15">
      <c r="A18" s="262"/>
      <c r="B18" s="211" t="s">
        <v>718</v>
      </c>
      <c r="C18" s="212"/>
      <c r="D18" s="212"/>
      <c r="E18" s="212"/>
      <c r="F18" s="212"/>
      <c r="G18" s="212"/>
      <c r="H18" s="212"/>
      <c r="I18" s="212"/>
      <c r="J18" s="212"/>
      <c r="K18" s="212"/>
      <c r="L18" s="212"/>
      <c r="M18" s="212"/>
      <c r="N18" s="212"/>
      <c r="O18" s="212"/>
      <c r="P18" s="212"/>
      <c r="Q18" s="212"/>
      <c r="R18" s="212"/>
      <c r="S18" s="212"/>
      <c r="T18" s="212"/>
    </row>
    <row r="19" spans="1:38" ht="5" customHeight="1" x14ac:dyDescent="0.15">
      <c r="A19" s="262"/>
    </row>
    <row r="20" spans="1:38" ht="13.25" customHeight="1" x14ac:dyDescent="0.2">
      <c r="A20" s="262"/>
      <c r="B20" s="213" t="s">
        <v>719</v>
      </c>
      <c r="C20" s="276"/>
      <c r="D20" s="276"/>
      <c r="E20" s="276"/>
      <c r="F20" s="276"/>
      <c r="G20" s="276"/>
      <c r="H20" s="276"/>
      <c r="I20" s="276"/>
      <c r="J20" s="276"/>
      <c r="K20" s="276"/>
      <c r="L20" s="276"/>
      <c r="M20" s="276"/>
      <c r="N20" s="276"/>
      <c r="O20" s="276"/>
      <c r="P20" s="276"/>
      <c r="Q20" s="276"/>
      <c r="R20" s="276"/>
      <c r="S20" s="276"/>
      <c r="T20" s="276"/>
      <c r="U20" s="199"/>
    </row>
    <row r="21" spans="1:38" ht="13.25" customHeight="1" x14ac:dyDescent="0.2">
      <c r="A21" s="262"/>
      <c r="B21" s="219" t="s">
        <v>720</v>
      </c>
      <c r="C21" s="263"/>
      <c r="D21" s="263"/>
      <c r="E21" s="263"/>
      <c r="F21" s="263"/>
      <c r="G21" s="263"/>
      <c r="H21" s="263"/>
      <c r="I21" s="263"/>
      <c r="J21" s="263"/>
      <c r="K21" s="263"/>
      <c r="L21" s="263"/>
      <c r="M21" s="263"/>
      <c r="N21" s="263"/>
      <c r="O21" s="263"/>
      <c r="P21" s="263">
        <f>+O24</f>
        <v>271.35899999999998</v>
      </c>
      <c r="Q21" s="263">
        <f>+P24</f>
        <v>297.53806368459982</v>
      </c>
      <c r="R21" s="263">
        <f>+Q24</f>
        <v>290.61706541620674</v>
      </c>
      <c r="S21" s="263">
        <f>+R24</f>
        <v>274.01201689390223</v>
      </c>
      <c r="T21" s="263">
        <f>+S24</f>
        <v>247.23871560499072</v>
      </c>
      <c r="U21" s="199"/>
    </row>
    <row r="22" spans="1:38" ht="13.25" customHeight="1" thickBot="1" x14ac:dyDescent="0.25">
      <c r="A22" s="262"/>
      <c r="B22" s="229" t="s">
        <v>721</v>
      </c>
      <c r="C22" s="244"/>
      <c r="D22" s="244"/>
      <c r="E22" s="244"/>
      <c r="F22" s="244"/>
      <c r="G22" s="244"/>
      <c r="H22" s="244"/>
      <c r="I22" s="244"/>
      <c r="J22" s="244"/>
      <c r="K22" s="244"/>
      <c r="L22" s="244"/>
      <c r="M22" s="244"/>
      <c r="N22" s="244"/>
      <c r="O22" s="244"/>
      <c r="P22" s="276">
        <f>SalesOPEX!P10*Assumptions!P21</f>
        <v>56.063760704261405</v>
      </c>
      <c r="Q22" s="276">
        <f>SalesOPEX!Q10*Assumptions!Q21</f>
        <v>58.866948739474473</v>
      </c>
      <c r="R22" s="276">
        <f>SalesOPEX!R10*Assumptions!R21</f>
        <v>61.810296176448198</v>
      </c>
      <c r="S22" s="276">
        <f>SalesOPEX!S10*Assumptions!S21</f>
        <v>64.90081098527061</v>
      </c>
      <c r="T22" s="276">
        <f>SalesOPEX!T10*Assumptions!T21</f>
        <v>68.145851534534145</v>
      </c>
      <c r="U22" s="199"/>
    </row>
    <row r="23" spans="1:38" ht="13.25" customHeight="1" thickTop="1" thickBot="1" x14ac:dyDescent="0.25">
      <c r="A23" s="262"/>
      <c r="B23" s="229" t="s">
        <v>722</v>
      </c>
      <c r="C23" s="244"/>
      <c r="D23" s="244"/>
      <c r="E23" s="244"/>
      <c r="F23" s="244"/>
      <c r="G23" s="244"/>
      <c r="H23" s="244"/>
      <c r="I23" s="385"/>
      <c r="J23" s="386"/>
      <c r="K23" s="386"/>
      <c r="L23" s="386"/>
      <c r="M23" s="386"/>
      <c r="N23" s="386"/>
      <c r="O23" s="300">
        <f>Restatements!L46</f>
        <v>-53.871000000000002</v>
      </c>
      <c r="P23" s="244">
        <f>+P32</f>
        <v>-29.884697019661566</v>
      </c>
      <c r="Q23" s="244">
        <f>+Q32</f>
        <v>-65.787947007867587</v>
      </c>
      <c r="R23" s="244">
        <f>+R32</f>
        <v>-78.415344698752705</v>
      </c>
      <c r="S23" s="244">
        <f>+S32</f>
        <v>-91.674112274182093</v>
      </c>
      <c r="T23" s="244">
        <f>+T32</f>
        <v>-105.59581822838294</v>
      </c>
      <c r="U23" s="199"/>
    </row>
    <row r="24" spans="1:38" ht="13.25" customHeight="1" thickTop="1" thickBot="1" x14ac:dyDescent="0.25">
      <c r="A24" s="261"/>
      <c r="B24" s="266" t="s">
        <v>723</v>
      </c>
      <c r="C24" s="263"/>
      <c r="D24" s="263"/>
      <c r="E24" s="263"/>
      <c r="F24" s="265"/>
      <c r="G24" s="265"/>
      <c r="H24" s="265"/>
      <c r="I24" s="387"/>
      <c r="J24" s="277"/>
      <c r="K24" s="277"/>
      <c r="L24" s="277"/>
      <c r="M24" s="277"/>
      <c r="N24" s="277"/>
      <c r="O24" s="264">
        <f>Restatements!L79</f>
        <v>271.35899999999998</v>
      </c>
      <c r="P24" s="263">
        <f>+SUM(P21:P23)</f>
        <v>297.53806368459982</v>
      </c>
      <c r="Q24" s="263">
        <f>+SUM(Q21:Q23)</f>
        <v>290.61706541620674</v>
      </c>
      <c r="R24" s="263">
        <f>+SUM(R21:R23)</f>
        <v>274.01201689390223</v>
      </c>
      <c r="S24" s="263">
        <f>+SUM(S21:S23)</f>
        <v>247.23871560499072</v>
      </c>
      <c r="T24" s="263">
        <f>+SUM(T21:T23)</f>
        <v>209.78874891114191</v>
      </c>
      <c r="U24" s="199"/>
    </row>
    <row r="25" spans="1:38" ht="13.25" customHeight="1" thickTop="1" x14ac:dyDescent="0.2">
      <c r="A25" s="262"/>
      <c r="C25" s="276"/>
      <c r="D25" s="276"/>
      <c r="E25" s="276"/>
      <c r="I25" s="221"/>
      <c r="J25" s="221"/>
      <c r="K25" s="221"/>
      <c r="L25" s="221"/>
      <c r="M25" s="221"/>
      <c r="N25" s="221"/>
      <c r="O25" s="221"/>
      <c r="P25" s="276"/>
      <c r="Q25" s="276"/>
      <c r="R25" s="276"/>
      <c r="S25" s="276"/>
      <c r="T25" s="276"/>
      <c r="U25" s="276"/>
      <c r="V25" s="276"/>
      <c r="W25" s="276"/>
      <c r="X25" s="276"/>
      <c r="Y25" s="276"/>
      <c r="Z25" s="276"/>
      <c r="AA25" s="276"/>
      <c r="AB25" s="276"/>
      <c r="AC25" s="276"/>
      <c r="AD25" s="276"/>
      <c r="AE25" s="276"/>
      <c r="AF25" s="276"/>
      <c r="AG25" s="276"/>
      <c r="AH25" s="276"/>
      <c r="AI25" s="276"/>
      <c r="AJ25" s="276"/>
      <c r="AK25" s="276"/>
      <c r="AL25" s="276"/>
    </row>
    <row r="26" spans="1:38" ht="13.25" customHeight="1" x14ac:dyDescent="0.2">
      <c r="B26" s="201" t="s">
        <v>724</v>
      </c>
      <c r="C26" s="279">
        <f>+P5</f>
        <v>45842</v>
      </c>
      <c r="D26" s="276">
        <f>+O24</f>
        <v>271.35899999999998</v>
      </c>
      <c r="E26" s="276"/>
      <c r="P26" s="276">
        <f>-MIN($D26+SUM($I26:I26),$D26*Assumptions!P$22)*(P$5&gt;=$C26)*(IF(P$5=$C26,0.5,1))</f>
        <v>-29.884697019661566</v>
      </c>
      <c r="Q26" s="276">
        <f>-MIN($D26+SUM($I26:P26),$D26*Assumptions!Q$22)*(Q$5&gt;=$C26)*(IF(Q$5=$C26,0.5,1))</f>
        <v>-59.628240817191909</v>
      </c>
      <c r="R26" s="276">
        <f>-MIN($D26+SUM($I26:Q26),$D26*Assumptions!R$22)*(R$5&gt;=$C26)*(IF(R$5=$C26,0.5,1))</f>
        <v>-59.628240817191909</v>
      </c>
      <c r="S26" s="276">
        <f>-MIN($D26+SUM($I26:R26),$D26*Assumptions!S$22)*(S$5&gt;=$C26)*(IF(S$5=$C26,0.5,1))</f>
        <v>-59.628240817191909</v>
      </c>
      <c r="T26" s="276">
        <f>-MIN($D26+SUM($I26:S26),$D26*Assumptions!T$22)*(T$5&gt;=$C26)*(IF(T$5=$C26,0.5,1))</f>
        <v>-59.628240817191909</v>
      </c>
      <c r="U26" s="199"/>
    </row>
    <row r="27" spans="1:38" ht="13.25" customHeight="1" x14ac:dyDescent="0.2">
      <c r="B27" s="201" t="str">
        <f>"CAPEX Year "&amp;YEAR(P5)</f>
        <v>CAPEX Year 2025</v>
      </c>
      <c r="C27" s="279">
        <f>C26+365</f>
        <v>46207</v>
      </c>
      <c r="D27" s="221">
        <f>P22</f>
        <v>56.063760704261405</v>
      </c>
      <c r="E27" s="221"/>
      <c r="P27" s="276">
        <f>-MIN($D27+SUM($I27:I27),$D27*Assumptions!P$22)*(P$5&gt;=$C27)*(IF(P$5=$C27,0.5,1))</f>
        <v>0</v>
      </c>
      <c r="Q27" s="276">
        <f>-MIN($D27+SUM($I27:P27),$D27*Assumptions!Q$22)*(Q$5&gt;=$C27)*(IF(Q$5=$C27,0.5,1))</f>
        <v>-6.1597061906756734</v>
      </c>
      <c r="R27" s="276">
        <f>-MIN($D27+SUM($I27:Q27),$D27*Assumptions!R$22)*(R$5&gt;=$C27)*(IF(R$5=$C27,0.5,1))</f>
        <v>-12.319412381351347</v>
      </c>
      <c r="S27" s="276">
        <f>-MIN($D27+SUM($I27:R27),$D27*Assumptions!S$22)*(S$5&gt;=$C27)*(IF(S$5=$C27,0.5,1))</f>
        <v>-12.319412381351347</v>
      </c>
      <c r="T27" s="276">
        <f>-MIN($D27+SUM($I27:S27),$D27*Assumptions!T$22)*(T$5&gt;=$C27)*(IF(T$5=$C27,0.5,1))</f>
        <v>-12.319412381351347</v>
      </c>
      <c r="U27" s="199"/>
    </row>
    <row r="28" spans="1:38" ht="13.25" customHeight="1" x14ac:dyDescent="0.2">
      <c r="B28" s="201" t="str">
        <f>"CAPEX Year "&amp;YEAR(Q5)</f>
        <v>CAPEX Year 2026</v>
      </c>
      <c r="C28" s="279">
        <f t="shared" ref="C28:C31" si="3">C27+365</f>
        <v>46572</v>
      </c>
      <c r="D28" s="221">
        <f>Q22</f>
        <v>58.866948739474473</v>
      </c>
      <c r="E28" s="221"/>
      <c r="P28" s="276">
        <f>-MIN($D28+SUM($I28:I28),$D28*Assumptions!P$22)*(P$5&gt;=$C28)*(IF(P$5=$C28,0.5,1))</f>
        <v>0</v>
      </c>
      <c r="Q28" s="276">
        <f>-MIN($D28+SUM($I28:P28),$D28*Assumptions!Q$22)*(Q$5&gt;=$C28)*(IF(Q$5=$C28,0.5,1))</f>
        <v>0</v>
      </c>
      <c r="R28" s="276">
        <f>-MIN($D28+SUM($I28:Q28),$D28*Assumptions!R$22)*(R$5&gt;=$C28)*(IF(R$5=$C28,0.5,1))</f>
        <v>-6.4676915002094564</v>
      </c>
      <c r="S28" s="276">
        <f>-MIN($D28+SUM($I28:R28),$D28*Assumptions!S$22)*(S$5&gt;=$C28)*(IF(S$5=$C28,0.5,1))</f>
        <v>-12.935383000418913</v>
      </c>
      <c r="T28" s="276">
        <f>-MIN($D28+SUM($I28:S28),$D28*Assumptions!T$22)*(T$5&gt;=$C28)*(IF(T$5=$C28,0.5,1))</f>
        <v>-12.935383000418913</v>
      </c>
      <c r="U28" s="199"/>
    </row>
    <row r="29" spans="1:38" ht="13.25" customHeight="1" x14ac:dyDescent="0.2">
      <c r="B29" s="201" t="str">
        <f>"CAPEX Year "&amp;YEAR(R5)</f>
        <v>CAPEX Year 2027</v>
      </c>
      <c r="C29" s="279">
        <f t="shared" si="3"/>
        <v>46937</v>
      </c>
      <c r="D29" s="221">
        <f>R22</f>
        <v>61.810296176448198</v>
      </c>
      <c r="E29" s="221"/>
      <c r="P29" s="276">
        <f>-MIN($D29+SUM($I29:I29),$D29*Assumptions!P$22)*(P$5&gt;=$C29)*(IF(P$5=$C29,0.5,1))</f>
        <v>0</v>
      </c>
      <c r="Q29" s="276">
        <f>-MIN($D29+SUM($I29:P29),$D29*Assumptions!Q$22)*(Q$5&gt;=$C29)*(IF(Q$5=$C29,0.5,1))</f>
        <v>0</v>
      </c>
      <c r="R29" s="276">
        <f>-MIN($D29+SUM($I29:Q29),$D29*Assumptions!R$22)*(R$5&gt;=$C29)*(IF(R$5=$C29,0.5,1))</f>
        <v>0</v>
      </c>
      <c r="S29" s="276">
        <f>-MIN($D29+SUM($I29:R29),$D29*Assumptions!S$22)*(S$5&gt;=$C29)*(IF(S$5=$C29,0.5,1))</f>
        <v>-6.7910760752199293</v>
      </c>
      <c r="T29" s="276">
        <f>-MIN($D29+SUM($I29:S29),$D29*Assumptions!T$22)*(T$5&gt;=$C29)*(IF(T$5=$C29,0.5,1))</f>
        <v>-13.582152150439859</v>
      </c>
      <c r="U29" s="199"/>
    </row>
    <row r="30" spans="1:38" ht="13.25" customHeight="1" x14ac:dyDescent="0.2">
      <c r="B30" s="201" t="str">
        <f>"CAPEX Year "&amp;YEAR(S5)</f>
        <v>CAPEX Year 2028</v>
      </c>
      <c r="C30" s="279">
        <f t="shared" si="3"/>
        <v>47302</v>
      </c>
      <c r="D30" s="221">
        <f>S22</f>
        <v>64.90081098527061</v>
      </c>
      <c r="E30" s="221"/>
      <c r="P30" s="276">
        <f>-MIN($D30+SUM($I30:I30),$D30*Assumptions!P$22)*(P$5&gt;=$C30)*(IF(P$5=$C30,0.5,1))</f>
        <v>0</v>
      </c>
      <c r="Q30" s="276">
        <f>-MIN($D30+SUM($I30:P30),$D30*Assumptions!Q$22)*(Q$5&gt;=$C30)*(IF(Q$5=$C30,0.5,1))</f>
        <v>0</v>
      </c>
      <c r="R30" s="276">
        <f>-MIN($D30+SUM($I30:Q30),$D30*Assumptions!R$22)*(R$5&gt;=$C30)*(IF(R$5=$C30,0.5,1))</f>
        <v>0</v>
      </c>
      <c r="S30" s="276">
        <f>-MIN($D30+SUM($I30:R30),$D30*Assumptions!S$22)*(S$5&gt;=$C30)*(IF(S$5=$C30,0.5,1))</f>
        <v>0</v>
      </c>
      <c r="T30" s="276">
        <f>-MIN($D30+SUM($I30:S30),$D30*Assumptions!T$22)*(T$5&gt;=$C30)*(IF(T$5=$C30,0.5,1))</f>
        <v>-7.1306298789809262</v>
      </c>
      <c r="U30" s="199"/>
    </row>
    <row r="31" spans="1:38" ht="13.25" customHeight="1" x14ac:dyDescent="0.2">
      <c r="B31" s="201" t="str">
        <f>"CAPEX Year "&amp;YEAR(T5)</f>
        <v>CAPEX Year 2029</v>
      </c>
      <c r="C31" s="279">
        <f t="shared" si="3"/>
        <v>47667</v>
      </c>
      <c r="D31" s="221">
        <f>T22</f>
        <v>68.145851534534145</v>
      </c>
      <c r="E31" s="221"/>
      <c r="P31" s="276">
        <f>-MIN($D31+SUM($I31:I31),$D31*Assumptions!P$22)*(P$5&gt;=$C31)*(IF(P$5=$C31,0.5,1))</f>
        <v>0</v>
      </c>
      <c r="Q31" s="276">
        <f>-MIN($D31+SUM($I31:P31),$D31*Assumptions!Q$22)*(Q$5&gt;=$C31)*(IF(Q$5=$C31,0.5,1))</f>
        <v>0</v>
      </c>
      <c r="R31" s="276">
        <f>-MIN($D31+SUM($I31:Q31),$D31*Assumptions!R$22)*(R$5&gt;=$C31)*(IF(R$5=$C31,0.5,1))</f>
        <v>0</v>
      </c>
      <c r="S31" s="276">
        <f>-MIN($D31+SUM($I31:R31),$D31*Assumptions!S$22)*(S$5&gt;=$C31)*(IF(S$5=$C31,0.5,1))</f>
        <v>0</v>
      </c>
      <c r="T31" s="276">
        <f>-MIN($D31+SUM($I31:S31),$D31*Assumptions!T$22)*(T$5&gt;=$C31)*(IF(T$5=$C31,0.5,1))</f>
        <v>0</v>
      </c>
      <c r="U31" s="199"/>
    </row>
    <row r="32" spans="1:38" ht="13.25" customHeight="1" x14ac:dyDescent="0.2">
      <c r="A32" s="261"/>
      <c r="B32" s="219" t="s">
        <v>725</v>
      </c>
      <c r="C32" s="278"/>
      <c r="D32" s="278"/>
      <c r="E32" s="278"/>
      <c r="F32" s="265"/>
      <c r="G32" s="265"/>
      <c r="H32" s="265"/>
      <c r="I32" s="265"/>
      <c r="J32" s="265"/>
      <c r="K32" s="265"/>
      <c r="L32" s="265"/>
      <c r="M32" s="265"/>
      <c r="N32" s="265"/>
      <c r="O32" s="265"/>
      <c r="P32" s="277">
        <f>SUM(P26:P31)</f>
        <v>-29.884697019661566</v>
      </c>
      <c r="Q32" s="277">
        <f>SUM(Q26:Q31)</f>
        <v>-65.787947007867587</v>
      </c>
      <c r="R32" s="277">
        <f>SUM(R26:R31)</f>
        <v>-78.415344698752705</v>
      </c>
      <c r="S32" s="277">
        <f>SUM(S26:S31)</f>
        <v>-91.674112274182093</v>
      </c>
      <c r="T32" s="277">
        <f>SUM(T26:T31)</f>
        <v>-105.59581822838294</v>
      </c>
      <c r="U32" s="199"/>
    </row>
    <row r="33" spans="1:28" ht="13.25" customHeight="1" x14ac:dyDescent="0.2">
      <c r="A33" s="262"/>
      <c r="F33" s="276"/>
      <c r="G33" s="276"/>
      <c r="H33" s="276"/>
      <c r="I33" s="276"/>
      <c r="J33" s="276"/>
      <c r="K33" s="276"/>
      <c r="L33" s="276"/>
      <c r="M33" s="276"/>
      <c r="N33" s="276"/>
      <c r="O33" s="276"/>
      <c r="P33" s="276"/>
      <c r="Q33" s="276"/>
      <c r="R33" s="276"/>
      <c r="S33" s="276"/>
      <c r="T33" s="276"/>
      <c r="U33" s="199"/>
      <c r="AB33" s="275"/>
    </row>
    <row r="34" spans="1:28" ht="13.25" customHeight="1" x14ac:dyDescent="0.2">
      <c r="A34" s="261"/>
      <c r="B34" s="252" t="s">
        <v>726</v>
      </c>
      <c r="C34" s="274"/>
      <c r="D34" s="274"/>
      <c r="E34" s="274"/>
      <c r="F34" s="273"/>
      <c r="G34" s="273"/>
      <c r="H34" s="273"/>
      <c r="P34" s="272">
        <f>+I37</f>
        <v>2028.4859999999999</v>
      </c>
      <c r="Q34" s="272">
        <f>+P37</f>
        <v>2009.0480994195204</v>
      </c>
      <c r="R34" s="272">
        <f>+Q37</f>
        <v>1993.1172743762979</v>
      </c>
      <c r="S34" s="272">
        <f>+R37</f>
        <v>1980.7028947644155</v>
      </c>
      <c r="T34" s="272">
        <f>+S37</f>
        <v>1971.8209500846044</v>
      </c>
      <c r="U34" s="199"/>
    </row>
    <row r="35" spans="1:28" ht="13.25" customHeight="1" x14ac:dyDescent="0.2">
      <c r="A35" s="262"/>
      <c r="B35" s="201" t="s">
        <v>727</v>
      </c>
      <c r="C35" s="218"/>
      <c r="D35" s="218"/>
      <c r="E35" s="218"/>
      <c r="F35" s="218"/>
      <c r="G35" s="218"/>
      <c r="H35" s="218"/>
      <c r="I35" s="271"/>
      <c r="J35" s="271"/>
      <c r="K35" s="271"/>
      <c r="L35" s="271"/>
      <c r="M35" s="271"/>
      <c r="N35" s="271"/>
      <c r="O35" s="271"/>
      <c r="P35" s="271">
        <f>+Assumptions!P24*SalesOPEX!P10</f>
        <v>55.734726133883747</v>
      </c>
      <c r="Q35" s="271">
        <f>+Assumptions!Q24*SalesOPEX!Q10</f>
        <v>58.521462440577935</v>
      </c>
      <c r="R35" s="271">
        <f>+Assumptions!R24*SalesOPEX!R10</f>
        <v>61.447535562606831</v>
      </c>
      <c r="S35" s="271">
        <f>+Assumptions!S24*SalesOPEX!S10</f>
        <v>64.519912340737179</v>
      </c>
      <c r="T35" s="271">
        <f>+Assumptions!T24*SalesOPEX!T10</f>
        <v>67.745907957774037</v>
      </c>
      <c r="U35" s="199"/>
    </row>
    <row r="36" spans="1:28" ht="13.25" customHeight="1" x14ac:dyDescent="0.2">
      <c r="A36" s="261"/>
      <c r="B36" s="201" t="s">
        <v>653</v>
      </c>
      <c r="C36" s="218"/>
      <c r="D36" s="218"/>
      <c r="E36" s="218"/>
      <c r="F36" s="218"/>
      <c r="G36" s="218"/>
      <c r="H36" s="218"/>
      <c r="I36" s="218"/>
      <c r="J36" s="218"/>
      <c r="K36" s="218"/>
      <c r="L36" s="218"/>
      <c r="M36" s="218"/>
      <c r="N36" s="218"/>
      <c r="O36" s="218"/>
      <c r="P36" s="218">
        <f>-I37*Assumptions!P25</f>
        <v>-75.172626714363176</v>
      </c>
      <c r="Q36" s="218">
        <f>-P37*Assumptions!Q25</f>
        <v>-74.452287483800447</v>
      </c>
      <c r="R36" s="218">
        <f>-Q37*Assumptions!R25</f>
        <v>-73.861915174488971</v>
      </c>
      <c r="S36" s="218">
        <f>-R37*Assumptions!S25</f>
        <v>-73.401857020548334</v>
      </c>
      <c r="T36" s="218">
        <f>-S37*Assumptions!T25</f>
        <v>-73.072705568720181</v>
      </c>
      <c r="U36" s="199"/>
    </row>
    <row r="37" spans="1:28" ht="13.25" customHeight="1" x14ac:dyDescent="0.2">
      <c r="A37" s="262"/>
      <c r="B37" s="219" t="s">
        <v>728</v>
      </c>
      <c r="C37" s="220"/>
      <c r="D37" s="220"/>
      <c r="E37" s="220"/>
      <c r="F37" s="220"/>
      <c r="G37" s="220"/>
      <c r="H37" s="220"/>
      <c r="I37" s="270">
        <f>Restatements!L80+Restatements!L81</f>
        <v>2028.4859999999999</v>
      </c>
      <c r="J37" s="264"/>
      <c r="K37" s="264"/>
      <c r="L37" s="264"/>
      <c r="M37" s="264"/>
      <c r="N37" s="264"/>
      <c r="O37" s="264"/>
      <c r="P37" s="220">
        <f>SUM(P34:P36)</f>
        <v>2009.0480994195204</v>
      </c>
      <c r="Q37" s="220">
        <f>SUM(Q34:Q36)</f>
        <v>1993.1172743762979</v>
      </c>
      <c r="R37" s="220">
        <f>SUM(R34:R36)</f>
        <v>1980.7028947644155</v>
      </c>
      <c r="S37" s="220">
        <f>SUM(S34:S36)</f>
        <v>1971.8209500846044</v>
      </c>
      <c r="T37" s="220">
        <f>SUM(T34:T36)</f>
        <v>1966.4941524736582</v>
      </c>
      <c r="U37" s="199"/>
    </row>
    <row r="38" spans="1:28" ht="13.25" customHeight="1" x14ac:dyDescent="0.2">
      <c r="A38" s="262"/>
      <c r="C38" s="218"/>
      <c r="D38" s="218"/>
      <c r="E38" s="218"/>
      <c r="F38" s="218"/>
      <c r="G38" s="218"/>
      <c r="H38" s="218"/>
      <c r="I38" s="218"/>
      <c r="J38" s="218"/>
      <c r="K38" s="218"/>
      <c r="L38" s="218"/>
      <c r="M38" s="218"/>
      <c r="N38" s="218"/>
      <c r="O38" s="218"/>
      <c r="P38" s="214"/>
      <c r="Q38" s="214"/>
      <c r="R38" s="214"/>
      <c r="S38" s="214"/>
      <c r="T38" s="214"/>
      <c r="U38" s="199"/>
    </row>
    <row r="39" spans="1:28" ht="13.25" customHeight="1" x14ac:dyDescent="0.2">
      <c r="A39" s="269"/>
      <c r="C39" s="218"/>
      <c r="D39" s="218"/>
      <c r="E39" s="218"/>
      <c r="F39" s="244"/>
      <c r="G39" s="244"/>
      <c r="H39" s="244"/>
      <c r="I39" s="244"/>
      <c r="J39" s="244"/>
      <c r="K39" s="244"/>
      <c r="L39" s="244"/>
      <c r="M39" s="244"/>
      <c r="N39" s="244"/>
      <c r="O39" s="244"/>
      <c r="P39" s="218"/>
      <c r="Q39" s="218"/>
      <c r="R39" s="218"/>
      <c r="S39" s="218"/>
      <c r="T39" s="218"/>
      <c r="U39" s="199"/>
    </row>
    <row r="40" spans="1:28" ht="13.25" customHeight="1" x14ac:dyDescent="0.2">
      <c r="A40" s="253"/>
      <c r="U40" s="199"/>
    </row>
    <row r="41" spans="1:28" ht="13.25" customHeight="1" x14ac:dyDescent="0.2">
      <c r="A41" s="253"/>
      <c r="U41" s="199"/>
    </row>
    <row r="42" spans="1:28" ht="13.25" customHeight="1" x14ac:dyDescent="0.2">
      <c r="A42" s="253"/>
      <c r="U42" s="199"/>
    </row>
    <row r="43" spans="1:28" ht="13.25" customHeight="1" x14ac:dyDescent="0.2">
      <c r="A43" s="253"/>
      <c r="U43" s="199"/>
    </row>
    <row r="44" spans="1:28" ht="13.25" customHeight="1" x14ac:dyDescent="0.2">
      <c r="A44" s="253"/>
      <c r="U44" s="199"/>
    </row>
    <row r="45" spans="1:28" ht="13.25" customHeight="1" x14ac:dyDescent="0.2">
      <c r="A45" s="253"/>
      <c r="U45" s="199"/>
    </row>
    <row r="46" spans="1:28" ht="13.25" customHeight="1" x14ac:dyDescent="0.2">
      <c r="A46" s="253"/>
      <c r="U46" s="199"/>
    </row>
    <row r="47" spans="1:28" ht="13.25" customHeight="1" x14ac:dyDescent="0.2">
      <c r="A47" s="253"/>
      <c r="U47" s="199"/>
    </row>
    <row r="48" spans="1:28" ht="13.25" customHeight="1" x14ac:dyDescent="0.2">
      <c r="A48" s="253"/>
      <c r="U48" s="199"/>
    </row>
    <row r="49" spans="1:21" ht="13.25" customHeight="1" x14ac:dyDescent="0.2">
      <c r="A49" s="253"/>
      <c r="U49" s="199"/>
    </row>
    <row r="50" spans="1:21" ht="13.25" customHeight="1" x14ac:dyDescent="0.2">
      <c r="A50" s="253"/>
      <c r="U50" s="199"/>
    </row>
    <row r="51" spans="1:21" ht="13.25" customHeight="1" x14ac:dyDescent="0.2">
      <c r="A51" s="253"/>
      <c r="U51" s="199"/>
    </row>
    <row r="52" spans="1:21" ht="13.25" customHeight="1" x14ac:dyDescent="0.2">
      <c r="A52" s="253"/>
      <c r="U52" s="199"/>
    </row>
    <row r="53" spans="1:21" ht="13.25" customHeight="1" x14ac:dyDescent="0.15">
      <c r="A53" s="253"/>
    </row>
    <row r="54" spans="1:21" ht="13.25" customHeight="1" x14ac:dyDescent="0.15">
      <c r="A54" s="253"/>
    </row>
    <row r="55" spans="1:21" ht="13.25" customHeight="1" x14ac:dyDescent="0.15">
      <c r="A55" s="253"/>
    </row>
    <row r="56" spans="1:21" ht="13.25" customHeight="1" x14ac:dyDescent="0.15">
      <c r="A56" s="253"/>
    </row>
    <row r="57" spans="1:21" ht="13.25" customHeight="1" x14ac:dyDescent="0.15">
      <c r="A57" s="253"/>
    </row>
    <row r="58" spans="1:21" ht="13.25" customHeight="1" x14ac:dyDescent="0.15">
      <c r="A58" s="253"/>
    </row>
    <row r="59" spans="1:21" ht="13.25" customHeight="1" x14ac:dyDescent="0.15">
      <c r="A59" s="253"/>
    </row>
    <row r="60" spans="1:21" ht="13.25" customHeight="1" x14ac:dyDescent="0.15">
      <c r="A60" s="253"/>
    </row>
    <row r="61" spans="1:21" ht="13.25" customHeight="1" x14ac:dyDescent="0.15">
      <c r="A61" s="253"/>
    </row>
    <row r="62" spans="1:21" ht="13.25" customHeight="1" x14ac:dyDescent="0.2">
      <c r="A62" s="253"/>
      <c r="U62" s="239"/>
    </row>
    <row r="63" spans="1:21" ht="13.25" customHeight="1" x14ac:dyDescent="0.2">
      <c r="A63" s="253"/>
      <c r="U63" s="239"/>
    </row>
    <row r="64" spans="1:21" ht="13.25" customHeight="1" x14ac:dyDescent="0.2">
      <c r="U64" s="239"/>
    </row>
    <row r="65" spans="21:21" ht="13.25" customHeight="1" x14ac:dyDescent="0.2">
      <c r="U65" s="239"/>
    </row>
    <row r="66" spans="21:21" ht="13.25" customHeight="1" x14ac:dyDescent="0.2">
      <c r="U66" s="239"/>
    </row>
    <row r="67" spans="21:21" ht="13.25" customHeight="1" x14ac:dyDescent="0.2">
      <c r="U67" s="239"/>
    </row>
    <row r="68" spans="21:21" ht="13.25" customHeight="1" x14ac:dyDescent="0.2">
      <c r="U68" s="239"/>
    </row>
    <row r="69" spans="21:21" ht="13.25" customHeight="1" x14ac:dyDescent="0.2">
      <c r="U69" s="239"/>
    </row>
    <row r="70" spans="21:21" ht="13.25" customHeight="1" x14ac:dyDescent="0.2">
      <c r="U70" s="239"/>
    </row>
    <row r="71" spans="21:21" ht="13.25" customHeight="1" x14ac:dyDescent="0.2">
      <c r="U71" s="239"/>
    </row>
    <row r="72" spans="21:21" ht="13.25" customHeight="1" x14ac:dyDescent="0.2">
      <c r="U72" s="239"/>
    </row>
    <row r="73" spans="21:21" ht="13.25" customHeight="1" x14ac:dyDescent="0.2">
      <c r="U73" s="239"/>
    </row>
    <row r="74" spans="21:21" ht="13.25" customHeight="1" x14ac:dyDescent="0.2">
      <c r="U74" s="239"/>
    </row>
    <row r="75" spans="21:21" ht="13.25" customHeight="1" x14ac:dyDescent="0.2">
      <c r="U75" s="239"/>
    </row>
    <row r="76" spans="21:21" ht="13.25" customHeight="1" x14ac:dyDescent="0.2">
      <c r="U76" s="239"/>
    </row>
    <row r="77" spans="21:21" ht="13.25" customHeight="1" x14ac:dyDescent="0.2">
      <c r="U77" s="239"/>
    </row>
    <row r="78" spans="21:21" ht="13.25" customHeight="1" x14ac:dyDescent="0.2">
      <c r="U78" s="239"/>
    </row>
    <row r="79" spans="21:21" ht="13.25" customHeight="1" x14ac:dyDescent="0.2">
      <c r="U79" s="239"/>
    </row>
    <row r="80" spans="21:21" ht="13.25" customHeight="1" x14ac:dyDescent="0.2">
      <c r="U80" s="239"/>
    </row>
    <row r="81" spans="21:21" ht="13.25" customHeight="1" x14ac:dyDescent="0.2">
      <c r="U81" s="239"/>
    </row>
    <row r="82" spans="21:21" ht="13.25" customHeight="1" x14ac:dyDescent="0.2">
      <c r="U82" s="239"/>
    </row>
    <row r="83" spans="21:21" ht="13.25" customHeight="1" x14ac:dyDescent="0.2">
      <c r="U83" s="239"/>
    </row>
    <row r="85" spans="21:21" ht="13.25" customHeight="1" x14ac:dyDescent="0.2">
      <c r="U85" s="239"/>
    </row>
    <row r="86" spans="21:21" ht="13.25" customHeight="1" x14ac:dyDescent="0.2">
      <c r="U86" s="239"/>
    </row>
    <row r="87" spans="21:21" ht="13.25" customHeight="1" x14ac:dyDescent="0.2">
      <c r="U87" s="239"/>
    </row>
    <row r="88" spans="21:21" ht="13.25" customHeight="1" x14ac:dyDescent="0.2">
      <c r="U88" s="239"/>
    </row>
    <row r="89" spans="21:21" ht="13.25" customHeight="1" x14ac:dyDescent="0.2">
      <c r="U89" s="239"/>
    </row>
    <row r="90" spans="21:21" ht="13.25" customHeight="1" x14ac:dyDescent="0.2">
      <c r="U90" s="239"/>
    </row>
    <row r="91" spans="21:21" ht="13.25" customHeight="1" x14ac:dyDescent="0.2">
      <c r="U91" s="239"/>
    </row>
    <row r="92" spans="21:21" ht="13.25" customHeight="1" x14ac:dyDescent="0.2">
      <c r="U92" s="239"/>
    </row>
    <row r="93" spans="21:21" ht="13.25" customHeight="1" x14ac:dyDescent="0.2">
      <c r="U93" s="239"/>
    </row>
    <row r="94" spans="21:21" ht="13.25" customHeight="1" x14ac:dyDescent="0.2">
      <c r="U94" s="239"/>
    </row>
    <row r="95" spans="21:21" ht="13.25" customHeight="1" x14ac:dyDescent="0.2">
      <c r="U95" s="239"/>
    </row>
    <row r="96" spans="21:21" ht="13.25" customHeight="1" x14ac:dyDescent="0.2">
      <c r="U96" s="239"/>
    </row>
    <row r="97" spans="21:21" ht="13.25" customHeight="1" x14ac:dyDescent="0.2">
      <c r="U97" s="239"/>
    </row>
    <row r="98" spans="21:21" ht="13.25" customHeight="1" x14ac:dyDescent="0.2">
      <c r="U98" s="239"/>
    </row>
    <row r="99" spans="21:21" ht="13.25" customHeight="1" x14ac:dyDescent="0.2">
      <c r="U99" s="239"/>
    </row>
    <row r="100" spans="21:21" ht="13.25" customHeight="1" x14ac:dyDescent="0.2">
      <c r="U100" s="239"/>
    </row>
    <row r="101" spans="21:21" ht="13.25" customHeight="1" x14ac:dyDescent="0.2">
      <c r="U101" s="239"/>
    </row>
    <row r="102" spans="21:21" ht="13.25" customHeight="1" x14ac:dyDescent="0.2">
      <c r="U102" s="239"/>
    </row>
    <row r="103" spans="21:21" ht="13.25" customHeight="1" x14ac:dyDescent="0.2">
      <c r="U103" s="239"/>
    </row>
    <row r="104" spans="21:21" ht="13.25" customHeight="1" x14ac:dyDescent="0.2">
      <c r="U104" s="239"/>
    </row>
    <row r="105" spans="21:21" ht="13.25" customHeight="1" x14ac:dyDescent="0.2">
      <c r="U105" s="239"/>
    </row>
  </sheetData>
  <conditionalFormatting sqref="A32">
    <cfRule type="iconSet" priority="3">
      <iconSet iconSet="3ArrowsGray">
        <cfvo type="percent" val="0"/>
        <cfvo type="percent" val="33"/>
        <cfvo type="percent" val="67"/>
      </iconSet>
    </cfRule>
  </conditionalFormatting>
  <conditionalFormatting sqref="A36">
    <cfRule type="iconSet" priority="1">
      <iconSet iconSet="3ArrowsGray">
        <cfvo type="percent" val="0"/>
        <cfvo type="percent" val="33"/>
        <cfvo type="percent" val="67"/>
      </iconSet>
    </cfRule>
  </conditionalFormatting>
  <conditionalFormatting sqref="P26:T31">
    <cfRule type="expression" dxfId="0" priority="2">
      <formula>P26=0</formula>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A2804-FE10-3D4D-A460-87D7A71E5F61}">
  <dimension ref="A1:U109"/>
  <sheetViews>
    <sheetView showGridLines="0" zoomScale="117" zoomScaleNormal="100" workbookViewId="0">
      <pane ySplit="6" topLeftCell="A7" activePane="bottomLeft" state="frozen"/>
      <selection pane="bottomLeft" activeCell="N36" sqref="N36"/>
    </sheetView>
  </sheetViews>
  <sheetFormatPr baseColWidth="10" defaultColWidth="7.1640625" defaultRowHeight="13.25" customHeight="1" outlineLevelCol="1" x14ac:dyDescent="0.15"/>
  <cols>
    <col min="1" max="1" width="11.1640625" style="199" customWidth="1"/>
    <col min="2" max="2" width="24.5" style="201" customWidth="1"/>
    <col min="3" max="8" width="7.1640625" style="199" hidden="1" customWidth="1" outlineLevel="1"/>
    <col min="9" max="9" width="7.1640625" style="199" collapsed="1"/>
    <col min="10" max="14" width="7.1640625" style="199"/>
    <col min="15" max="15" width="0.6640625" style="23" customWidth="1"/>
    <col min="16" max="16384" width="7.1640625" style="199"/>
  </cols>
  <sheetData>
    <row r="1" spans="1:21" ht="13.25" customHeight="1" x14ac:dyDescent="0.15">
      <c r="B1" s="198"/>
      <c r="F1" s="200"/>
      <c r="S1" s="215"/>
    </row>
    <row r="2" spans="1:21" ht="20" customHeight="1" x14ac:dyDescent="0.15">
      <c r="A2" s="221"/>
      <c r="B2" s="198" t="s">
        <v>729</v>
      </c>
      <c r="Q2" s="275"/>
      <c r="S2" s="215"/>
    </row>
    <row r="3" spans="1:21" ht="13.25" customHeight="1" x14ac:dyDescent="0.15">
      <c r="A3" s="221"/>
      <c r="F3" s="202" t="s">
        <v>586</v>
      </c>
      <c r="G3" s="203"/>
      <c r="H3" s="203"/>
      <c r="I3" s="203"/>
      <c r="J3" s="202" t="s">
        <v>669</v>
      </c>
      <c r="K3" s="204"/>
      <c r="L3" s="204"/>
      <c r="M3" s="204"/>
      <c r="N3" s="204"/>
    </row>
    <row r="4" spans="1:21" ht="5" customHeight="1" x14ac:dyDescent="0.15">
      <c r="A4" s="221"/>
      <c r="F4" s="200"/>
      <c r="J4" s="200"/>
    </row>
    <row r="5" spans="1:21" ht="15" customHeight="1" x14ac:dyDescent="0.15">
      <c r="A5" s="221"/>
      <c r="B5" s="205" t="str">
        <f>[1]AsReported!B5</f>
        <v>(EUR m)</v>
      </c>
      <c r="C5" s="210"/>
      <c r="D5" s="207"/>
      <c r="E5" s="206"/>
      <c r="F5" s="208">
        <f>[1]AsReported!F5</f>
        <v>41639</v>
      </c>
      <c r="G5" s="209">
        <f>[1]AsReported!G5</f>
        <v>42004</v>
      </c>
      <c r="H5" s="209">
        <f>[1]AsReported!H5</f>
        <v>42369</v>
      </c>
      <c r="I5" s="209">
        <f>Investments!O5</f>
        <v>45477</v>
      </c>
      <c r="J5" s="255">
        <f>Investments!P5</f>
        <v>45842</v>
      </c>
      <c r="K5" s="254">
        <f>J5+365</f>
        <v>46207</v>
      </c>
      <c r="L5" s="254">
        <f t="shared" ref="L5:N5" si="0">K5+365</f>
        <v>46572</v>
      </c>
      <c r="M5" s="254">
        <f t="shared" si="0"/>
        <v>46937</v>
      </c>
      <c r="N5" s="254">
        <f t="shared" si="0"/>
        <v>47302</v>
      </c>
      <c r="P5" s="210" t="s">
        <v>671</v>
      </c>
      <c r="Q5" s="210"/>
      <c r="R5" s="210"/>
      <c r="S5" s="210"/>
      <c r="T5" s="210"/>
      <c r="U5" s="210"/>
    </row>
    <row r="6" spans="1:21" ht="5" customHeight="1" x14ac:dyDescent="0.15">
      <c r="A6" s="221"/>
      <c r="F6" s="200"/>
    </row>
    <row r="7" spans="1:21" ht="5" customHeight="1" x14ac:dyDescent="0.15">
      <c r="A7" s="221"/>
    </row>
    <row r="8" spans="1:21" ht="13.25" customHeight="1" x14ac:dyDescent="0.2">
      <c r="A8" s="269"/>
      <c r="B8" s="211" t="s">
        <v>730</v>
      </c>
      <c r="C8" s="212"/>
      <c r="D8" s="212"/>
      <c r="E8" s="212"/>
      <c r="F8" s="212"/>
      <c r="G8" s="212"/>
      <c r="H8" s="212"/>
      <c r="I8" s="212"/>
      <c r="J8" s="212"/>
      <c r="K8" s="212"/>
      <c r="L8" s="212"/>
      <c r="M8" s="212"/>
      <c r="N8" s="212"/>
      <c r="O8" s="199"/>
    </row>
    <row r="9" spans="1:21" ht="5" customHeight="1" x14ac:dyDescent="0.2">
      <c r="A9" s="269"/>
      <c r="C9" s="218"/>
      <c r="D9" s="218"/>
      <c r="E9" s="218"/>
      <c r="F9" s="218"/>
      <c r="G9" s="218"/>
      <c r="H9" s="218"/>
      <c r="I9" s="218"/>
      <c r="J9" s="218"/>
      <c r="K9" s="218"/>
      <c r="L9" s="218"/>
      <c r="M9" s="218"/>
      <c r="N9" s="218"/>
      <c r="O9" s="199"/>
    </row>
    <row r="10" spans="1:21" ht="13.25" customHeight="1" x14ac:dyDescent="0.2">
      <c r="A10" s="287" t="s">
        <v>731</v>
      </c>
      <c r="B10" s="201" t="s">
        <v>732</v>
      </c>
      <c r="C10" s="244"/>
      <c r="D10" s="244"/>
      <c r="E10" s="244"/>
      <c r="J10" s="244">
        <f>+'Output (2)'!P29</f>
        <v>163.23271961387928</v>
      </c>
      <c r="K10" s="244">
        <f>+'Output (2)'!Q29</f>
        <v>156.92259474509856</v>
      </c>
      <c r="L10" s="244">
        <f>+'Output (2)'!R29</f>
        <v>196.00538413016585</v>
      </c>
      <c r="M10" s="244">
        <f>+'Output (2)'!S29</f>
        <v>204.54187035008809</v>
      </c>
      <c r="N10" s="244">
        <f>+'Output (2)'!T29</f>
        <v>210.25890222885269</v>
      </c>
      <c r="O10" s="199"/>
    </row>
    <row r="11" spans="1:21" ht="13.25" customHeight="1" x14ac:dyDescent="0.2">
      <c r="A11" s="261" t="s">
        <v>733</v>
      </c>
      <c r="B11" s="213" t="s">
        <v>663</v>
      </c>
      <c r="C11" s="258"/>
      <c r="D11" s="258"/>
      <c r="E11" s="258"/>
      <c r="J11" s="258">
        <f>J10*Assumptions!P35</f>
        <v>0.91926470527954385</v>
      </c>
      <c r="K11" s="258">
        <f>K10*Assumptions!Q35</f>
        <v>0.88372847766844909</v>
      </c>
      <c r="L11" s="258">
        <f>L10*Assumptions!R35</f>
        <v>1.1038279096362023</v>
      </c>
      <c r="M11" s="258">
        <f>M10*Assumptions!S35</f>
        <v>1.1519021591349681</v>
      </c>
      <c r="N11" s="258">
        <f>N10*Assumptions!T35</f>
        <v>1.184098312195077</v>
      </c>
      <c r="O11" s="199"/>
    </row>
    <row r="12" spans="1:21" ht="13.25" customHeight="1" x14ac:dyDescent="0.2">
      <c r="A12" s="269"/>
      <c r="C12" s="218"/>
      <c r="D12" s="218"/>
      <c r="E12" s="218"/>
      <c r="F12" s="218"/>
      <c r="G12" s="218"/>
      <c r="H12" s="218"/>
      <c r="I12" s="218"/>
      <c r="J12" s="218"/>
      <c r="K12" s="218"/>
      <c r="L12" s="218"/>
      <c r="M12" s="218"/>
      <c r="N12" s="218"/>
      <c r="O12" s="199"/>
    </row>
    <row r="13" spans="1:21" ht="13.25" customHeight="1" x14ac:dyDescent="0.2">
      <c r="A13" s="269"/>
      <c r="B13" s="252" t="s">
        <v>734</v>
      </c>
      <c r="C13" s="291"/>
      <c r="D13" s="291"/>
      <c r="E13" s="291"/>
      <c r="F13" s="291"/>
      <c r="G13" s="291"/>
      <c r="H13" s="291"/>
      <c r="I13" s="291"/>
      <c r="J13" s="291"/>
      <c r="K13" s="291"/>
      <c r="L13" s="291"/>
      <c r="M13" s="291"/>
      <c r="N13" s="290"/>
      <c r="O13" s="199"/>
    </row>
    <row r="14" spans="1:21" ht="13.25" customHeight="1" x14ac:dyDescent="0.2">
      <c r="A14" s="269"/>
      <c r="B14" s="229" t="s">
        <v>735</v>
      </c>
      <c r="C14" s="244"/>
      <c r="D14" s="244"/>
      <c r="E14" s="244"/>
      <c r="F14" s="244"/>
      <c r="G14" s="244"/>
      <c r="H14" s="244"/>
      <c r="I14" s="244"/>
      <c r="J14" s="244">
        <f>+I17</f>
        <v>1579.8869999999999</v>
      </c>
      <c r="K14" s="244">
        <f>+J17</f>
        <v>1742.2004549085996</v>
      </c>
      <c r="L14" s="244">
        <f>+K17</f>
        <v>1898.2393211760298</v>
      </c>
      <c r="M14" s="244">
        <f>+L17</f>
        <v>2093.1408773965595</v>
      </c>
      <c r="N14" s="244">
        <f>+M17</f>
        <v>2296.5308455875129</v>
      </c>
      <c r="O14" s="199"/>
    </row>
    <row r="15" spans="1:21" ht="13.25" customHeight="1" x14ac:dyDescent="0.2">
      <c r="A15" s="286" t="s">
        <v>736</v>
      </c>
      <c r="B15" s="289" t="s">
        <v>737</v>
      </c>
      <c r="C15" s="258"/>
      <c r="D15" s="258"/>
      <c r="E15" s="258"/>
      <c r="F15" s="258"/>
      <c r="G15" s="258"/>
      <c r="H15" s="258"/>
      <c r="I15" s="258"/>
      <c r="J15" s="390">
        <f>+J10</f>
        <v>163.23271961387928</v>
      </c>
      <c r="K15" s="390">
        <f>+K10</f>
        <v>156.92259474509856</v>
      </c>
      <c r="L15" s="390">
        <f>+L10</f>
        <v>196.00538413016585</v>
      </c>
      <c r="M15" s="390">
        <f>+M10</f>
        <v>204.54187035008809</v>
      </c>
      <c r="N15" s="390">
        <f>+N10</f>
        <v>210.25890222885269</v>
      </c>
      <c r="O15" s="199"/>
    </row>
    <row r="16" spans="1:21" ht="13.25" customHeight="1" x14ac:dyDescent="0.2">
      <c r="A16" s="269"/>
      <c r="B16" s="229" t="s">
        <v>738</v>
      </c>
      <c r="C16" s="244"/>
      <c r="D16" s="244"/>
      <c r="E16" s="244"/>
      <c r="F16" s="244"/>
      <c r="G16" s="244"/>
      <c r="H16" s="244"/>
      <c r="I16" s="244"/>
      <c r="J16" s="391">
        <f>-J11</f>
        <v>-0.91926470527954385</v>
      </c>
      <c r="K16" s="391">
        <f>-K11</f>
        <v>-0.88372847766844909</v>
      </c>
      <c r="L16" s="391">
        <f>-L11</f>
        <v>-1.1038279096362023</v>
      </c>
      <c r="M16" s="391">
        <f>-M11</f>
        <v>-1.1519021591349681</v>
      </c>
      <c r="N16" s="391">
        <f>-N11</f>
        <v>-1.184098312195077</v>
      </c>
      <c r="O16" s="199"/>
    </row>
    <row r="17" spans="1:15" ht="13.25" customHeight="1" thickBot="1" x14ac:dyDescent="0.25">
      <c r="A17" s="261" t="s">
        <v>739</v>
      </c>
      <c r="B17" s="219" t="s">
        <v>740</v>
      </c>
      <c r="C17" s="263"/>
      <c r="D17" s="263"/>
      <c r="E17" s="263"/>
      <c r="F17" s="263"/>
      <c r="G17" s="263"/>
      <c r="H17" s="263"/>
      <c r="I17" s="280">
        <f>Restatements!L100</f>
        <v>1579.8869999999999</v>
      </c>
      <c r="J17" s="263">
        <f>+SUM(J14:J16)</f>
        <v>1742.2004549085996</v>
      </c>
      <c r="K17" s="263">
        <f>+SUM(K14:K16)</f>
        <v>1898.2393211760298</v>
      </c>
      <c r="L17" s="263">
        <f>+SUM(L14:L16)</f>
        <v>2093.1408773965595</v>
      </c>
      <c r="M17" s="263">
        <f>+SUM(M14:M16)</f>
        <v>2296.5308455875129</v>
      </c>
      <c r="N17" s="263">
        <f>+SUM(N14:N16)</f>
        <v>2505.6056495041703</v>
      </c>
      <c r="O17" s="199"/>
    </row>
    <row r="18" spans="1:15" ht="13.25" customHeight="1" thickTop="1" thickBot="1" x14ac:dyDescent="0.25">
      <c r="A18" s="269"/>
      <c r="B18" s="229"/>
      <c r="C18" s="244"/>
      <c r="D18" s="244"/>
      <c r="E18" s="244"/>
      <c r="F18" s="244"/>
      <c r="G18" s="244"/>
      <c r="H18" s="244"/>
      <c r="I18" s="244"/>
      <c r="J18" s="244"/>
      <c r="K18" s="244"/>
      <c r="L18" s="244"/>
      <c r="M18" s="244"/>
      <c r="N18" s="244"/>
      <c r="O18" s="199"/>
    </row>
    <row r="19" spans="1:15" ht="13.25" customHeight="1" thickTop="1" thickBot="1" x14ac:dyDescent="0.25">
      <c r="A19" s="261" t="s">
        <v>739</v>
      </c>
      <c r="B19" s="213" t="s">
        <v>605</v>
      </c>
      <c r="C19" s="258"/>
      <c r="D19" s="258"/>
      <c r="E19" s="258"/>
      <c r="F19" s="218"/>
      <c r="G19" s="218"/>
      <c r="H19" s="218"/>
      <c r="I19" s="259">
        <f>Restatements!L103</f>
        <v>-1.8959999999999999</v>
      </c>
      <c r="J19" s="281">
        <f>+I19</f>
        <v>-1.8959999999999999</v>
      </c>
      <c r="K19" s="281">
        <f>+J19</f>
        <v>-1.8959999999999999</v>
      </c>
      <c r="L19" s="281">
        <f>+K19</f>
        <v>-1.8959999999999999</v>
      </c>
      <c r="M19" s="281">
        <f>+L19</f>
        <v>-1.8959999999999999</v>
      </c>
      <c r="N19" s="281">
        <f>+M19</f>
        <v>-1.8959999999999999</v>
      </c>
      <c r="O19" s="199"/>
    </row>
    <row r="20" spans="1:15" ht="13.25" customHeight="1" thickTop="1" thickBot="1" x14ac:dyDescent="0.25">
      <c r="A20" s="261" t="s">
        <v>739</v>
      </c>
      <c r="B20" s="213" t="s">
        <v>741</v>
      </c>
      <c r="C20" s="282"/>
      <c r="D20" s="282"/>
      <c r="E20" s="282"/>
      <c r="F20" s="218"/>
      <c r="G20" s="218"/>
      <c r="H20" s="218"/>
      <c r="I20" s="259">
        <f>Restatements!L99</f>
        <v>221.03099999999995</v>
      </c>
      <c r="J20" s="258">
        <f>+I20+Assumptions!P36</f>
        <v>221.03099999999995</v>
      </c>
      <c r="K20" s="258">
        <f>+J20+Assumptions!Q36</f>
        <v>221.03099999999995</v>
      </c>
      <c r="L20" s="258">
        <f>+K20+Assumptions!R36</f>
        <v>221.03099999999995</v>
      </c>
      <c r="M20" s="258">
        <f>+L20+Assumptions!S36</f>
        <v>221.03099999999995</v>
      </c>
      <c r="N20" s="258">
        <f>+M20+Assumptions!T36</f>
        <v>221.03099999999995</v>
      </c>
      <c r="O20" s="199"/>
    </row>
    <row r="21" spans="1:15" ht="13.25" customHeight="1" thickTop="1" x14ac:dyDescent="0.2">
      <c r="A21" s="269"/>
      <c r="C21" s="241"/>
      <c r="D21" s="241"/>
      <c r="E21" s="241"/>
      <c r="F21" s="241"/>
      <c r="G21" s="241"/>
      <c r="H21" s="241"/>
      <c r="I21" s="241"/>
      <c r="J21" s="241"/>
      <c r="K21" s="241"/>
      <c r="L21" s="241"/>
      <c r="M21" s="241"/>
      <c r="N21" s="241"/>
      <c r="O21" s="199"/>
    </row>
    <row r="22" spans="1:15" ht="13.25" customHeight="1" x14ac:dyDescent="0.2">
      <c r="A22" s="269"/>
      <c r="B22" s="211" t="s">
        <v>742</v>
      </c>
      <c r="C22" s="212"/>
      <c r="D22" s="212"/>
      <c r="E22" s="212"/>
      <c r="F22" s="212"/>
      <c r="G22" s="212"/>
      <c r="H22" s="212"/>
      <c r="I22" s="212"/>
      <c r="J22" s="212"/>
      <c r="K22" s="212"/>
      <c r="L22" s="212"/>
      <c r="M22" s="212"/>
      <c r="N22" s="212"/>
      <c r="O22" s="199"/>
    </row>
    <row r="23" spans="1:15" ht="5" customHeight="1" x14ac:dyDescent="0.2">
      <c r="A23" s="269"/>
      <c r="O23" s="199"/>
    </row>
    <row r="24" spans="1:15" ht="13.25" customHeight="1" thickBot="1" x14ac:dyDescent="0.25">
      <c r="A24" s="261" t="s">
        <v>739</v>
      </c>
      <c r="B24" s="213" t="s">
        <v>640</v>
      </c>
      <c r="C24" s="258"/>
      <c r="D24" s="258"/>
      <c r="E24" s="258"/>
      <c r="J24" s="258">
        <f>+SalesOPEX!P10*Assumptions!P38</f>
        <v>32.784277473212313</v>
      </c>
      <c r="K24" s="258">
        <f>+SalesOPEX!Q10*Assumptions!Q38</f>
        <v>34.423491346872929</v>
      </c>
      <c r="L24" s="258">
        <f>+SalesOPEX!R10*Assumptions!R38</f>
        <v>36.144665914216581</v>
      </c>
      <c r="M24" s="258">
        <f>+SalesOPEX!S10*Assumptions!S38</f>
        <v>37.951899209927412</v>
      </c>
      <c r="N24" s="258">
        <f>+SalesOPEX!T10*Assumptions!T38</f>
        <v>39.849494170423782</v>
      </c>
      <c r="O24" s="199"/>
    </row>
    <row r="25" spans="1:15" ht="13.25" customHeight="1" thickTop="1" thickBot="1" x14ac:dyDescent="0.25">
      <c r="A25" s="261" t="s">
        <v>739</v>
      </c>
      <c r="B25" s="213" t="s">
        <v>743</v>
      </c>
      <c r="C25" s="258"/>
      <c r="D25" s="258"/>
      <c r="E25" s="258"/>
      <c r="I25" s="259">
        <f>Restatements!L94</f>
        <v>966.78099999999995</v>
      </c>
      <c r="J25" s="258">
        <f>+I25+Assumptions!P40+Assumptions!P41</f>
        <v>966.78099999999995</v>
      </c>
      <c r="K25" s="258">
        <f>+J25+Assumptions!Q40+Assumptions!Q41</f>
        <v>966.78099999999995</v>
      </c>
      <c r="L25" s="258">
        <f>+K25+Assumptions!R40+Assumptions!R41</f>
        <v>966.78099999999995</v>
      </c>
      <c r="M25" s="258">
        <f>+L25+Assumptions!S40+Assumptions!S41</f>
        <v>966.78099999999995</v>
      </c>
      <c r="N25" s="258">
        <f>+M25+Assumptions!T40+Assumptions!T41</f>
        <v>966.78099999999995</v>
      </c>
      <c r="O25" s="199"/>
    </row>
    <row r="26" spans="1:15" ht="13.25" customHeight="1" thickTop="1" x14ac:dyDescent="0.2">
      <c r="A26" s="269"/>
      <c r="C26" s="241"/>
      <c r="D26" s="241"/>
      <c r="E26" s="241"/>
      <c r="I26" s="241"/>
      <c r="J26" s="241"/>
      <c r="K26" s="241"/>
      <c r="L26" s="241"/>
      <c r="M26" s="241"/>
      <c r="N26" s="241"/>
      <c r="O26" s="199"/>
    </row>
    <row r="27" spans="1:15" ht="13.25" customHeight="1" thickBot="1" x14ac:dyDescent="0.25">
      <c r="A27" s="261" t="s">
        <v>733</v>
      </c>
      <c r="B27" s="213" t="s">
        <v>599</v>
      </c>
      <c r="C27" s="258"/>
      <c r="D27" s="258"/>
      <c r="E27" s="258"/>
      <c r="J27" s="258">
        <f>-AVERAGE(I28:J28)*Assumptions!P39</f>
        <v>-62.043820045488481</v>
      </c>
      <c r="K27" s="258">
        <f>-AVERAGE(J28:K28)*Assumptions!Q39</f>
        <v>-61.632259282085073</v>
      </c>
      <c r="L27" s="258">
        <f>-AVERAGE(K28:L28)*Assumptions!R39</f>
        <v>-61.735773606877487</v>
      </c>
      <c r="M27" s="258">
        <f>-AVERAGE(L28:M28)*Assumptions!S39</f>
        <v>-61.844463647909535</v>
      </c>
      <c r="N27" s="258">
        <f>-AVERAGE(M28:N28)*Assumptions!T39</f>
        <v>-61.958588190993176</v>
      </c>
      <c r="O27" s="199"/>
    </row>
    <row r="28" spans="1:15" ht="13.25" customHeight="1" thickTop="1" thickBot="1" x14ac:dyDescent="0.25">
      <c r="A28" s="269"/>
      <c r="B28" s="201" t="s">
        <v>642</v>
      </c>
      <c r="C28" s="258"/>
      <c r="D28" s="258"/>
      <c r="E28" s="244"/>
      <c r="I28" s="259">
        <f>Restatements!L95</f>
        <v>1014.5649999999999</v>
      </c>
      <c r="J28" s="244">
        <f>SUM(J24:J25)</f>
        <v>999.56527747321229</v>
      </c>
      <c r="K28" s="244">
        <f t="shared" ref="K28:N28" si="1">SUM(K24:K25)</f>
        <v>1001.2044913468728</v>
      </c>
      <c r="L28" s="244">
        <f t="shared" si="1"/>
        <v>1002.9256659142166</v>
      </c>
      <c r="M28" s="244">
        <f t="shared" si="1"/>
        <v>1004.7328992099274</v>
      </c>
      <c r="N28" s="244">
        <f t="shared" si="1"/>
        <v>1006.6304941704237</v>
      </c>
      <c r="O28" s="199"/>
    </row>
    <row r="29" spans="1:15" ht="13.25" customHeight="1" thickTop="1" x14ac:dyDescent="0.2">
      <c r="A29" s="269"/>
      <c r="C29" s="241"/>
      <c r="D29" s="241"/>
      <c r="E29" s="241"/>
      <c r="F29" s="241"/>
      <c r="G29" s="241"/>
      <c r="H29" s="241"/>
      <c r="I29" s="241"/>
      <c r="J29" s="241"/>
      <c r="K29" s="241"/>
      <c r="L29" s="241"/>
      <c r="M29" s="241"/>
      <c r="N29" s="241"/>
      <c r="O29" s="199"/>
    </row>
    <row r="30" spans="1:15" ht="13.25" customHeight="1" x14ac:dyDescent="0.2">
      <c r="A30" s="269"/>
      <c r="B30" s="211" t="s">
        <v>744</v>
      </c>
      <c r="C30" s="212"/>
      <c r="D30" s="212"/>
      <c r="E30" s="212"/>
      <c r="F30" s="212"/>
      <c r="G30" s="212"/>
      <c r="H30" s="212"/>
      <c r="I30" s="212"/>
      <c r="J30" s="212"/>
      <c r="K30" s="212"/>
      <c r="L30" s="212"/>
      <c r="M30" s="212"/>
      <c r="N30" s="212"/>
      <c r="O30" s="199"/>
    </row>
    <row r="31" spans="1:15" ht="5" customHeight="1" x14ac:dyDescent="0.2">
      <c r="A31" s="269"/>
      <c r="O31" s="199"/>
    </row>
    <row r="32" spans="1:15" ht="13.25" customHeight="1" x14ac:dyDescent="0.2">
      <c r="A32" s="269"/>
      <c r="B32" s="213" t="s">
        <v>745</v>
      </c>
      <c r="C32" s="241"/>
      <c r="D32" s="241"/>
      <c r="E32" s="241"/>
      <c r="F32" s="241"/>
      <c r="G32" s="241"/>
      <c r="H32" s="241"/>
      <c r="I32" s="241"/>
      <c r="J32" s="241"/>
      <c r="K32" s="241"/>
      <c r="L32" s="241"/>
      <c r="M32" s="241"/>
      <c r="N32" s="241"/>
      <c r="O32" s="199"/>
    </row>
    <row r="33" spans="1:15" ht="13.25" customHeight="1" x14ac:dyDescent="0.2">
      <c r="A33" s="269"/>
      <c r="B33" s="288" t="s">
        <v>746</v>
      </c>
      <c r="C33" s="271"/>
      <c r="D33" s="271"/>
      <c r="E33" s="271"/>
      <c r="F33" s="271"/>
      <c r="G33" s="271"/>
      <c r="H33" s="271"/>
      <c r="I33" s="271"/>
      <c r="J33" s="271">
        <f>+I35</f>
        <v>393.26799999999997</v>
      </c>
      <c r="K33" s="271">
        <f>+J35</f>
        <v>577.97092221299386</v>
      </c>
      <c r="L33" s="271">
        <f>+K35</f>
        <v>742.96309331246539</v>
      </c>
      <c r="M33" s="271">
        <f>+L35</f>
        <v>950.5228753003845</v>
      </c>
      <c r="N33" s="271">
        <f>+M35</f>
        <v>1174.1565849381677</v>
      </c>
      <c r="O33" s="199"/>
    </row>
    <row r="34" spans="1:15" ht="13.25" customHeight="1" x14ac:dyDescent="0.2">
      <c r="A34" s="287" t="s">
        <v>731</v>
      </c>
      <c r="B34" s="201" t="s">
        <v>747</v>
      </c>
      <c r="C34" s="218"/>
      <c r="D34" s="218"/>
      <c r="E34" s="218"/>
      <c r="F34" s="218"/>
      <c r="G34" s="218"/>
      <c r="H34" s="218"/>
      <c r="I34" s="218"/>
      <c r="J34" s="388">
        <f>'Output (2)'!P102</f>
        <v>184.70292221299383</v>
      </c>
      <c r="K34" s="388">
        <f>'Output (2)'!Q102</f>
        <v>164.99217109947159</v>
      </c>
      <c r="L34" s="388">
        <f>'Output (2)'!R102</f>
        <v>207.55978198791911</v>
      </c>
      <c r="M34" s="388">
        <f>'Output (2)'!S102</f>
        <v>223.63370963778314</v>
      </c>
      <c r="N34" s="388">
        <f>'Output (2)'!T102</f>
        <v>235.66948847346484</v>
      </c>
      <c r="O34" s="199"/>
    </row>
    <row r="35" spans="1:15" ht="13.25" customHeight="1" thickBot="1" x14ac:dyDescent="0.25">
      <c r="A35" s="286" t="s">
        <v>736</v>
      </c>
      <c r="B35" s="285" t="s">
        <v>748</v>
      </c>
      <c r="C35" s="263"/>
      <c r="D35" s="265"/>
      <c r="E35" s="265"/>
      <c r="F35" s="265"/>
      <c r="G35" s="265"/>
      <c r="H35" s="265"/>
      <c r="I35" s="280">
        <f>Restatements!L96</f>
        <v>393.26799999999997</v>
      </c>
      <c r="J35" s="389">
        <f>SUM(J33:J34)</f>
        <v>577.97092221299386</v>
      </c>
      <c r="K35" s="389">
        <f>SUM(K33:K34)</f>
        <v>742.96309331246539</v>
      </c>
      <c r="L35" s="389">
        <f>SUM(L33:L34)</f>
        <v>950.5228753003845</v>
      </c>
      <c r="M35" s="389">
        <f>SUM(M33:M34)</f>
        <v>1174.1565849381677</v>
      </c>
      <c r="N35" s="389">
        <f>SUM(N33:N34)</f>
        <v>1409.8260734116325</v>
      </c>
      <c r="O35" s="199"/>
    </row>
    <row r="36" spans="1:15" ht="13.25" customHeight="1" thickTop="1" x14ac:dyDescent="0.2">
      <c r="A36" s="269"/>
      <c r="C36" s="241"/>
      <c r="J36" s="241"/>
      <c r="K36" s="241"/>
      <c r="L36" s="241"/>
      <c r="M36" s="241"/>
      <c r="N36" s="241"/>
      <c r="O36" s="199"/>
    </row>
    <row r="37" spans="1:15" ht="13.25" customHeight="1" x14ac:dyDescent="0.2">
      <c r="A37" s="261" t="s">
        <v>733</v>
      </c>
      <c r="B37" s="213" t="s">
        <v>749</v>
      </c>
      <c r="C37" s="258"/>
      <c r="D37" s="258"/>
      <c r="J37" s="244"/>
      <c r="K37" s="258">
        <f>AVERAGE(J35:K35)*(IF(AVERAGE(J35:K35)&gt;0,Assumptions!Q42,Assumptions!Q39))</f>
        <v>9.6914484162721166</v>
      </c>
      <c r="L37" s="258">
        <f>AVERAGE(K35:L35)*(IF(AVERAGE(K35:L35)&gt;0,Assumptions!R42,Assumptions!R39))</f>
        <v>12.424793150597557</v>
      </c>
      <c r="M37" s="258">
        <f>AVERAGE(L35:M35)*(IF(AVERAGE(L35:M35)&gt;0,Assumptions!S42,Assumptions!S39))</f>
        <v>15.588380000816128</v>
      </c>
      <c r="N37" s="258">
        <f>AVERAGE(M35:N35)*(IF(AVERAGE(M35:N35)&gt;0,Assumptions!T42,Assumptions!T39))</f>
        <v>18.958202565460486</v>
      </c>
      <c r="O37" s="199"/>
    </row>
    <row r="38" spans="1:15" ht="13.25" customHeight="1" x14ac:dyDescent="0.2">
      <c r="A38" s="269"/>
      <c r="O38" s="199"/>
    </row>
    <row r="39" spans="1:15" ht="13.25" customHeight="1" x14ac:dyDescent="0.2">
      <c r="A39" s="269"/>
      <c r="O39" s="199"/>
    </row>
    <row r="46" spans="1:15" ht="13.25" customHeight="1" x14ac:dyDescent="0.15">
      <c r="A46" s="221"/>
      <c r="C46" s="253"/>
      <c r="D46" s="253"/>
      <c r="E46" s="253"/>
      <c r="F46" s="253"/>
      <c r="G46" s="253"/>
      <c r="H46" s="253"/>
      <c r="I46" s="253"/>
      <c r="J46" s="253"/>
      <c r="K46" s="253"/>
      <c r="L46" s="253"/>
      <c r="M46" s="253"/>
      <c r="N46" s="253"/>
    </row>
    <row r="47" spans="1:15" ht="13.25" customHeight="1" x14ac:dyDescent="0.2">
      <c r="A47" s="221"/>
      <c r="F47" s="218"/>
      <c r="G47" s="218"/>
      <c r="H47" s="218"/>
      <c r="I47" s="218"/>
      <c r="J47" s="218"/>
      <c r="K47" s="218"/>
      <c r="L47" s="218"/>
      <c r="M47" s="218"/>
      <c r="N47" s="218"/>
      <c r="O47" s="199"/>
    </row>
    <row r="48" spans="1:15" ht="13.25" customHeight="1" x14ac:dyDescent="0.2">
      <c r="A48" s="221"/>
      <c r="F48" s="218"/>
      <c r="G48" s="218"/>
      <c r="H48" s="218"/>
      <c r="I48" s="218"/>
      <c r="J48" s="218"/>
      <c r="K48" s="218"/>
      <c r="L48" s="218"/>
      <c r="M48" s="218"/>
      <c r="N48" s="218"/>
      <c r="O48" s="199"/>
    </row>
    <row r="49" spans="1:15" ht="13.25" customHeight="1" x14ac:dyDescent="0.2">
      <c r="A49" s="221"/>
      <c r="F49" s="218"/>
      <c r="G49" s="218"/>
      <c r="H49" s="218"/>
      <c r="I49" s="218"/>
      <c r="J49" s="218"/>
      <c r="K49" s="218"/>
      <c r="L49" s="218"/>
      <c r="M49" s="218"/>
      <c r="N49" s="218"/>
      <c r="O49" s="199"/>
    </row>
    <row r="50" spans="1:15" ht="13.25" customHeight="1" x14ac:dyDescent="0.2">
      <c r="A50" s="221"/>
      <c r="G50" s="237"/>
      <c r="H50" s="237"/>
      <c r="I50" s="237"/>
      <c r="J50" s="237"/>
      <c r="K50" s="237"/>
      <c r="L50" s="237"/>
      <c r="M50" s="237"/>
      <c r="N50" s="237"/>
      <c r="O50" s="199"/>
    </row>
    <row r="51" spans="1:15" ht="13.25" customHeight="1" x14ac:dyDescent="0.2">
      <c r="A51" s="221"/>
      <c r="O51" s="199"/>
    </row>
    <row r="52" spans="1:15" ht="13.25" customHeight="1" x14ac:dyDescent="0.2">
      <c r="A52" s="221"/>
      <c r="O52" s="199"/>
    </row>
    <row r="53" spans="1:15" ht="13.25" customHeight="1" x14ac:dyDescent="0.2">
      <c r="A53" s="221"/>
      <c r="O53" s="199"/>
    </row>
    <row r="54" spans="1:15" ht="13.25" customHeight="1" x14ac:dyDescent="0.2">
      <c r="A54" s="221"/>
      <c r="O54" s="199"/>
    </row>
    <row r="55" spans="1:15" ht="13.25" customHeight="1" x14ac:dyDescent="0.2">
      <c r="A55" s="221"/>
      <c r="O55" s="199"/>
    </row>
    <row r="56" spans="1:15" ht="13.25" customHeight="1" x14ac:dyDescent="0.2">
      <c r="A56" s="221"/>
      <c r="O56" s="199"/>
    </row>
    <row r="57" spans="1:15" ht="13.25" customHeight="1" x14ac:dyDescent="0.2">
      <c r="A57" s="221"/>
      <c r="O57" s="199"/>
    </row>
    <row r="58" spans="1:15" ht="13.25" customHeight="1" x14ac:dyDescent="0.15">
      <c r="A58" s="221"/>
    </row>
    <row r="59" spans="1:15" ht="13.25" customHeight="1" x14ac:dyDescent="0.15">
      <c r="A59" s="221"/>
    </row>
    <row r="60" spans="1:15" ht="13.25" customHeight="1" x14ac:dyDescent="0.15">
      <c r="A60" s="221"/>
    </row>
    <row r="61" spans="1:15" ht="13.25" customHeight="1" x14ac:dyDescent="0.15">
      <c r="A61" s="221"/>
    </row>
    <row r="66" spans="15:15" ht="13.25" customHeight="1" x14ac:dyDescent="0.2">
      <c r="O66" s="239"/>
    </row>
    <row r="67" spans="15:15" ht="13.25" customHeight="1" x14ac:dyDescent="0.2">
      <c r="O67" s="239"/>
    </row>
    <row r="68" spans="15:15" ht="13.25" customHeight="1" x14ac:dyDescent="0.2">
      <c r="O68" s="239"/>
    </row>
    <row r="69" spans="15:15" ht="13.25" customHeight="1" x14ac:dyDescent="0.2">
      <c r="O69" s="239"/>
    </row>
    <row r="70" spans="15:15" ht="13.25" customHeight="1" x14ac:dyDescent="0.2">
      <c r="O70" s="239"/>
    </row>
    <row r="71" spans="15:15" ht="13.25" customHeight="1" x14ac:dyDescent="0.2">
      <c r="O71" s="239"/>
    </row>
    <row r="72" spans="15:15" ht="13.25" customHeight="1" x14ac:dyDescent="0.2">
      <c r="O72" s="239"/>
    </row>
    <row r="73" spans="15:15" ht="13.25" customHeight="1" x14ac:dyDescent="0.2">
      <c r="O73" s="239"/>
    </row>
    <row r="74" spans="15:15" ht="13.25" customHeight="1" x14ac:dyDescent="0.2">
      <c r="O74" s="239"/>
    </row>
    <row r="75" spans="15:15" ht="13.25" customHeight="1" x14ac:dyDescent="0.2">
      <c r="O75" s="239"/>
    </row>
    <row r="76" spans="15:15" ht="13.25" customHeight="1" x14ac:dyDescent="0.2">
      <c r="O76" s="239"/>
    </row>
    <row r="77" spans="15:15" ht="13.25" customHeight="1" x14ac:dyDescent="0.2">
      <c r="O77" s="239"/>
    </row>
    <row r="78" spans="15:15" ht="13.25" customHeight="1" x14ac:dyDescent="0.2">
      <c r="O78" s="239"/>
    </row>
    <row r="79" spans="15:15" ht="13.25" customHeight="1" x14ac:dyDescent="0.2">
      <c r="O79" s="239"/>
    </row>
    <row r="80" spans="15:15" ht="13.25" customHeight="1" x14ac:dyDescent="0.2">
      <c r="O80" s="239"/>
    </row>
    <row r="81" spans="15:15" ht="13.25" customHeight="1" x14ac:dyDescent="0.2">
      <c r="O81" s="239"/>
    </row>
    <row r="82" spans="15:15" ht="13.25" customHeight="1" x14ac:dyDescent="0.2">
      <c r="O82" s="239"/>
    </row>
    <row r="83" spans="15:15" ht="13.25" customHeight="1" x14ac:dyDescent="0.2">
      <c r="O83" s="239"/>
    </row>
    <row r="84" spans="15:15" ht="13.25" customHeight="1" x14ac:dyDescent="0.2">
      <c r="O84" s="239"/>
    </row>
    <row r="85" spans="15:15" ht="13.25" customHeight="1" x14ac:dyDescent="0.2">
      <c r="O85" s="239"/>
    </row>
    <row r="86" spans="15:15" ht="13.25" customHeight="1" x14ac:dyDescent="0.2">
      <c r="O86" s="239"/>
    </row>
    <row r="87" spans="15:15" ht="13.25" customHeight="1" x14ac:dyDescent="0.2">
      <c r="O87" s="239"/>
    </row>
    <row r="89" spans="15:15" ht="13.25" customHeight="1" x14ac:dyDescent="0.2">
      <c r="O89" s="239"/>
    </row>
    <row r="90" spans="15:15" ht="13.25" customHeight="1" x14ac:dyDescent="0.2">
      <c r="O90" s="239"/>
    </row>
    <row r="91" spans="15:15" ht="13.25" customHeight="1" x14ac:dyDescent="0.2">
      <c r="O91" s="239"/>
    </row>
    <row r="92" spans="15:15" ht="13.25" customHeight="1" x14ac:dyDescent="0.2">
      <c r="O92" s="239"/>
    </row>
    <row r="93" spans="15:15" ht="13.25" customHeight="1" x14ac:dyDescent="0.2">
      <c r="O93" s="239"/>
    </row>
    <row r="94" spans="15:15" ht="13.25" customHeight="1" x14ac:dyDescent="0.2">
      <c r="O94" s="239"/>
    </row>
    <row r="95" spans="15:15" ht="13.25" customHeight="1" x14ac:dyDescent="0.2">
      <c r="O95" s="239"/>
    </row>
    <row r="96" spans="15:15" ht="13.25" customHeight="1" x14ac:dyDescent="0.2">
      <c r="O96" s="239"/>
    </row>
    <row r="97" spans="15:15" ht="13.25" customHeight="1" x14ac:dyDescent="0.2">
      <c r="O97" s="239"/>
    </row>
    <row r="98" spans="15:15" ht="13.25" customHeight="1" x14ac:dyDescent="0.2">
      <c r="O98" s="239"/>
    </row>
    <row r="99" spans="15:15" ht="13.25" customHeight="1" x14ac:dyDescent="0.2">
      <c r="O99" s="239"/>
    </row>
    <row r="100" spans="15:15" ht="13.25" customHeight="1" x14ac:dyDescent="0.2">
      <c r="O100" s="239"/>
    </row>
    <row r="101" spans="15:15" ht="13.25" customHeight="1" x14ac:dyDescent="0.2">
      <c r="O101" s="239"/>
    </row>
    <row r="102" spans="15:15" ht="13.25" customHeight="1" x14ac:dyDescent="0.2">
      <c r="O102" s="239"/>
    </row>
    <row r="103" spans="15:15" ht="13.25" customHeight="1" x14ac:dyDescent="0.2">
      <c r="O103" s="239"/>
    </row>
    <row r="104" spans="15:15" ht="13.25" customHeight="1" x14ac:dyDescent="0.2">
      <c r="O104" s="239"/>
    </row>
    <row r="105" spans="15:15" ht="13.25" customHeight="1" x14ac:dyDescent="0.2">
      <c r="O105" s="239"/>
    </row>
    <row r="106" spans="15:15" ht="13.25" customHeight="1" x14ac:dyDescent="0.2">
      <c r="O106" s="239"/>
    </row>
    <row r="107" spans="15:15" ht="13.25" customHeight="1" x14ac:dyDescent="0.2">
      <c r="O107" s="239"/>
    </row>
    <row r="108" spans="15:15" ht="13.25" customHeight="1" x14ac:dyDescent="0.2">
      <c r="O108" s="239"/>
    </row>
    <row r="109" spans="15:15" ht="13.25" customHeight="1" x14ac:dyDescent="0.2">
      <c r="O109" s="239"/>
    </row>
  </sheetData>
  <conditionalFormatting sqref="A10">
    <cfRule type="iconSet" priority="4">
      <iconSet iconSet="3ArrowsGray">
        <cfvo type="percent" val="0"/>
        <cfvo type="percent" val="33"/>
        <cfvo type="percent" val="67"/>
      </iconSet>
    </cfRule>
  </conditionalFormatting>
  <conditionalFormatting sqref="A11">
    <cfRule type="iconSet" priority="7">
      <iconSet iconSet="3ArrowsGray">
        <cfvo type="percent" val="0"/>
        <cfvo type="percent" val="33"/>
        <cfvo type="percent" val="67"/>
      </iconSet>
    </cfRule>
  </conditionalFormatting>
  <conditionalFormatting sqref="A15">
    <cfRule type="iconSet" priority="3">
      <iconSet iconSet="3ArrowsGray">
        <cfvo type="percent" val="0"/>
        <cfvo type="percent" val="33"/>
        <cfvo type="percent" val="67"/>
      </iconSet>
    </cfRule>
  </conditionalFormatting>
  <conditionalFormatting sqref="A27">
    <cfRule type="iconSet" priority="6">
      <iconSet iconSet="3ArrowsGray">
        <cfvo type="percent" val="0"/>
        <cfvo type="percent" val="33"/>
        <cfvo type="percent" val="67"/>
      </iconSet>
    </cfRule>
  </conditionalFormatting>
  <conditionalFormatting sqref="A34">
    <cfRule type="iconSet" priority="1">
      <iconSet iconSet="3ArrowsGray">
        <cfvo type="percent" val="0"/>
        <cfvo type="percent" val="33"/>
        <cfvo type="percent" val="67"/>
      </iconSet>
    </cfRule>
  </conditionalFormatting>
  <conditionalFormatting sqref="A35">
    <cfRule type="iconSet" priority="2">
      <iconSet iconSet="3ArrowsGray">
        <cfvo type="percent" val="0"/>
        <cfvo type="percent" val="33"/>
        <cfvo type="percent" val="67"/>
      </iconSet>
    </cfRule>
  </conditionalFormatting>
  <conditionalFormatting sqref="A37">
    <cfRule type="iconSet" priority="5">
      <iconSet iconSet="3ArrowsGray">
        <cfvo type="percent" val="0"/>
        <cfvo type="percent" val="33"/>
        <cfvo type="percent" val="67"/>
      </iconSet>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9402F-3A6B-DB4C-A4EF-31ECBC00CF9B}">
  <dimension ref="A1:U106"/>
  <sheetViews>
    <sheetView showGridLines="0" zoomScaleNormal="100" workbookViewId="0">
      <pane ySplit="6" topLeftCell="A7" activePane="bottomLeft" state="frozen"/>
      <selection pane="bottomLeft" activeCell="J19" sqref="J19"/>
    </sheetView>
  </sheetViews>
  <sheetFormatPr baseColWidth="10" defaultColWidth="7.1640625" defaultRowHeight="13.25" customHeight="1" x14ac:dyDescent="0.15"/>
  <cols>
    <col min="1" max="1" width="11.1640625" style="199" customWidth="1"/>
    <col min="2" max="2" width="24.5" style="201" customWidth="1"/>
    <col min="3" max="14" width="7.1640625" style="199"/>
    <col min="15" max="15" width="0.6640625" style="23" customWidth="1"/>
    <col min="16" max="16384" width="7.1640625" style="199"/>
  </cols>
  <sheetData>
    <row r="1" spans="1:21" ht="13.25" customHeight="1" x14ac:dyDescent="0.15">
      <c r="A1" s="221"/>
      <c r="B1" s="198"/>
      <c r="F1" s="200"/>
    </row>
    <row r="2" spans="1:21" ht="20" customHeight="1" x14ac:dyDescent="0.15">
      <c r="A2" s="221"/>
      <c r="B2" s="198" t="s">
        <v>750</v>
      </c>
    </row>
    <row r="3" spans="1:21" ht="13.25" customHeight="1" x14ac:dyDescent="0.15">
      <c r="A3" s="221"/>
      <c r="F3" s="202" t="s">
        <v>586</v>
      </c>
      <c r="G3" s="203"/>
      <c r="H3" s="203"/>
      <c r="I3" s="203"/>
      <c r="J3" s="202" t="s">
        <v>669</v>
      </c>
      <c r="K3" s="204"/>
      <c r="L3" s="204"/>
      <c r="M3" s="204"/>
      <c r="N3" s="204"/>
    </row>
    <row r="4" spans="1:21" ht="5" customHeight="1" x14ac:dyDescent="0.15">
      <c r="A4" s="221"/>
      <c r="F4" s="200"/>
      <c r="J4" s="200"/>
    </row>
    <row r="5" spans="1:21" ht="15" customHeight="1" x14ac:dyDescent="0.15">
      <c r="A5" s="221"/>
      <c r="B5" s="205" t="str">
        <f>[1]AsReported!B5</f>
        <v>(EUR m)</v>
      </c>
      <c r="C5" s="210"/>
      <c r="D5" s="207"/>
      <c r="E5" s="206"/>
      <c r="F5" s="208">
        <f>[1]AsReported!F5</f>
        <v>41639</v>
      </c>
      <c r="G5" s="209">
        <f>[1]AsReported!G5</f>
        <v>42004</v>
      </c>
      <c r="H5" s="209">
        <f>[1]AsReported!H5</f>
        <v>42369</v>
      </c>
      <c r="I5" s="209">
        <f>[1]AsReported!I5</f>
        <v>42735</v>
      </c>
      <c r="J5" s="255">
        <f>[1]AsReported!J5</f>
        <v>43100</v>
      </c>
      <c r="K5" s="254">
        <f>[1]AsReported!K5</f>
        <v>43465</v>
      </c>
      <c r="L5" s="254">
        <f>[1]AsReported!L5</f>
        <v>43830</v>
      </c>
      <c r="M5" s="254">
        <f>[1]AsReported!M5</f>
        <v>44196</v>
      </c>
      <c r="N5" s="254">
        <f>[1]AsReported!N5</f>
        <v>44561</v>
      </c>
      <c r="P5" s="210" t="s">
        <v>671</v>
      </c>
      <c r="Q5" s="210"/>
      <c r="R5" s="210"/>
      <c r="S5" s="210"/>
      <c r="T5" s="210"/>
      <c r="U5" s="210"/>
    </row>
    <row r="6" spans="1:21" ht="5" customHeight="1" x14ac:dyDescent="0.15">
      <c r="A6" s="221"/>
      <c r="F6" s="200"/>
    </row>
    <row r="7" spans="1:21" ht="5" customHeight="1" x14ac:dyDescent="0.15">
      <c r="A7" s="221"/>
    </row>
    <row r="8" spans="1:21" ht="13.25" customHeight="1" x14ac:dyDescent="0.15">
      <c r="A8" s="269"/>
      <c r="B8" s="211" t="s">
        <v>751</v>
      </c>
      <c r="C8" s="212"/>
      <c r="D8" s="212"/>
      <c r="E8" s="212"/>
      <c r="F8" s="212"/>
      <c r="G8" s="212"/>
      <c r="H8" s="212"/>
      <c r="I8" s="212"/>
      <c r="J8" s="212"/>
      <c r="K8" s="212"/>
      <c r="L8" s="212"/>
      <c r="M8" s="212"/>
      <c r="N8" s="212"/>
    </row>
    <row r="9" spans="1:21" ht="5" customHeight="1" thickBot="1" x14ac:dyDescent="0.2">
      <c r="A9" s="269"/>
    </row>
    <row r="10" spans="1:21" ht="13.25" customHeight="1" thickTop="1" thickBot="1" x14ac:dyDescent="0.25">
      <c r="A10" s="261" t="s">
        <v>739</v>
      </c>
      <c r="B10" s="213" t="s">
        <v>752</v>
      </c>
      <c r="C10" s="282"/>
      <c r="D10" s="282"/>
      <c r="E10" s="282"/>
      <c r="F10" s="244"/>
      <c r="G10" s="244"/>
      <c r="H10" s="244"/>
      <c r="I10" s="295">
        <f>Restatements!L86</f>
        <v>3.589</v>
      </c>
      <c r="J10" s="294">
        <f t="shared" ref="J10:N11" si="0">+I10</f>
        <v>3.589</v>
      </c>
      <c r="K10" s="294">
        <f t="shared" si="0"/>
        <v>3.589</v>
      </c>
      <c r="L10" s="294">
        <f t="shared" si="0"/>
        <v>3.589</v>
      </c>
      <c r="M10" s="294">
        <f t="shared" si="0"/>
        <v>3.589</v>
      </c>
      <c r="N10" s="294">
        <f t="shared" si="0"/>
        <v>3.589</v>
      </c>
      <c r="O10" s="199"/>
    </row>
    <row r="11" spans="1:21" ht="13.25" customHeight="1" thickTop="1" thickBot="1" x14ac:dyDescent="0.25">
      <c r="A11" s="261" t="s">
        <v>739</v>
      </c>
      <c r="B11" s="213" t="s">
        <v>753</v>
      </c>
      <c r="C11" s="282"/>
      <c r="D11" s="282"/>
      <c r="E11" s="282"/>
      <c r="F11" s="244"/>
      <c r="G11" s="244"/>
      <c r="H11" s="244"/>
      <c r="I11" s="259">
        <f>Restatements!L88</f>
        <v>2.7010000000000001</v>
      </c>
      <c r="J11" s="281">
        <f t="shared" si="0"/>
        <v>2.7010000000000001</v>
      </c>
      <c r="K11" s="281">
        <f t="shared" si="0"/>
        <v>2.7010000000000001</v>
      </c>
      <c r="L11" s="281">
        <f t="shared" si="0"/>
        <v>2.7010000000000001</v>
      </c>
      <c r="M11" s="281">
        <f t="shared" si="0"/>
        <v>2.7010000000000001</v>
      </c>
      <c r="N11" s="281">
        <f t="shared" si="0"/>
        <v>2.7010000000000001</v>
      </c>
      <c r="O11" s="199"/>
    </row>
    <row r="12" spans="1:21" ht="13.25" customHeight="1" thickTop="1" thickBot="1" x14ac:dyDescent="0.25">
      <c r="A12" s="269"/>
      <c r="C12" s="218"/>
      <c r="D12" s="218"/>
      <c r="E12" s="218"/>
      <c r="F12" s="244"/>
      <c r="G12" s="244"/>
      <c r="H12" s="244"/>
      <c r="I12" s="244"/>
      <c r="J12" s="218"/>
      <c r="K12" s="218"/>
      <c r="L12" s="218"/>
      <c r="M12" s="218"/>
      <c r="N12" s="218"/>
      <c r="O12" s="199"/>
    </row>
    <row r="13" spans="1:21" ht="13.25" customHeight="1" thickTop="1" thickBot="1" x14ac:dyDescent="0.25">
      <c r="A13" s="261" t="s">
        <v>733</v>
      </c>
      <c r="B13" s="213" t="s">
        <v>619</v>
      </c>
      <c r="C13" s="282"/>
      <c r="D13" s="282"/>
      <c r="E13" s="282"/>
      <c r="F13" s="244"/>
      <c r="G13" s="244"/>
      <c r="H13" s="244"/>
      <c r="I13" s="244"/>
      <c r="J13" s="293">
        <v>0</v>
      </c>
      <c r="K13" s="293">
        <f t="shared" ref="K13:N14" si="1">+J13</f>
        <v>0</v>
      </c>
      <c r="L13" s="293">
        <f t="shared" si="1"/>
        <v>0</v>
      </c>
      <c r="M13" s="293">
        <f t="shared" si="1"/>
        <v>0</v>
      </c>
      <c r="N13" s="293">
        <f t="shared" si="1"/>
        <v>0</v>
      </c>
      <c r="O13" s="199"/>
    </row>
    <row r="14" spans="1:21" ht="13.25" customHeight="1" thickTop="1" thickBot="1" x14ac:dyDescent="0.25">
      <c r="A14" s="261" t="s">
        <v>733</v>
      </c>
      <c r="B14" s="213" t="s">
        <v>754</v>
      </c>
      <c r="C14" s="282"/>
      <c r="D14" s="282"/>
      <c r="E14" s="282"/>
      <c r="F14" s="244"/>
      <c r="G14" s="244"/>
      <c r="H14" s="244"/>
      <c r="I14" s="244"/>
      <c r="J14" s="293">
        <v>0</v>
      </c>
      <c r="K14" s="293">
        <f t="shared" si="1"/>
        <v>0</v>
      </c>
      <c r="L14" s="293">
        <f t="shared" si="1"/>
        <v>0</v>
      </c>
      <c r="M14" s="293">
        <f t="shared" si="1"/>
        <v>0</v>
      </c>
      <c r="N14" s="293">
        <f t="shared" si="1"/>
        <v>0</v>
      </c>
      <c r="O14" s="199"/>
    </row>
    <row r="15" spans="1:21" ht="13.25" customHeight="1" thickTop="1" x14ac:dyDescent="0.2">
      <c r="A15" s="269"/>
      <c r="C15" s="241"/>
      <c r="D15" s="241"/>
      <c r="E15" s="241"/>
      <c r="F15" s="241"/>
      <c r="G15" s="241"/>
      <c r="H15" s="241"/>
      <c r="I15" s="241"/>
      <c r="J15" s="241"/>
      <c r="K15" s="241"/>
      <c r="L15" s="241"/>
      <c r="M15" s="241"/>
      <c r="N15" s="241"/>
      <c r="O15" s="199"/>
    </row>
    <row r="16" spans="1:21" ht="13.25" customHeight="1" x14ac:dyDescent="0.2">
      <c r="A16" s="269"/>
      <c r="B16" s="211" t="s">
        <v>755</v>
      </c>
      <c r="C16" s="212"/>
      <c r="D16" s="212"/>
      <c r="E16" s="212"/>
      <c r="F16" s="212"/>
      <c r="G16" s="212"/>
      <c r="H16" s="212"/>
      <c r="I16" s="212"/>
      <c r="J16" s="212"/>
      <c r="K16" s="212"/>
      <c r="L16" s="212"/>
      <c r="M16" s="212"/>
      <c r="N16" s="212"/>
      <c r="O16" s="199"/>
    </row>
    <row r="17" spans="1:15" ht="5" customHeight="1" x14ac:dyDescent="0.2">
      <c r="A17" s="269"/>
      <c r="O17" s="199"/>
    </row>
    <row r="18" spans="1:15" ht="13.25" customHeight="1" x14ac:dyDescent="0.2">
      <c r="A18" s="287" t="s">
        <v>731</v>
      </c>
      <c r="B18" s="201" t="s">
        <v>756</v>
      </c>
      <c r="C18" s="276"/>
      <c r="D18" s="276"/>
      <c r="E18" s="276"/>
      <c r="J18" s="276">
        <f>+'Output (2)'!P26</f>
        <v>229.76659430742487</v>
      </c>
      <c r="K18" s="276">
        <f>+'Output (2)'!Q26</f>
        <v>220.98591338016627</v>
      </c>
      <c r="L18" s="276">
        <f>+'Output (2)'!R26</f>
        <v>275.20718551988085</v>
      </c>
      <c r="M18" s="276">
        <f>+'Output (2)'!S26</f>
        <v>287.03860795736</v>
      </c>
      <c r="N18" s="276">
        <f>+'Output (2)'!T26</f>
        <v>294.98495972772736</v>
      </c>
      <c r="O18" s="199"/>
    </row>
    <row r="19" spans="1:15" ht="13.25" customHeight="1" x14ac:dyDescent="0.2">
      <c r="A19" s="287" t="s">
        <v>731</v>
      </c>
      <c r="B19" s="201" t="s">
        <v>442</v>
      </c>
      <c r="C19" s="276"/>
      <c r="D19" s="276"/>
      <c r="E19" s="276"/>
      <c r="J19" s="276">
        <f>+'Output (2)'!P20</f>
        <v>292.04851435291334</v>
      </c>
      <c r="K19" s="276">
        <f>+'Output (2)'!Q20</f>
        <v>282.73588266225136</v>
      </c>
      <c r="L19" s="276">
        <f>+'Output (2)'!R20</f>
        <v>337.23274012675836</v>
      </c>
      <c r="M19" s="276">
        <f>+'Output (2)'!S20</f>
        <v>348.90953070526956</v>
      </c>
      <c r="N19" s="276">
        <f>+'Output (2)'!T20</f>
        <v>357.17095292872051</v>
      </c>
      <c r="O19" s="199"/>
    </row>
    <row r="20" spans="1:15" ht="5" customHeight="1" x14ac:dyDescent="0.2">
      <c r="A20" s="261"/>
      <c r="C20" s="276"/>
      <c r="D20" s="276"/>
      <c r="E20" s="276"/>
      <c r="J20" s="276"/>
      <c r="K20" s="276"/>
      <c r="L20" s="276"/>
      <c r="M20" s="276"/>
      <c r="N20" s="276"/>
      <c r="O20" s="199"/>
    </row>
    <row r="21" spans="1:15" ht="13.25" customHeight="1" x14ac:dyDescent="0.2">
      <c r="A21" s="261"/>
      <c r="B21" s="229" t="s">
        <v>757</v>
      </c>
      <c r="C21" s="258"/>
      <c r="D21" s="258"/>
      <c r="E21" s="258"/>
      <c r="J21" s="244">
        <f>-J18*Assumptions!P47</f>
        <v>-55.143982633781967</v>
      </c>
      <c r="K21" s="244">
        <f>-K18*Assumptions!Q47</f>
        <v>-53.036619211239902</v>
      </c>
      <c r="L21" s="244">
        <f>-L18*Assumptions!R47</f>
        <v>-66.049724524771406</v>
      </c>
      <c r="M21" s="244">
        <f>-M18*Assumptions!S47</f>
        <v>-68.889265909766394</v>
      </c>
      <c r="N21" s="244">
        <f>-N18*Assumptions!T47</f>
        <v>-70.796390334654561</v>
      </c>
      <c r="O21" s="199"/>
    </row>
    <row r="22" spans="1:15" ht="13.25" customHeight="1" x14ac:dyDescent="0.2">
      <c r="A22" s="261"/>
      <c r="B22" s="229" t="s">
        <v>758</v>
      </c>
      <c r="C22" s="258"/>
      <c r="D22" s="258"/>
      <c r="E22" s="258"/>
      <c r="J22" s="244">
        <f>-J19*Assumptions!P48</f>
        <v>-11.38989205976362</v>
      </c>
      <c r="K22" s="244">
        <f>-K19*Assumptions!Q48</f>
        <v>-11.026699423827802</v>
      </c>
      <c r="L22" s="244">
        <f>-L19*Assumptions!R48</f>
        <v>-13.152076864943576</v>
      </c>
      <c r="M22" s="244">
        <f>-M19*Assumptions!S48</f>
        <v>-13.607471697505513</v>
      </c>
      <c r="N22" s="244">
        <f>-N19*Assumptions!T48</f>
        <v>-13.929667164220099</v>
      </c>
      <c r="O22" s="199"/>
    </row>
    <row r="23" spans="1:15" ht="13.25" customHeight="1" x14ac:dyDescent="0.15">
      <c r="A23" s="261" t="s">
        <v>733</v>
      </c>
      <c r="B23" s="292" t="s">
        <v>759</v>
      </c>
      <c r="C23" s="263"/>
      <c r="D23" s="263"/>
      <c r="E23" s="263"/>
      <c r="F23" s="265"/>
      <c r="G23" s="265"/>
      <c r="H23" s="265"/>
      <c r="I23" s="265"/>
      <c r="J23" s="263">
        <f>SUM(J21:J22)</f>
        <v>-66.533874693545584</v>
      </c>
      <c r="K23" s="263">
        <f>SUM(K21:K22)</f>
        <v>-64.063318635067702</v>
      </c>
      <c r="L23" s="263">
        <f>SUM(L21:L22)</f>
        <v>-79.201801389714987</v>
      </c>
      <c r="M23" s="263">
        <f>SUM(M21:M22)</f>
        <v>-82.496737607271911</v>
      </c>
      <c r="N23" s="263">
        <f>SUM(N21:N22)</f>
        <v>-84.726057498874667</v>
      </c>
    </row>
    <row r="24" spans="1:15" ht="13.25" customHeight="1" x14ac:dyDescent="0.15">
      <c r="A24" s="221"/>
    </row>
    <row r="25" spans="1:15" ht="13.25" customHeight="1" x14ac:dyDescent="0.15">
      <c r="A25" s="221"/>
      <c r="C25" s="241"/>
      <c r="D25" s="241"/>
      <c r="E25" s="241"/>
      <c r="J25" s="241"/>
      <c r="K25" s="241"/>
      <c r="L25" s="241"/>
      <c r="M25" s="241"/>
      <c r="N25" s="241"/>
    </row>
    <row r="26" spans="1:15" ht="13.25" customHeight="1" x14ac:dyDescent="0.15">
      <c r="A26" s="221"/>
    </row>
    <row r="27" spans="1:15" ht="13.25" customHeight="1" x14ac:dyDescent="0.15">
      <c r="A27" s="221"/>
    </row>
    <row r="28" spans="1:15" ht="13.25" customHeight="1" x14ac:dyDescent="0.15">
      <c r="A28" s="221"/>
    </row>
    <row r="29" spans="1:15" ht="13.25" customHeight="1" x14ac:dyDescent="0.15">
      <c r="A29" s="221"/>
    </row>
    <row r="30" spans="1:15" ht="13.25" customHeight="1" x14ac:dyDescent="0.15">
      <c r="A30" s="221"/>
    </row>
    <row r="31" spans="1:15" ht="13.25" customHeight="1" x14ac:dyDescent="0.15">
      <c r="A31" s="221"/>
    </row>
    <row r="32" spans="1:15" ht="13.25" customHeight="1" x14ac:dyDescent="0.15">
      <c r="A32" s="221"/>
    </row>
    <row r="33" spans="1:9" ht="13.25" customHeight="1" x14ac:dyDescent="0.15">
      <c r="A33" s="221"/>
      <c r="H33" s="275"/>
      <c r="I33" s="275"/>
    </row>
    <row r="34" spans="1:9" ht="13.25" customHeight="1" x14ac:dyDescent="0.15">
      <c r="A34" s="221"/>
    </row>
    <row r="35" spans="1:9" ht="13.25" customHeight="1" x14ac:dyDescent="0.15">
      <c r="A35" s="221"/>
      <c r="H35" s="215"/>
      <c r="I35" s="215"/>
    </row>
    <row r="36" spans="1:9" ht="13.25" customHeight="1" x14ac:dyDescent="0.15">
      <c r="A36" s="221"/>
    </row>
    <row r="37" spans="1:9" ht="13.25" customHeight="1" x14ac:dyDescent="0.15">
      <c r="A37" s="221"/>
    </row>
    <row r="38" spans="1:9" ht="13.25" customHeight="1" x14ac:dyDescent="0.15">
      <c r="A38" s="221"/>
    </row>
    <row r="39" spans="1:9" ht="13.25" customHeight="1" x14ac:dyDescent="0.15">
      <c r="A39" s="221"/>
    </row>
    <row r="40" spans="1:9" ht="13.25" customHeight="1" x14ac:dyDescent="0.15">
      <c r="A40" s="221"/>
    </row>
    <row r="41" spans="1:9" ht="13.25" customHeight="1" x14ac:dyDescent="0.15">
      <c r="A41" s="221"/>
    </row>
    <row r="42" spans="1:9" ht="13.25" customHeight="1" x14ac:dyDescent="0.15">
      <c r="A42" s="221"/>
    </row>
    <row r="43" spans="1:9" ht="13.25" customHeight="1" x14ac:dyDescent="0.15">
      <c r="A43" s="221"/>
    </row>
    <row r="44" spans="1:9" ht="13.25" customHeight="1" x14ac:dyDescent="0.15">
      <c r="A44" s="221"/>
    </row>
    <row r="45" spans="1:9" ht="13.25" customHeight="1" x14ac:dyDescent="0.15">
      <c r="A45" s="221"/>
    </row>
    <row r="46" spans="1:9" ht="13.25" customHeight="1" x14ac:dyDescent="0.15">
      <c r="A46" s="221"/>
    </row>
    <row r="47" spans="1:9" ht="13.25" customHeight="1" x14ac:dyDescent="0.15">
      <c r="A47" s="221"/>
    </row>
    <row r="48" spans="1:9" ht="13.25" customHeight="1" x14ac:dyDescent="0.15">
      <c r="A48" s="221"/>
    </row>
    <row r="49" spans="1:15" ht="13.25" customHeight="1" x14ac:dyDescent="0.15">
      <c r="A49" s="221"/>
    </row>
    <row r="50" spans="1:15" ht="13.25" customHeight="1" x14ac:dyDescent="0.15">
      <c r="A50" s="221"/>
    </row>
    <row r="51" spans="1:15" ht="13.25" customHeight="1" x14ac:dyDescent="0.15">
      <c r="A51" s="221"/>
    </row>
    <row r="52" spans="1:15" ht="13.25" customHeight="1" x14ac:dyDescent="0.15">
      <c r="A52" s="221"/>
    </row>
    <row r="53" spans="1:15" ht="13.25" customHeight="1" x14ac:dyDescent="0.15">
      <c r="A53" s="221"/>
    </row>
    <row r="54" spans="1:15" ht="13.25" customHeight="1" x14ac:dyDescent="0.15">
      <c r="A54" s="221"/>
    </row>
    <row r="63" spans="1:15" ht="13.25" customHeight="1" x14ac:dyDescent="0.2">
      <c r="O63" s="239"/>
    </row>
    <row r="64" spans="1:15" ht="13.25" customHeight="1" x14ac:dyDescent="0.2">
      <c r="O64" s="239"/>
    </row>
    <row r="65" spans="15:15" ht="13.25" customHeight="1" x14ac:dyDescent="0.2">
      <c r="O65" s="239"/>
    </row>
    <row r="66" spans="15:15" ht="13.25" customHeight="1" x14ac:dyDescent="0.2">
      <c r="O66" s="239"/>
    </row>
    <row r="67" spans="15:15" ht="13.25" customHeight="1" x14ac:dyDescent="0.2">
      <c r="O67" s="239"/>
    </row>
    <row r="68" spans="15:15" ht="13.25" customHeight="1" x14ac:dyDescent="0.2">
      <c r="O68" s="239"/>
    </row>
    <row r="69" spans="15:15" ht="13.25" customHeight="1" x14ac:dyDescent="0.2">
      <c r="O69" s="239"/>
    </row>
    <row r="70" spans="15:15" ht="13.25" customHeight="1" x14ac:dyDescent="0.2">
      <c r="O70" s="239"/>
    </row>
    <row r="71" spans="15:15" ht="13.25" customHeight="1" x14ac:dyDescent="0.2">
      <c r="O71" s="239"/>
    </row>
    <row r="72" spans="15:15" ht="13.25" customHeight="1" x14ac:dyDescent="0.2">
      <c r="O72" s="239"/>
    </row>
    <row r="73" spans="15:15" ht="13.25" customHeight="1" x14ac:dyDescent="0.2">
      <c r="O73" s="239"/>
    </row>
    <row r="74" spans="15:15" ht="13.25" customHeight="1" x14ac:dyDescent="0.2">
      <c r="O74" s="239"/>
    </row>
    <row r="75" spans="15:15" ht="13.25" customHeight="1" x14ac:dyDescent="0.2">
      <c r="O75" s="239"/>
    </row>
    <row r="76" spans="15:15" ht="13.25" customHeight="1" x14ac:dyDescent="0.2">
      <c r="O76" s="239"/>
    </row>
    <row r="77" spans="15:15" ht="13.25" customHeight="1" x14ac:dyDescent="0.2">
      <c r="O77" s="239"/>
    </row>
    <row r="78" spans="15:15" ht="13.25" customHeight="1" x14ac:dyDescent="0.2">
      <c r="O78" s="239"/>
    </row>
    <row r="79" spans="15:15" ht="13.25" customHeight="1" x14ac:dyDescent="0.2">
      <c r="O79" s="239"/>
    </row>
    <row r="80" spans="15:15" ht="13.25" customHeight="1" x14ac:dyDescent="0.2">
      <c r="O80" s="239"/>
    </row>
    <row r="81" spans="15:15" ht="13.25" customHeight="1" x14ac:dyDescent="0.2">
      <c r="O81" s="239"/>
    </row>
    <row r="82" spans="15:15" ht="13.25" customHeight="1" x14ac:dyDescent="0.2">
      <c r="O82" s="239"/>
    </row>
    <row r="83" spans="15:15" ht="13.25" customHeight="1" x14ac:dyDescent="0.2">
      <c r="O83" s="239"/>
    </row>
    <row r="84" spans="15:15" ht="13.25" customHeight="1" x14ac:dyDescent="0.2">
      <c r="O84" s="239"/>
    </row>
    <row r="86" spans="15:15" ht="13.25" customHeight="1" x14ac:dyDescent="0.2">
      <c r="O86" s="239"/>
    </row>
    <row r="87" spans="15:15" ht="13.25" customHeight="1" x14ac:dyDescent="0.2">
      <c r="O87" s="239"/>
    </row>
    <row r="88" spans="15:15" ht="13.25" customHeight="1" x14ac:dyDescent="0.2">
      <c r="O88" s="239"/>
    </row>
    <row r="89" spans="15:15" ht="13.25" customHeight="1" x14ac:dyDescent="0.2">
      <c r="O89" s="239"/>
    </row>
    <row r="90" spans="15:15" ht="13.25" customHeight="1" x14ac:dyDescent="0.2">
      <c r="O90" s="239"/>
    </row>
    <row r="91" spans="15:15" ht="13.25" customHeight="1" x14ac:dyDescent="0.2">
      <c r="O91" s="239"/>
    </row>
    <row r="92" spans="15:15" ht="13.25" customHeight="1" x14ac:dyDescent="0.2">
      <c r="O92" s="239"/>
    </row>
    <row r="93" spans="15:15" ht="13.25" customHeight="1" x14ac:dyDescent="0.2">
      <c r="O93" s="239"/>
    </row>
    <row r="94" spans="15:15" ht="13.25" customHeight="1" x14ac:dyDescent="0.2">
      <c r="O94" s="239"/>
    </row>
    <row r="95" spans="15:15" ht="13.25" customHeight="1" x14ac:dyDescent="0.2">
      <c r="O95" s="239"/>
    </row>
    <row r="96" spans="15:15" ht="13.25" customHeight="1" x14ac:dyDescent="0.2">
      <c r="O96" s="239"/>
    </row>
    <row r="97" spans="15:15" ht="13.25" customHeight="1" x14ac:dyDescent="0.2">
      <c r="O97" s="239"/>
    </row>
    <row r="98" spans="15:15" ht="13.25" customHeight="1" x14ac:dyDescent="0.2">
      <c r="O98" s="239"/>
    </row>
    <row r="99" spans="15:15" ht="13.25" customHeight="1" x14ac:dyDescent="0.2">
      <c r="O99" s="239"/>
    </row>
    <row r="100" spans="15:15" ht="13.25" customHeight="1" x14ac:dyDescent="0.2">
      <c r="O100" s="239"/>
    </row>
    <row r="101" spans="15:15" ht="13.25" customHeight="1" x14ac:dyDescent="0.2">
      <c r="O101" s="239"/>
    </row>
    <row r="102" spans="15:15" ht="13.25" customHeight="1" x14ac:dyDescent="0.2">
      <c r="O102" s="239"/>
    </row>
    <row r="103" spans="15:15" ht="13.25" customHeight="1" x14ac:dyDescent="0.2">
      <c r="O103" s="239"/>
    </row>
    <row r="104" spans="15:15" ht="13.25" customHeight="1" x14ac:dyDescent="0.2">
      <c r="O104" s="239"/>
    </row>
    <row r="105" spans="15:15" ht="13.25" customHeight="1" x14ac:dyDescent="0.2">
      <c r="O105" s="239"/>
    </row>
    <row r="106" spans="15:15" ht="13.25" customHeight="1" x14ac:dyDescent="0.2">
      <c r="O106" s="239"/>
    </row>
  </sheetData>
  <conditionalFormatting sqref="A13">
    <cfRule type="iconSet" priority="5">
      <iconSet iconSet="3ArrowsGray">
        <cfvo type="percent" val="0"/>
        <cfvo type="percent" val="33"/>
        <cfvo type="percent" val="67"/>
      </iconSet>
    </cfRule>
  </conditionalFormatting>
  <conditionalFormatting sqref="A14">
    <cfRule type="iconSet" priority="4">
      <iconSet iconSet="3ArrowsGray">
        <cfvo type="percent" val="0"/>
        <cfvo type="percent" val="33"/>
        <cfvo type="percent" val="67"/>
      </iconSet>
    </cfRule>
  </conditionalFormatting>
  <conditionalFormatting sqref="A18:A20">
    <cfRule type="iconSet" priority="2">
      <iconSet iconSet="3ArrowsGray">
        <cfvo type="percent" val="0"/>
        <cfvo type="percent" val="33"/>
        <cfvo type="percent" val="67"/>
      </iconSet>
    </cfRule>
  </conditionalFormatting>
  <conditionalFormatting sqref="A21:A23">
    <cfRule type="iconSet" priority="3">
      <iconSet iconSet="3ArrowsGray">
        <cfvo type="percent" val="0"/>
        <cfvo type="percent" val="33"/>
        <cfvo type="percent" val="67"/>
      </iconSet>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A576D-2F54-7B4B-A7B7-9B9707711E30}">
  <sheetPr>
    <tabColor rgb="FF3333CC"/>
  </sheetPr>
  <dimension ref="A1:P34"/>
  <sheetViews>
    <sheetView showGridLines="0" zoomScaleNormal="100" workbookViewId="0">
      <selection activeCell="B36" sqref="B36"/>
    </sheetView>
  </sheetViews>
  <sheetFormatPr baseColWidth="10" defaultColWidth="0" defaultRowHeight="11.25" customHeight="1" zeroHeight="1" x14ac:dyDescent="0.15"/>
  <cols>
    <col min="1" max="14" width="6.1640625" style="23" customWidth="1"/>
    <col min="15" max="16" width="6.1640625" style="23" hidden="1" customWidth="1"/>
    <col min="17" max="16384" width="6.1640625" style="23" hidden="1"/>
  </cols>
  <sheetData>
    <row r="1" spans="1:16" ht="11" x14ac:dyDescent="0.15">
      <c r="A1" s="22"/>
      <c r="B1" s="22"/>
      <c r="C1" s="22"/>
      <c r="D1" s="22"/>
      <c r="E1" s="22"/>
      <c r="F1" s="22"/>
      <c r="G1" s="22"/>
      <c r="H1" s="22"/>
      <c r="I1" s="22"/>
      <c r="J1" s="22"/>
      <c r="K1" s="22"/>
      <c r="L1" s="22"/>
      <c r="M1" s="22"/>
      <c r="N1" s="22"/>
      <c r="O1" s="22"/>
      <c r="P1" s="22"/>
    </row>
    <row r="2" spans="1:16" ht="11" x14ac:dyDescent="0.15">
      <c r="A2" s="22"/>
      <c r="B2" s="22"/>
      <c r="C2" s="22"/>
      <c r="D2" s="22"/>
      <c r="E2" s="22"/>
      <c r="F2" s="22"/>
      <c r="G2" s="22"/>
      <c r="H2" s="22"/>
      <c r="I2" s="22"/>
      <c r="J2" s="22"/>
      <c r="K2" s="22"/>
      <c r="L2" s="22"/>
      <c r="M2" s="22"/>
      <c r="N2" s="22"/>
      <c r="O2" s="22"/>
      <c r="P2" s="22"/>
    </row>
    <row r="3" spans="1:16" ht="11" x14ac:dyDescent="0.15">
      <c r="A3" s="22"/>
      <c r="B3" s="22"/>
      <c r="C3" s="22"/>
      <c r="D3" s="22"/>
      <c r="E3" s="22"/>
      <c r="F3" s="22"/>
      <c r="G3" s="22"/>
      <c r="H3" s="22"/>
      <c r="I3" s="22"/>
      <c r="J3" s="22"/>
      <c r="K3" s="22"/>
      <c r="L3" s="22"/>
      <c r="M3" s="22"/>
      <c r="N3" s="22"/>
      <c r="O3" s="22"/>
      <c r="P3" s="22"/>
    </row>
    <row r="4" spans="1:16" ht="11" x14ac:dyDescent="0.15">
      <c r="A4" s="22"/>
      <c r="B4" s="22"/>
      <c r="C4" s="22"/>
      <c r="D4" s="22"/>
      <c r="E4" s="22"/>
      <c r="F4" s="22"/>
      <c r="G4" s="22"/>
      <c r="H4" s="22"/>
      <c r="I4" s="22"/>
      <c r="J4" s="22"/>
      <c r="K4" s="22"/>
      <c r="L4" s="22"/>
      <c r="M4" s="22"/>
      <c r="N4" s="22"/>
      <c r="O4" s="22"/>
      <c r="P4" s="22"/>
    </row>
    <row r="5" spans="1:16" ht="11" x14ac:dyDescent="0.15">
      <c r="A5" s="22"/>
      <c r="B5" s="22"/>
      <c r="C5" s="22"/>
      <c r="D5" s="22"/>
      <c r="E5" s="22"/>
      <c r="F5" s="22"/>
      <c r="G5" s="22"/>
      <c r="H5" s="22"/>
      <c r="I5" s="22"/>
      <c r="J5" s="22"/>
      <c r="K5" s="22"/>
      <c r="L5" s="22"/>
      <c r="M5" s="22"/>
      <c r="N5" s="22"/>
      <c r="O5" s="22"/>
      <c r="P5" s="22"/>
    </row>
    <row r="6" spans="1:16" ht="11" x14ac:dyDescent="0.15"/>
    <row r="7" spans="1:16" ht="11" x14ac:dyDescent="0.15"/>
    <row r="8" spans="1:16" ht="11" x14ac:dyDescent="0.15"/>
    <row r="9" spans="1:16" ht="11" x14ac:dyDescent="0.15"/>
    <row r="10" spans="1:16" ht="11" x14ac:dyDescent="0.15"/>
    <row r="11" spans="1:16" ht="11" x14ac:dyDescent="0.15"/>
    <row r="12" spans="1:16" ht="23" x14ac:dyDescent="0.25">
      <c r="C12" s="297" t="s">
        <v>905</v>
      </c>
      <c r="D12" s="296"/>
      <c r="E12" s="297"/>
    </row>
    <row r="13" spans="1:16" ht="23" x14ac:dyDescent="0.25">
      <c r="C13" s="297" t="s">
        <v>2</v>
      </c>
      <c r="D13" s="296"/>
      <c r="E13" s="296"/>
    </row>
    <row r="14" spans="1:16" ht="11" x14ac:dyDescent="0.15"/>
    <row r="15" spans="1:16" ht="11" x14ac:dyDescent="0.15"/>
    <row r="16" spans="1:16" ht="11" x14ac:dyDescent="0.15"/>
    <row r="17" spans="3:3" ht="28" x14ac:dyDescent="0.3">
      <c r="C17" s="33" t="s">
        <v>760</v>
      </c>
    </row>
    <row r="18" spans="3:3" ht="28" x14ac:dyDescent="0.3">
      <c r="C18" s="33"/>
    </row>
    <row r="19" spans="3:3" ht="11" x14ac:dyDescent="0.15"/>
    <row r="20" spans="3:3" ht="11" x14ac:dyDescent="0.15"/>
    <row r="21" spans="3:3" ht="11" x14ac:dyDescent="0.15"/>
    <row r="22" spans="3:3" ht="11" x14ac:dyDescent="0.15"/>
    <row r="23" spans="3:3" ht="11" x14ac:dyDescent="0.15"/>
    <row r="24" spans="3:3" ht="11" x14ac:dyDescent="0.15"/>
    <row r="25" spans="3:3" ht="11" x14ac:dyDescent="0.15"/>
    <row r="26" spans="3:3" ht="11" x14ac:dyDescent="0.15"/>
    <row r="27" spans="3:3" ht="11" x14ac:dyDescent="0.15"/>
    <row r="28" spans="3:3" ht="11" x14ac:dyDescent="0.15"/>
    <row r="29" spans="3:3" ht="11" x14ac:dyDescent="0.15"/>
    <row r="30" spans="3:3" ht="11" hidden="1" x14ac:dyDescent="0.15"/>
    <row r="31" spans="3:3" ht="11" hidden="1" x14ac:dyDescent="0.15"/>
    <row r="32" spans="3:3" ht="11" hidden="1" x14ac:dyDescent="0.15"/>
    <row r="33" ht="11" hidden="1" x14ac:dyDescent="0.15"/>
    <row r="34" ht="11" hidden="1" x14ac:dyDescent="0.15"/>
  </sheetData>
  <pageMargins left="0.7" right="0.7" top="0.75" bottom="0.75" header="0.3" footer="0.3"/>
  <pageSetup paperSize="9" orientation="portrait" horizontalDpi="360" verticalDpi="36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BEA99-DFC1-2E4E-8342-BB3E7D45F2AD}">
  <dimension ref="B1:AB104"/>
  <sheetViews>
    <sheetView showGridLines="0" zoomScale="94" zoomScaleNormal="100" workbookViewId="0">
      <pane ySplit="6" topLeftCell="A79" activePane="bottomLeft" state="frozen"/>
      <selection activeCell="B36" sqref="B36"/>
      <selection pane="bottomLeft" activeCell="P87" sqref="P87"/>
    </sheetView>
  </sheetViews>
  <sheetFormatPr baseColWidth="10" defaultColWidth="7.1640625" defaultRowHeight="13.25" customHeight="1" x14ac:dyDescent="0.15"/>
  <cols>
    <col min="1" max="1" width="11.1640625" style="199" customWidth="1"/>
    <col min="2" max="2" width="24.5" style="201" customWidth="1"/>
    <col min="3" max="14" width="7.1640625" style="199"/>
    <col min="15" max="15" width="7.6640625" style="199" bestFit="1" customWidth="1"/>
    <col min="16" max="20" width="7.1640625" style="199"/>
    <col min="21" max="21" width="0.6640625" style="23" customWidth="1"/>
    <col min="22" max="16384" width="7.1640625" style="199"/>
  </cols>
  <sheetData>
    <row r="1" spans="2:27" ht="13.25" customHeight="1" x14ac:dyDescent="0.15">
      <c r="B1" s="198"/>
      <c r="F1" s="200"/>
      <c r="P1" s="200"/>
      <c r="S1" s="200"/>
    </row>
    <row r="2" spans="2:27" ht="20" customHeight="1" x14ac:dyDescent="0.15">
      <c r="B2" s="198" t="s">
        <v>761</v>
      </c>
      <c r="F2" s="200"/>
      <c r="P2" s="200"/>
      <c r="S2" s="200"/>
    </row>
    <row r="3" spans="2:27" ht="13.25" customHeight="1" x14ac:dyDescent="0.15">
      <c r="F3" s="202" t="s">
        <v>586</v>
      </c>
      <c r="G3" s="204"/>
      <c r="H3" s="204"/>
      <c r="I3" s="204"/>
      <c r="J3" s="204"/>
      <c r="K3" s="204"/>
      <c r="L3" s="204"/>
      <c r="M3" s="203"/>
      <c r="N3" s="203"/>
      <c r="O3" s="203"/>
      <c r="P3" s="202" t="s">
        <v>669</v>
      </c>
      <c r="Q3" s="204"/>
      <c r="R3" s="204"/>
      <c r="S3" s="204"/>
      <c r="T3" s="204"/>
    </row>
    <row r="4" spans="2:27" ht="5" customHeight="1" x14ac:dyDescent="0.15">
      <c r="F4" s="200"/>
      <c r="P4" s="200"/>
    </row>
    <row r="5" spans="2:27" ht="15" customHeight="1" x14ac:dyDescent="0.15">
      <c r="B5" s="205" t="str">
        <f>[1]AsReported!B5</f>
        <v>(EUR m)</v>
      </c>
      <c r="C5" s="206"/>
      <c r="D5" s="207"/>
      <c r="E5" s="206"/>
      <c r="F5" s="208">
        <v>42192</v>
      </c>
      <c r="G5" s="209">
        <f>F5+365</f>
        <v>42557</v>
      </c>
      <c r="H5" s="209">
        <f t="shared" ref="H5:O5" si="0">G5+365</f>
        <v>42922</v>
      </c>
      <c r="I5" s="209">
        <f t="shared" si="0"/>
        <v>43287</v>
      </c>
      <c r="J5" s="209">
        <f t="shared" si="0"/>
        <v>43652</v>
      </c>
      <c r="K5" s="209">
        <f t="shared" si="0"/>
        <v>44017</v>
      </c>
      <c r="L5" s="209">
        <f t="shared" si="0"/>
        <v>44382</v>
      </c>
      <c r="M5" s="209">
        <f t="shared" si="0"/>
        <v>44747</v>
      </c>
      <c r="N5" s="209">
        <f t="shared" si="0"/>
        <v>45112</v>
      </c>
      <c r="O5" s="209">
        <f t="shared" si="0"/>
        <v>45477</v>
      </c>
      <c r="P5" s="255">
        <f>O5+365</f>
        <v>45842</v>
      </c>
      <c r="Q5" s="254">
        <f>P5+365</f>
        <v>46207</v>
      </c>
      <c r="R5" s="254">
        <f t="shared" ref="R5:T5" si="1">Q5+365</f>
        <v>46572</v>
      </c>
      <c r="S5" s="254">
        <f t="shared" si="1"/>
        <v>46937</v>
      </c>
      <c r="T5" s="254">
        <f t="shared" si="1"/>
        <v>47302</v>
      </c>
      <c r="V5" s="210" t="s">
        <v>671</v>
      </c>
      <c r="W5" s="210"/>
      <c r="X5" s="210"/>
      <c r="Y5" s="210"/>
      <c r="Z5" s="210"/>
      <c r="AA5" s="210"/>
    </row>
    <row r="6" spans="2:27" ht="5" customHeight="1" x14ac:dyDescent="0.15"/>
    <row r="7" spans="2:27" ht="5" customHeight="1" x14ac:dyDescent="0.15"/>
    <row r="8" spans="2:27" ht="13.25" customHeight="1" x14ac:dyDescent="0.2">
      <c r="B8" s="211" t="s">
        <v>588</v>
      </c>
      <c r="C8" s="212"/>
      <c r="D8" s="212"/>
      <c r="E8" s="212"/>
      <c r="F8" s="212"/>
      <c r="G8" s="212"/>
      <c r="H8" s="212"/>
      <c r="I8" s="212"/>
      <c r="J8" s="212"/>
      <c r="K8" s="212"/>
      <c r="L8" s="212"/>
      <c r="M8" s="212"/>
      <c r="N8" s="212"/>
      <c r="O8" s="212"/>
      <c r="P8" s="212"/>
      <c r="Q8" s="212"/>
      <c r="R8" s="212"/>
      <c r="S8" s="212"/>
      <c r="T8" s="212"/>
      <c r="U8" s="199"/>
    </row>
    <row r="9" spans="2:27" ht="5" customHeight="1" x14ac:dyDescent="0.15"/>
    <row r="10" spans="2:27" ht="13.25" customHeight="1" x14ac:dyDescent="0.15">
      <c r="B10" s="213" t="s">
        <v>484</v>
      </c>
      <c r="C10" s="214"/>
      <c r="D10" s="214"/>
      <c r="E10" s="214"/>
      <c r="F10" s="214">
        <f>Restatements!C38</f>
        <v>499.18099999999998</v>
      </c>
      <c r="G10" s="214">
        <f>Restatements!D38</f>
        <v>569.31200000000001</v>
      </c>
      <c r="H10" s="214">
        <f>Restatements!E38</f>
        <v>637.48699999999997</v>
      </c>
      <c r="I10" s="214">
        <f>Restatements!F38</f>
        <v>669.197</v>
      </c>
      <c r="J10" s="214">
        <f>Restatements!G38</f>
        <v>706.31899999999996</v>
      </c>
      <c r="K10" s="214">
        <f>Restatements!H38</f>
        <v>881.30499999999995</v>
      </c>
      <c r="L10" s="214">
        <f>Restatements!I38</f>
        <v>1237.654</v>
      </c>
      <c r="M10" s="214">
        <f>Restatements!J38</f>
        <v>1361.1379999999999</v>
      </c>
      <c r="N10" s="214">
        <f>Restatements!K38</f>
        <v>1148.21</v>
      </c>
      <c r="O10" s="214">
        <f>Restatements!L38</f>
        <v>1185.4269999999999</v>
      </c>
      <c r="P10" s="214">
        <f>+SalesOPEX!P10</f>
        <v>1200</v>
      </c>
      <c r="Q10" s="214">
        <f>+SalesOPEX!Q10</f>
        <v>1260</v>
      </c>
      <c r="R10" s="214">
        <f>+SalesOPEX!R10</f>
        <v>1323</v>
      </c>
      <c r="S10" s="214">
        <f>+SalesOPEX!S10</f>
        <v>1389.15</v>
      </c>
      <c r="T10" s="214">
        <f>+SalesOPEX!T10</f>
        <v>1458.6075000000001</v>
      </c>
      <c r="V10" s="215"/>
    </row>
    <row r="11" spans="2:27" ht="13.25" customHeight="1" x14ac:dyDescent="0.15">
      <c r="B11" s="216" t="s">
        <v>590</v>
      </c>
      <c r="C11" s="217"/>
      <c r="D11" s="217"/>
      <c r="E11" s="217"/>
      <c r="F11" s="217" t="s">
        <v>610</v>
      </c>
      <c r="G11" s="217">
        <f t="shared" ref="G11:O11" si="2">G10/F10-1</f>
        <v>0.14049212610255601</v>
      </c>
      <c r="H11" s="217">
        <f t="shared" si="2"/>
        <v>0.1197498032713169</v>
      </c>
      <c r="I11" s="217">
        <f t="shared" si="2"/>
        <v>4.9742190821146171E-2</v>
      </c>
      <c r="J11" s="217">
        <f t="shared" si="2"/>
        <v>5.5472454299705376E-2</v>
      </c>
      <c r="K11" s="217">
        <f t="shared" si="2"/>
        <v>0.24774358328177493</v>
      </c>
      <c r="L11" s="217">
        <f t="shared" si="2"/>
        <v>0.40434242401892662</v>
      </c>
      <c r="M11" s="217">
        <f t="shared" si="2"/>
        <v>9.9772634354997392E-2</v>
      </c>
      <c r="N11" s="217">
        <f t="shared" si="2"/>
        <v>-0.1564338075933519</v>
      </c>
      <c r="O11" s="217">
        <f t="shared" si="2"/>
        <v>3.2413060328685406E-2</v>
      </c>
      <c r="P11" s="217">
        <f>+P10/O10-1</f>
        <v>1.2293460499887443E-2</v>
      </c>
      <c r="Q11" s="217">
        <f>+Q10/P10-1</f>
        <v>5.0000000000000044E-2</v>
      </c>
      <c r="R11" s="217">
        <f>+R10/Q10-1</f>
        <v>5.0000000000000044E-2</v>
      </c>
      <c r="S11" s="217">
        <f>+S10/R10-1</f>
        <v>5.0000000000000044E-2</v>
      </c>
      <c r="T11" s="217">
        <f>+T10/S10-1</f>
        <v>5.0000000000000044E-2</v>
      </c>
      <c r="V11" s="215"/>
    </row>
    <row r="12" spans="2:27" ht="5" customHeight="1" x14ac:dyDescent="0.15">
      <c r="V12" s="215"/>
    </row>
    <row r="13" spans="2:27" ht="13.25" customHeight="1" x14ac:dyDescent="0.15">
      <c r="B13" s="201" t="s">
        <v>611</v>
      </c>
      <c r="C13" s="218"/>
      <c r="D13" s="218"/>
      <c r="E13" s="218"/>
      <c r="F13" s="218">
        <f>Restatements!C10</f>
        <v>157.28</v>
      </c>
      <c r="G13" s="218">
        <f>Restatements!D10</f>
        <v>180.16</v>
      </c>
      <c r="H13" s="218">
        <f>Restatements!E10</f>
        <v>205.59</v>
      </c>
      <c r="I13" s="218">
        <f>Restatements!F10</f>
        <v>213.43</v>
      </c>
      <c r="J13" s="218">
        <f>Restatements!G10</f>
        <v>217.63</v>
      </c>
      <c r="K13" s="218">
        <f>Restatements!H10</f>
        <v>278.39999999999998</v>
      </c>
      <c r="L13" s="218">
        <f>Restatements!I10</f>
        <v>412.88</v>
      </c>
      <c r="M13" s="218">
        <f>Restatements!J10</f>
        <v>460.53</v>
      </c>
      <c r="N13" s="218">
        <f>Restatements!K10</f>
        <v>407.02</v>
      </c>
      <c r="O13" s="218">
        <f>Restatements!L10</f>
        <v>403.73</v>
      </c>
      <c r="P13" s="218">
        <f>+SalesOPEX!P15</f>
        <v>-365.165602710553</v>
      </c>
      <c r="Q13" s="218">
        <f>+SalesOPEX!Q15</f>
        <v>-383.42388284608063</v>
      </c>
      <c r="R13" s="218">
        <f>+SalesOPEX!R15</f>
        <v>-396.9</v>
      </c>
      <c r="S13" s="218">
        <f>+SalesOPEX!S15</f>
        <v>-416.745</v>
      </c>
      <c r="T13" s="218">
        <f>+SalesOPEX!T15</f>
        <v>-437.58224999999999</v>
      </c>
      <c r="V13" s="215"/>
    </row>
    <row r="14" spans="2:27" ht="13.25" customHeight="1" x14ac:dyDescent="0.15">
      <c r="B14" s="201" t="s">
        <v>612</v>
      </c>
      <c r="C14" s="218"/>
      <c r="D14" s="218"/>
      <c r="E14" s="218"/>
      <c r="F14" s="218">
        <f>Restatements!C11+Restatements!C12</f>
        <v>135.19000000000003</v>
      </c>
      <c r="G14" s="218">
        <f>Restatements!D11+Restatements!D12</f>
        <v>148.04</v>
      </c>
      <c r="H14" s="218">
        <f>Restatements!E11+Restatements!E12</f>
        <v>164.73</v>
      </c>
      <c r="I14" s="218">
        <f>Restatements!F11+Restatements!F12</f>
        <v>178.40999999999997</v>
      </c>
      <c r="J14" s="218">
        <f>Restatements!G11+Restatements!G12</f>
        <v>190.81</v>
      </c>
      <c r="K14" s="218">
        <f>Restatements!H11+Restatements!H12</f>
        <v>196.14999999999998</v>
      </c>
      <c r="L14" s="218">
        <f>Restatements!I11+Restatements!I12</f>
        <v>267.86</v>
      </c>
      <c r="M14" s="218">
        <f>Restatements!J11+Restatements!J12</f>
        <v>364.06999999999994</v>
      </c>
      <c r="N14" s="218">
        <f>Restatements!K11+Restatements!K12</f>
        <v>344.96999999999997</v>
      </c>
      <c r="O14" s="218">
        <f>Restatements!L11+Restatements!L12</f>
        <v>367.87</v>
      </c>
      <c r="P14" s="218">
        <f>+SalesOPEX!P16</f>
        <v>-437.72855920250896</v>
      </c>
      <c r="Q14" s="218">
        <f>+SalesOPEX!Q16</f>
        <v>-453.59999999999997</v>
      </c>
      <c r="R14" s="218">
        <f>+SalesOPEX!R16</f>
        <v>-436.59000000000003</v>
      </c>
      <c r="S14" s="218">
        <f>+SalesOPEX!S16</f>
        <v>-458.41950000000003</v>
      </c>
      <c r="T14" s="218">
        <f>+SalesOPEX!T16</f>
        <v>-485.18577327417648</v>
      </c>
      <c r="V14" s="215"/>
    </row>
    <row r="15" spans="2:27" ht="13.25" customHeight="1" x14ac:dyDescent="0.15">
      <c r="B15" s="219" t="s">
        <v>435</v>
      </c>
      <c r="C15" s="220"/>
      <c r="D15" s="220"/>
      <c r="E15" s="220"/>
      <c r="F15" s="220">
        <f>+F10-SUM(F13:F14)</f>
        <v>206.71099999999996</v>
      </c>
      <c r="G15" s="220">
        <f t="shared" ref="G15:O15" si="3">+G10-SUM(G13:G14)</f>
        <v>241.11200000000002</v>
      </c>
      <c r="H15" s="220">
        <f t="shared" si="3"/>
        <v>267.16699999999997</v>
      </c>
      <c r="I15" s="220">
        <f t="shared" si="3"/>
        <v>277.35700000000003</v>
      </c>
      <c r="J15" s="220">
        <f t="shared" si="3"/>
        <v>297.87899999999996</v>
      </c>
      <c r="K15" s="220">
        <f t="shared" si="3"/>
        <v>406.755</v>
      </c>
      <c r="L15" s="220">
        <f t="shared" si="3"/>
        <v>556.91399999999999</v>
      </c>
      <c r="M15" s="220">
        <f t="shared" si="3"/>
        <v>536.53800000000001</v>
      </c>
      <c r="N15" s="220">
        <f t="shared" si="3"/>
        <v>396.22</v>
      </c>
      <c r="O15" s="220">
        <f t="shared" si="3"/>
        <v>413.82699999999988</v>
      </c>
      <c r="P15" s="220">
        <f>+P10+SUM(P13:P14)</f>
        <v>397.10583808693809</v>
      </c>
      <c r="Q15" s="220">
        <f>+Q10+SUM(Q13:Q14)</f>
        <v>422.9761171539194</v>
      </c>
      <c r="R15" s="220">
        <f>+R10+SUM(R13:R14)</f>
        <v>489.51</v>
      </c>
      <c r="S15" s="220">
        <f>+S10+SUM(S13:S14)</f>
        <v>513.9855</v>
      </c>
      <c r="T15" s="220">
        <f>+T10+SUM(T13:T14)</f>
        <v>535.8394767258236</v>
      </c>
      <c r="V15" s="215"/>
    </row>
    <row r="16" spans="2:27" ht="13.25" customHeight="1" x14ac:dyDescent="0.15">
      <c r="B16" s="216" t="s">
        <v>596</v>
      </c>
      <c r="C16" s="217"/>
      <c r="D16" s="217"/>
      <c r="E16" s="217"/>
      <c r="F16" s="217">
        <f>+F15/F$10</f>
        <v>0.41410029628531525</v>
      </c>
      <c r="G16" s="217">
        <f t="shared" ref="G16:O16" si="4">+G15/G$10</f>
        <v>0.42351469844303302</v>
      </c>
      <c r="H16" s="217">
        <f t="shared" si="4"/>
        <v>0.4190940364274095</v>
      </c>
      <c r="I16" s="217">
        <f t="shared" si="4"/>
        <v>0.41446240793069905</v>
      </c>
      <c r="J16" s="217">
        <f t="shared" si="4"/>
        <v>0.4217343721462965</v>
      </c>
      <c r="K16" s="217">
        <f t="shared" si="4"/>
        <v>0.46153715229120457</v>
      </c>
      <c r="L16" s="217">
        <f t="shared" si="4"/>
        <v>0.44997551819813936</v>
      </c>
      <c r="M16" s="217">
        <f t="shared" si="4"/>
        <v>0.39418339654024798</v>
      </c>
      <c r="N16" s="217">
        <f t="shared" si="4"/>
        <v>0.34507624911819268</v>
      </c>
      <c r="O16" s="217">
        <f t="shared" si="4"/>
        <v>0.34909530489857232</v>
      </c>
      <c r="P16" s="217">
        <f>+P15/P$10</f>
        <v>0.33092153173911509</v>
      </c>
      <c r="Q16" s="217">
        <f>+Q15/Q$10</f>
        <v>0.33569533107453919</v>
      </c>
      <c r="R16" s="217">
        <f>+R15/R$10</f>
        <v>0.37</v>
      </c>
      <c r="S16" s="217">
        <f>+S15/S$10</f>
        <v>0.37</v>
      </c>
      <c r="T16" s="217">
        <f>+T15/T$10</f>
        <v>0.36736371966126841</v>
      </c>
      <c r="V16" s="215"/>
    </row>
    <row r="17" spans="2:23" ht="5" customHeight="1" x14ac:dyDescent="0.15">
      <c r="V17" s="215"/>
    </row>
    <row r="18" spans="2:23" ht="13.25" customHeight="1" x14ac:dyDescent="0.15">
      <c r="B18" s="201" t="s">
        <v>613</v>
      </c>
      <c r="C18" s="218"/>
      <c r="D18" s="218"/>
      <c r="E18" s="218"/>
      <c r="F18" s="218">
        <f>Restatements!C46</f>
        <v>-24.875</v>
      </c>
      <c r="G18" s="218">
        <f>Restatements!D46</f>
        <v>-27.140999999999998</v>
      </c>
      <c r="H18" s="218">
        <f>Restatements!E46</f>
        <v>-29.666</v>
      </c>
      <c r="I18" s="218">
        <f>Restatements!F46</f>
        <v>-28.530999999999999</v>
      </c>
      <c r="J18" s="218">
        <f>Restatements!G46</f>
        <v>-35.131999999999998</v>
      </c>
      <c r="K18" s="218">
        <f>Restatements!H46</f>
        <v>-33.558</v>
      </c>
      <c r="L18" s="218">
        <f>Restatements!I46</f>
        <v>-47.131</v>
      </c>
      <c r="M18" s="218">
        <f>Restatements!J46</f>
        <v>-60.404000000000003</v>
      </c>
      <c r="N18" s="218">
        <f>Restatements!K46</f>
        <v>-61.829000000000001</v>
      </c>
      <c r="O18" s="218">
        <f>Restatements!L46</f>
        <v>-53.871000000000002</v>
      </c>
      <c r="P18" s="218">
        <f>Investments!P32</f>
        <v>-29.884697019661566</v>
      </c>
      <c r="Q18" s="218">
        <f>Investments!Q32</f>
        <v>-65.787947007867587</v>
      </c>
      <c r="R18" s="218">
        <f>Investments!R32</f>
        <v>-78.415344698752705</v>
      </c>
      <c r="S18" s="218">
        <f>Investments!S32</f>
        <v>-91.674112274182093</v>
      </c>
      <c r="T18" s="218">
        <f>Investments!T32</f>
        <v>-105.59581822838294</v>
      </c>
      <c r="V18" s="215"/>
    </row>
    <row r="19" spans="2:23" ht="13.25" customHeight="1" x14ac:dyDescent="0.15">
      <c r="B19" s="201" t="s">
        <v>614</v>
      </c>
      <c r="C19" s="218"/>
      <c r="D19" s="218"/>
      <c r="E19" s="218"/>
      <c r="F19" s="218">
        <f>Restatements!C47</f>
        <v>-8.109</v>
      </c>
      <c r="G19" s="218">
        <f>Restatements!D47</f>
        <v>-17.565999999999999</v>
      </c>
      <c r="H19" s="218">
        <f>Restatements!E47</f>
        <v>-16.184999999999999</v>
      </c>
      <c r="I19" s="218">
        <f>Restatements!F47</f>
        <v>-16.844000000000001</v>
      </c>
      <c r="J19" s="218">
        <f>Restatements!G47</f>
        <v>-17.643999999999998</v>
      </c>
      <c r="K19" s="218">
        <f>Restatements!H47</f>
        <v>-25.254999999999999</v>
      </c>
      <c r="L19" s="218">
        <f>Restatements!I47</f>
        <v>-36.274999999999999</v>
      </c>
      <c r="M19" s="218">
        <f>Restatements!J47</f>
        <v>-58.94</v>
      </c>
      <c r="N19" s="218">
        <f>Restatements!K47</f>
        <v>-53.197000000000003</v>
      </c>
      <c r="O19" s="218">
        <f>Restatements!L47</f>
        <v>-75.17</v>
      </c>
      <c r="P19" s="218">
        <f>Investments!P36</f>
        <v>-75.172626714363176</v>
      </c>
      <c r="Q19" s="218">
        <f>Investments!Q36</f>
        <v>-74.452287483800447</v>
      </c>
      <c r="R19" s="218">
        <f>Investments!R36</f>
        <v>-73.861915174488971</v>
      </c>
      <c r="S19" s="218">
        <f>Investments!S36</f>
        <v>-73.401857020548334</v>
      </c>
      <c r="T19" s="218">
        <f>Investments!T36</f>
        <v>-73.072705568720181</v>
      </c>
      <c r="V19" s="215"/>
    </row>
    <row r="20" spans="2:23" ht="13.25" customHeight="1" x14ac:dyDescent="0.15">
      <c r="B20" s="219" t="s">
        <v>442</v>
      </c>
      <c r="C20" s="220"/>
      <c r="D20" s="220"/>
      <c r="E20" s="220"/>
      <c r="F20" s="220">
        <f>+F15+F19+F18</f>
        <v>173.72699999999995</v>
      </c>
      <c r="G20" s="220">
        <f t="shared" ref="G20:O20" si="5">+G15+G19+G18</f>
        <v>196.40500000000003</v>
      </c>
      <c r="H20" s="220">
        <f t="shared" si="5"/>
        <v>221.31599999999997</v>
      </c>
      <c r="I20" s="220">
        <f t="shared" si="5"/>
        <v>231.98200000000003</v>
      </c>
      <c r="J20" s="220">
        <f t="shared" si="5"/>
        <v>245.10299999999995</v>
      </c>
      <c r="K20" s="220">
        <f t="shared" si="5"/>
        <v>347.94200000000001</v>
      </c>
      <c r="L20" s="220">
        <f t="shared" si="5"/>
        <v>473.50800000000004</v>
      </c>
      <c r="M20" s="220">
        <f t="shared" si="5"/>
        <v>417.19400000000002</v>
      </c>
      <c r="N20" s="220">
        <f t="shared" si="5"/>
        <v>281.19400000000002</v>
      </c>
      <c r="O20" s="220">
        <f t="shared" si="5"/>
        <v>284.78599999999989</v>
      </c>
      <c r="P20" s="220">
        <f>+P15+P19+P18</f>
        <v>292.04851435291334</v>
      </c>
      <c r="Q20" s="220">
        <f>+Q15+Q19+Q18</f>
        <v>282.73588266225136</v>
      </c>
      <c r="R20" s="220">
        <f>+R15+R19+R18</f>
        <v>337.23274012675836</v>
      </c>
      <c r="S20" s="220">
        <f>+S15+S19+S18</f>
        <v>348.90953070526956</v>
      </c>
      <c r="T20" s="220">
        <f>+T15+T19+T18</f>
        <v>357.17095292872051</v>
      </c>
      <c r="V20" s="215"/>
      <c r="W20" s="221"/>
    </row>
    <row r="21" spans="2:23" ht="13.25" customHeight="1" x14ac:dyDescent="0.15">
      <c r="B21" s="216" t="s">
        <v>596</v>
      </c>
      <c r="C21" s="217"/>
      <c r="D21" s="217"/>
      <c r="E21" s="217"/>
      <c r="F21" s="217">
        <f>+F20/F$10</f>
        <v>0.34802406341587511</v>
      </c>
      <c r="G21" s="217">
        <f t="shared" ref="G21:O21" si="6">+G20/G$10</f>
        <v>0.34498658029340684</v>
      </c>
      <c r="H21" s="217">
        <f t="shared" si="6"/>
        <v>0.34716943247470144</v>
      </c>
      <c r="I21" s="217">
        <f t="shared" si="6"/>
        <v>0.34665726236070998</v>
      </c>
      <c r="J21" s="217">
        <f t="shared" si="6"/>
        <v>0.34701459255662098</v>
      </c>
      <c r="K21" s="217">
        <f t="shared" si="6"/>
        <v>0.39480316122114367</v>
      </c>
      <c r="L21" s="217">
        <f t="shared" si="6"/>
        <v>0.38258511668042927</v>
      </c>
      <c r="M21" s="217">
        <f t="shared" si="6"/>
        <v>0.30650382253673031</v>
      </c>
      <c r="N21" s="217">
        <f t="shared" si="6"/>
        <v>0.24489771034915217</v>
      </c>
      <c r="O21" s="217">
        <f t="shared" si="6"/>
        <v>0.24023917120160071</v>
      </c>
      <c r="P21" s="217">
        <f>+P20/P$10</f>
        <v>0.24337376196076113</v>
      </c>
      <c r="Q21" s="217">
        <f>+Q20/Q$10</f>
        <v>0.22439355766845345</v>
      </c>
      <c r="R21" s="217">
        <f>+R20/R$10</f>
        <v>0.25490003033012726</v>
      </c>
      <c r="S21" s="217">
        <f>+S20/S$10</f>
        <v>0.25116764259098695</v>
      </c>
      <c r="T21" s="217">
        <f>+T20/T$10</f>
        <v>0.24487118908186095</v>
      </c>
      <c r="V21" s="215"/>
    </row>
    <row r="22" spans="2:23" ht="5" customHeight="1" x14ac:dyDescent="0.15">
      <c r="V22" s="215"/>
    </row>
    <row r="23" spans="2:23" ht="13.25" customHeight="1" x14ac:dyDescent="0.15">
      <c r="B23" s="201" t="s">
        <v>598</v>
      </c>
      <c r="C23" s="218"/>
      <c r="D23" s="218"/>
      <c r="E23" s="218"/>
      <c r="F23" s="218">
        <f>Restatements!C51+Restatements!C52</f>
        <v>-1.4420000000000002</v>
      </c>
      <c r="G23" s="218">
        <f>Restatements!D51+Restatements!D52</f>
        <v>1.603</v>
      </c>
      <c r="H23" s="218">
        <f>Restatements!E51+Restatements!E52</f>
        <v>-2.923</v>
      </c>
      <c r="I23" s="218">
        <f>Restatements!F51+Restatements!F52</f>
        <v>1.9829999999999999</v>
      </c>
      <c r="J23" s="218">
        <f>Restatements!G51+Restatements!G52</f>
        <v>-1.3419999999999996</v>
      </c>
      <c r="K23" s="218">
        <f>Restatements!H51+Restatements!H52</f>
        <v>-2.391</v>
      </c>
      <c r="L23" s="218">
        <f>Restatements!I51+Restatements!I52</f>
        <v>-1.482</v>
      </c>
      <c r="M23" s="218">
        <f>Restatements!J51+Restatements!J52</f>
        <v>-1.8240000000000007</v>
      </c>
      <c r="N23" s="218">
        <f>Restatements!K51+Restatements!K52</f>
        <v>6.6099999999999994</v>
      </c>
      <c r="O23" s="218">
        <f>Restatements!L51+Restatements!L52</f>
        <v>-1.173</v>
      </c>
      <c r="P23" s="218">
        <f>AVERAGE(F23:O23)</f>
        <v>-0.2381000000000002</v>
      </c>
      <c r="Q23" s="218">
        <f t="shared" ref="Q23:T23" si="7">AVERAGE(G23:P23)</f>
        <v>-0.11771000000000012</v>
      </c>
      <c r="R23" s="218">
        <f t="shared" si="7"/>
        <v>-0.28978100000000018</v>
      </c>
      <c r="S23" s="218">
        <f t="shared" si="7"/>
        <v>-2.6459100000000201E-2</v>
      </c>
      <c r="T23" s="218">
        <f t="shared" si="7"/>
        <v>-0.22740501000000019</v>
      </c>
      <c r="V23" s="215"/>
      <c r="W23" s="221"/>
    </row>
    <row r="24" spans="2:23" ht="13.25" customHeight="1" x14ac:dyDescent="0.15">
      <c r="B24" s="201" t="s">
        <v>618</v>
      </c>
      <c r="C24" s="218"/>
      <c r="D24" s="218"/>
      <c r="E24" s="218"/>
      <c r="F24" s="218">
        <f>Restatements!C55+Restatements!C53</f>
        <v>-4.3900000000000006</v>
      </c>
      <c r="G24" s="218">
        <f>Restatements!D55+Restatements!D53</f>
        <v>-8.5310000000000006</v>
      </c>
      <c r="H24" s="218">
        <f>Restatements!E55+Restatements!E53</f>
        <v>-16.155000000000001</v>
      </c>
      <c r="I24" s="218">
        <f>Restatements!F55+Restatements!F53</f>
        <v>-6.0269999999999992</v>
      </c>
      <c r="J24" s="218">
        <f>Restatements!G55+Restatements!G53</f>
        <v>-8.5790000000000006</v>
      </c>
      <c r="K24" s="218">
        <f>Restatements!H55+Restatements!H53</f>
        <v>-9.3140000000000001</v>
      </c>
      <c r="L24" s="218">
        <f>Restatements!I55+Restatements!I53</f>
        <v>-43.716000000000001</v>
      </c>
      <c r="M24" s="218">
        <f>Restatements!J55+Restatements!J53</f>
        <v>-54.451999999999998</v>
      </c>
      <c r="N24" s="218">
        <f>Restatements!K55+Restatements!K53</f>
        <v>-41.182000000000002</v>
      </c>
      <c r="O24" s="218">
        <f>Restatements!L55+Restatements!L53</f>
        <v>-34.030999999999999</v>
      </c>
      <c r="P24" s="218">
        <f>+Financing!J27</f>
        <v>-62.043820045488481</v>
      </c>
      <c r="Q24" s="218">
        <f>+Financing!K27</f>
        <v>-61.632259282085073</v>
      </c>
      <c r="R24" s="218">
        <f>+Financing!L27</f>
        <v>-61.735773606877487</v>
      </c>
      <c r="S24" s="218">
        <f>+Financing!M27</f>
        <v>-61.844463647909535</v>
      </c>
      <c r="T24" s="218">
        <f>+Financing!N27</f>
        <v>-61.958588190993176</v>
      </c>
      <c r="V24" s="215"/>
      <c r="W24" s="221"/>
    </row>
    <row r="25" spans="2:23" ht="13.25" customHeight="1" x14ac:dyDescent="0.15">
      <c r="B25" s="201" t="s">
        <v>191</v>
      </c>
      <c r="C25" s="218"/>
      <c r="D25" s="218"/>
      <c r="E25" s="218"/>
      <c r="F25" s="218">
        <f>Restatements!C54</f>
        <v>-0.43099999999999999</v>
      </c>
      <c r="G25" s="218">
        <f>Restatements!D54</f>
        <v>-0.55500000000000005</v>
      </c>
      <c r="H25" s="218">
        <f>Restatements!E54</f>
        <v>-0.40400000000000003</v>
      </c>
      <c r="I25" s="218">
        <f>Restatements!F54</f>
        <v>-0.14299999999999999</v>
      </c>
      <c r="J25" s="218">
        <f>Restatements!G54</f>
        <v>-0.115</v>
      </c>
      <c r="K25" s="218">
        <f>Restatements!H54</f>
        <v>0</v>
      </c>
      <c r="L25" s="218">
        <f>Restatements!I54</f>
        <v>0</v>
      </c>
      <c r="M25" s="218">
        <f>Restatements!J54</f>
        <v>0</v>
      </c>
      <c r="N25" s="218">
        <f>Restatements!K54</f>
        <v>0</v>
      </c>
      <c r="O25" s="218">
        <f>Restatements!L54</f>
        <v>0</v>
      </c>
      <c r="P25" s="218">
        <f>+Others!J14</f>
        <v>0</v>
      </c>
      <c r="Q25" s="218">
        <f>+Others!K14</f>
        <v>0</v>
      </c>
      <c r="R25" s="218">
        <f>+Others!L14</f>
        <v>0</v>
      </c>
      <c r="S25" s="218">
        <f>+Others!M14</f>
        <v>0</v>
      </c>
      <c r="T25" s="218">
        <f>+Others!N14</f>
        <v>0</v>
      </c>
    </row>
    <row r="26" spans="2:23" ht="13.25" customHeight="1" x14ac:dyDescent="0.15">
      <c r="B26" s="219" t="s">
        <v>603</v>
      </c>
      <c r="C26" s="220"/>
      <c r="D26" s="220"/>
      <c r="E26" s="220"/>
      <c r="F26" s="220">
        <f>+F20+SUM(F23:F25)</f>
        <v>167.46399999999994</v>
      </c>
      <c r="G26" s="220">
        <f t="shared" ref="G26:O26" si="8">+G20+SUM(G23:G25)</f>
        <v>188.92200000000003</v>
      </c>
      <c r="H26" s="220">
        <f t="shared" si="8"/>
        <v>201.83399999999997</v>
      </c>
      <c r="I26" s="220">
        <f t="shared" si="8"/>
        <v>227.79500000000002</v>
      </c>
      <c r="J26" s="220">
        <f t="shared" si="8"/>
        <v>235.06699999999995</v>
      </c>
      <c r="K26" s="220">
        <f t="shared" si="8"/>
        <v>336.23700000000002</v>
      </c>
      <c r="L26" s="220">
        <f t="shared" si="8"/>
        <v>428.31000000000006</v>
      </c>
      <c r="M26" s="220">
        <f t="shared" si="8"/>
        <v>360.91800000000001</v>
      </c>
      <c r="N26" s="220">
        <f t="shared" si="8"/>
        <v>246.62200000000001</v>
      </c>
      <c r="O26" s="220">
        <f t="shared" si="8"/>
        <v>249.58199999999988</v>
      </c>
      <c r="P26" s="220">
        <f>+P20+SUM(P23:P25)</f>
        <v>229.76659430742487</v>
      </c>
      <c r="Q26" s="220">
        <f>+Q20+SUM(Q23:Q25)</f>
        <v>220.98591338016627</v>
      </c>
      <c r="R26" s="220">
        <f>+R20+SUM(R23:R25)</f>
        <v>275.20718551988085</v>
      </c>
      <c r="S26" s="220">
        <f>+S20+SUM(S23:S25)</f>
        <v>287.03860795736</v>
      </c>
      <c r="T26" s="220">
        <f>+T20+SUM(T23:T25)</f>
        <v>294.98495972772736</v>
      </c>
    </row>
    <row r="27" spans="2:23" ht="5" customHeight="1" x14ac:dyDescent="0.15">
      <c r="C27" s="218"/>
      <c r="D27" s="218"/>
      <c r="E27" s="218"/>
      <c r="F27" s="218"/>
      <c r="G27" s="218"/>
      <c r="H27" s="218"/>
      <c r="I27" s="218"/>
      <c r="J27" s="218"/>
      <c r="K27" s="218"/>
      <c r="L27" s="218"/>
      <c r="M27" s="218"/>
      <c r="N27" s="218"/>
      <c r="O27" s="218"/>
      <c r="P27" s="218"/>
      <c r="Q27" s="218"/>
      <c r="R27" s="218"/>
      <c r="S27" s="218"/>
      <c r="T27" s="218"/>
    </row>
    <row r="28" spans="2:23" ht="13.25" customHeight="1" x14ac:dyDescent="0.15">
      <c r="B28" s="201" t="s">
        <v>620</v>
      </c>
      <c r="C28" s="218"/>
      <c r="D28" s="218"/>
      <c r="E28" s="218"/>
      <c r="F28" s="218">
        <f>Restatements!C60</f>
        <v>-49.554000000000002</v>
      </c>
      <c r="G28" s="218">
        <f>Restatements!D60</f>
        <v>-55.578000000000003</v>
      </c>
      <c r="H28" s="218">
        <f>Restatements!E60</f>
        <v>-38.828000000000003</v>
      </c>
      <c r="I28" s="218">
        <f>Restatements!F60</f>
        <v>-46.234999999999999</v>
      </c>
      <c r="J28" s="218">
        <f>Restatements!G60</f>
        <v>-40.552</v>
      </c>
      <c r="K28" s="218">
        <f>Restatements!H60</f>
        <v>-73.076999999999998</v>
      </c>
      <c r="L28" s="218">
        <f>Restatements!I60</f>
        <v>-88.602999999999994</v>
      </c>
      <c r="M28" s="218">
        <f>Restatements!J60</f>
        <v>-85.83</v>
      </c>
      <c r="N28" s="218">
        <f>Restatements!K60</f>
        <v>-42.707999999999998</v>
      </c>
      <c r="O28" s="218">
        <f>Restatements!L60</f>
        <v>-55.390999999999998</v>
      </c>
      <c r="P28" s="218">
        <f>+Others!J23</f>
        <v>-66.533874693545584</v>
      </c>
      <c r="Q28" s="218">
        <f>+Others!K23</f>
        <v>-64.063318635067702</v>
      </c>
      <c r="R28" s="218">
        <f>+Others!L23</f>
        <v>-79.201801389714987</v>
      </c>
      <c r="S28" s="218">
        <f>+Others!M23</f>
        <v>-82.496737607271911</v>
      </c>
      <c r="T28" s="218">
        <f>+Others!N23</f>
        <v>-84.726057498874667</v>
      </c>
      <c r="W28" s="221"/>
    </row>
    <row r="29" spans="2:23" ht="13.25" customHeight="1" x14ac:dyDescent="0.15">
      <c r="B29" s="222" t="s">
        <v>622</v>
      </c>
      <c r="C29" s="223"/>
      <c r="D29" s="223"/>
      <c r="E29" s="223"/>
      <c r="F29" s="223">
        <f>+F26+F28</f>
        <v>117.90999999999994</v>
      </c>
      <c r="G29" s="223">
        <f t="shared" ref="G29:O29" si="9">+G26+G28</f>
        <v>133.34400000000002</v>
      </c>
      <c r="H29" s="223">
        <f t="shared" si="9"/>
        <v>163.00599999999997</v>
      </c>
      <c r="I29" s="223">
        <f t="shared" si="9"/>
        <v>181.56</v>
      </c>
      <c r="J29" s="223">
        <f t="shared" si="9"/>
        <v>194.51499999999996</v>
      </c>
      <c r="K29" s="223">
        <f t="shared" si="9"/>
        <v>263.16000000000003</v>
      </c>
      <c r="L29" s="223">
        <f t="shared" si="9"/>
        <v>339.70700000000005</v>
      </c>
      <c r="M29" s="223">
        <f t="shared" si="9"/>
        <v>275.08800000000002</v>
      </c>
      <c r="N29" s="223">
        <f t="shared" si="9"/>
        <v>203.91400000000002</v>
      </c>
      <c r="O29" s="223">
        <f t="shared" si="9"/>
        <v>194.19099999999989</v>
      </c>
      <c r="P29" s="223">
        <f>+P26+P28</f>
        <v>163.23271961387928</v>
      </c>
      <c r="Q29" s="223">
        <f>+Q26+Q28</f>
        <v>156.92259474509856</v>
      </c>
      <c r="R29" s="223">
        <f>+R26+R28</f>
        <v>196.00538413016585</v>
      </c>
      <c r="S29" s="223">
        <f>+S26+S28</f>
        <v>204.54187035008809</v>
      </c>
      <c r="T29" s="223">
        <f>+T26+T28</f>
        <v>210.25890222885269</v>
      </c>
      <c r="W29" s="221"/>
    </row>
    <row r="30" spans="2:23" ht="13.25" customHeight="1" x14ac:dyDescent="0.15">
      <c r="B30" s="216" t="s">
        <v>596</v>
      </c>
      <c r="C30" s="217"/>
      <c r="D30" s="217"/>
      <c r="E30" s="217"/>
      <c r="F30" s="217">
        <f>+F29/F$10</f>
        <v>0.23620690691352425</v>
      </c>
      <c r="G30" s="217">
        <f t="shared" ref="G30:O30" si="10">+G29/G$10</f>
        <v>0.23421954921027488</v>
      </c>
      <c r="H30" s="217">
        <f t="shared" si="10"/>
        <v>0.25570090056738409</v>
      </c>
      <c r="I30" s="217">
        <f t="shared" si="10"/>
        <v>0.27131024197657788</v>
      </c>
      <c r="J30" s="217">
        <f t="shared" si="10"/>
        <v>0.27539256341681306</v>
      </c>
      <c r="K30" s="217">
        <f t="shared" si="10"/>
        <v>0.29860264040258483</v>
      </c>
      <c r="L30" s="217">
        <f t="shared" si="10"/>
        <v>0.27447654998893073</v>
      </c>
      <c r="M30" s="217">
        <f t="shared" si="10"/>
        <v>0.2021014768524573</v>
      </c>
      <c r="N30" s="217">
        <f t="shared" si="10"/>
        <v>0.17759294902500414</v>
      </c>
      <c r="O30" s="217">
        <f t="shared" si="10"/>
        <v>0.16381523282327795</v>
      </c>
      <c r="P30" s="217">
        <f>+P29/P$10</f>
        <v>0.13602726634489939</v>
      </c>
      <c r="Q30" s="217">
        <f>+Q29/Q$10</f>
        <v>0.12454174186118934</v>
      </c>
      <c r="R30" s="217">
        <f>+R29/R$10</f>
        <v>0.14815221778546173</v>
      </c>
      <c r="S30" s="217">
        <f>+S29/S$10</f>
        <v>0.14724246506863051</v>
      </c>
      <c r="T30" s="217">
        <f>+T29/T$10</f>
        <v>0.14415043267558456</v>
      </c>
      <c r="W30" s="221"/>
    </row>
    <row r="31" spans="2:23" ht="5" customHeight="1" x14ac:dyDescent="0.15">
      <c r="C31" s="218"/>
      <c r="D31" s="218"/>
      <c r="E31" s="218"/>
      <c r="F31" s="218"/>
      <c r="G31" s="218"/>
      <c r="H31" s="218"/>
      <c r="I31" s="218"/>
      <c r="J31" s="218"/>
      <c r="K31" s="218"/>
      <c r="L31" s="218"/>
      <c r="M31" s="218"/>
      <c r="N31" s="218"/>
      <c r="O31" s="218"/>
      <c r="P31" s="218"/>
      <c r="Q31" s="218"/>
      <c r="R31" s="218"/>
      <c r="S31" s="218"/>
      <c r="T31" s="218"/>
    </row>
    <row r="32" spans="2:23" ht="13.25" customHeight="1" x14ac:dyDescent="0.15">
      <c r="B32" s="201" t="s">
        <v>608</v>
      </c>
      <c r="C32" s="218"/>
      <c r="D32" s="218"/>
      <c r="E32" s="218"/>
      <c r="F32" s="218">
        <f>Restatements!C65</f>
        <v>0.65</v>
      </c>
      <c r="G32" s="218">
        <f>Restatements!D65</f>
        <v>0.8</v>
      </c>
      <c r="H32" s="218">
        <f>Restatements!E65</f>
        <v>0.85</v>
      </c>
      <c r="I32" s="218">
        <f>Restatements!F65</f>
        <v>0.9</v>
      </c>
      <c r="J32" s="218">
        <f>Restatements!G65</f>
        <v>0.95</v>
      </c>
      <c r="K32" s="218">
        <f>Restatements!H65</f>
        <v>1</v>
      </c>
      <c r="L32" s="218">
        <f>Restatements!I65</f>
        <v>1.05</v>
      </c>
      <c r="M32" s="218">
        <f>Restatements!J65</f>
        <v>1.1000000000000001</v>
      </c>
      <c r="N32" s="218">
        <f>Restatements!K65</f>
        <v>1.1499999999999999</v>
      </c>
      <c r="O32" s="218">
        <f>Restatements!L65</f>
        <v>1.2</v>
      </c>
      <c r="P32" s="218">
        <f>Financing!J11</f>
        <v>0.91926470527954385</v>
      </c>
      <c r="Q32" s="218">
        <f>Financing!K11</f>
        <v>0.88372847766844909</v>
      </c>
      <c r="R32" s="218">
        <f>Financing!L11</f>
        <v>1.1038279096362023</v>
      </c>
      <c r="S32" s="218">
        <f>Financing!M11</f>
        <v>1.1519021591349681</v>
      </c>
      <c r="T32" s="218">
        <f>Financing!N11</f>
        <v>1.184098312195077</v>
      </c>
    </row>
    <row r="33" spans="2:28" ht="13.25" customHeight="1" x14ac:dyDescent="0.15">
      <c r="B33" s="201" t="s">
        <v>609</v>
      </c>
      <c r="C33" s="224"/>
      <c r="D33" s="224"/>
      <c r="E33" s="224"/>
      <c r="F33" s="224">
        <f>+F29-F32</f>
        <v>117.25999999999993</v>
      </c>
      <c r="G33" s="224">
        <f t="shared" ref="G33:O33" si="11">+G29-G32</f>
        <v>132.54400000000001</v>
      </c>
      <c r="H33" s="224">
        <f t="shared" si="11"/>
        <v>162.15599999999998</v>
      </c>
      <c r="I33" s="224">
        <f t="shared" si="11"/>
        <v>180.66</v>
      </c>
      <c r="J33" s="224">
        <f t="shared" si="11"/>
        <v>193.56499999999997</v>
      </c>
      <c r="K33" s="224">
        <f t="shared" si="11"/>
        <v>262.16000000000003</v>
      </c>
      <c r="L33" s="224">
        <f t="shared" si="11"/>
        <v>338.65700000000004</v>
      </c>
      <c r="M33" s="224">
        <f t="shared" si="11"/>
        <v>273.988</v>
      </c>
      <c r="N33" s="224">
        <f t="shared" si="11"/>
        <v>202.76400000000001</v>
      </c>
      <c r="O33" s="224">
        <f t="shared" si="11"/>
        <v>192.9909999999999</v>
      </c>
      <c r="P33" s="224">
        <f>+P29-P32</f>
        <v>162.31345490859974</v>
      </c>
      <c r="Q33" s="224">
        <f>+Q29-Q32</f>
        <v>156.03886626743011</v>
      </c>
      <c r="R33" s="224">
        <f>+R29-R32</f>
        <v>194.90155622052964</v>
      </c>
      <c r="S33" s="224">
        <f>+S29-S32</f>
        <v>203.38996819095311</v>
      </c>
      <c r="T33" s="224">
        <f>+T29-T32</f>
        <v>209.0748039166576</v>
      </c>
    </row>
    <row r="34" spans="2:28" ht="13.25" customHeight="1" x14ac:dyDescent="0.15">
      <c r="C34" s="221"/>
      <c r="D34" s="221"/>
      <c r="E34" s="221"/>
      <c r="F34" s="221"/>
      <c r="G34" s="221"/>
      <c r="H34" s="221"/>
      <c r="I34" s="221"/>
      <c r="J34" s="221"/>
      <c r="K34" s="221"/>
      <c r="L34" s="221"/>
      <c r="M34" s="221"/>
      <c r="N34" s="221"/>
      <c r="O34" s="221"/>
      <c r="P34" s="221"/>
      <c r="Q34" s="221"/>
      <c r="R34" s="221"/>
      <c r="S34" s="221"/>
      <c r="T34" s="221"/>
    </row>
    <row r="35" spans="2:28" ht="13.25" customHeight="1" x14ac:dyDescent="0.15">
      <c r="B35" s="211" t="s">
        <v>623</v>
      </c>
      <c r="C35" s="212"/>
      <c r="D35" s="212"/>
      <c r="E35" s="212"/>
      <c r="F35" s="212"/>
      <c r="G35" s="212"/>
      <c r="H35" s="212"/>
      <c r="I35" s="212"/>
      <c r="J35" s="212"/>
      <c r="K35" s="212"/>
      <c r="L35" s="212"/>
      <c r="M35" s="212"/>
      <c r="N35" s="212"/>
      <c r="O35" s="212"/>
      <c r="P35" s="212"/>
      <c r="Q35" s="212"/>
      <c r="R35" s="212"/>
      <c r="S35" s="212"/>
      <c r="T35" s="212"/>
    </row>
    <row r="36" spans="2:28" ht="5" customHeight="1" x14ac:dyDescent="0.15"/>
    <row r="37" spans="2:28" ht="13.25" customHeight="1" x14ac:dyDescent="0.15">
      <c r="B37" s="201" t="s">
        <v>624</v>
      </c>
      <c r="C37" s="218"/>
      <c r="D37" s="218"/>
      <c r="E37" s="218"/>
      <c r="F37" s="218">
        <f>Restatements!C70</f>
        <v>105.60899999999999</v>
      </c>
      <c r="G37" s="218">
        <f>Restatements!D70</f>
        <v>120.261</v>
      </c>
      <c r="H37" s="218">
        <f>Restatements!E70</f>
        <v>147.24</v>
      </c>
      <c r="I37" s="218">
        <f>Restatements!F70</f>
        <v>136.244</v>
      </c>
      <c r="J37" s="218">
        <f>Restatements!G70</f>
        <v>140.5</v>
      </c>
      <c r="K37" s="218">
        <f>Restatements!H70</f>
        <v>166.68699999999998</v>
      </c>
      <c r="L37" s="218">
        <f>Restatements!I70</f>
        <v>226.249</v>
      </c>
      <c r="M37" s="218">
        <f>Restatements!J70</f>
        <v>241.35300000000001</v>
      </c>
      <c r="N37" s="218">
        <f>Restatements!K70</f>
        <v>228.71100000000001</v>
      </c>
      <c r="O37" s="218">
        <f>Restatements!L70</f>
        <v>204.11099999999999</v>
      </c>
      <c r="P37" s="218">
        <f>+Investments!P10</f>
        <v>219.47590666167008</v>
      </c>
      <c r="Q37" s="218">
        <f>+Investments!Q10</f>
        <v>230.44970199475361</v>
      </c>
      <c r="R37" s="218">
        <f>+Investments!R10</f>
        <v>241.97218709449129</v>
      </c>
      <c r="S37" s="218">
        <f>+Investments!S10</f>
        <v>254.07079644921583</v>
      </c>
      <c r="T37" s="218">
        <f>+Investments!T10</f>
        <v>266.77433627167665</v>
      </c>
      <c r="V37" s="215"/>
      <c r="AB37" s="215"/>
    </row>
    <row r="38" spans="2:28" ht="13.25" customHeight="1" x14ac:dyDescent="0.15">
      <c r="B38" s="201" t="s">
        <v>625</v>
      </c>
      <c r="C38" s="218"/>
      <c r="D38" s="218"/>
      <c r="E38" s="218"/>
      <c r="F38" s="218">
        <f>Restatements!C71</f>
        <v>-40.774999999999999</v>
      </c>
      <c r="G38" s="218">
        <f>Restatements!D71</f>
        <v>-47.673999999999999</v>
      </c>
      <c r="H38" s="218">
        <f>Restatements!E71</f>
        <v>-62.331000000000003</v>
      </c>
      <c r="I38" s="218">
        <f>Restatements!F71</f>
        <v>-57.286000000000001</v>
      </c>
      <c r="J38" s="218">
        <f>Restatements!G71</f>
        <v>-55.732999999999997</v>
      </c>
      <c r="K38" s="218">
        <f>Restatements!H71</f>
        <v>-65.484999999999999</v>
      </c>
      <c r="L38" s="218">
        <f>Restatements!I71</f>
        <v>-84.772999999999996</v>
      </c>
      <c r="M38" s="218">
        <f>Restatements!J71</f>
        <v>-104.20399999999999</v>
      </c>
      <c r="N38" s="218">
        <f>Restatements!K71</f>
        <v>-100.706</v>
      </c>
      <c r="O38" s="218">
        <f>Restatements!L71</f>
        <v>-99.52</v>
      </c>
      <c r="P38" s="218">
        <f>+Investments!P11</f>
        <v>-113.34779203355721</v>
      </c>
      <c r="Q38" s="218">
        <f>+Investments!Q11</f>
        <v>-119.01518163523507</v>
      </c>
      <c r="R38" s="218">
        <f>+Investments!R11</f>
        <v>-123.19818275375242</v>
      </c>
      <c r="S38" s="218">
        <f>+Investments!S11</f>
        <v>-129.35809189144004</v>
      </c>
      <c r="T38" s="218">
        <f>+Investments!T11</f>
        <v>-135.82599648601203</v>
      </c>
      <c r="V38" s="215"/>
      <c r="AB38" s="215"/>
    </row>
    <row r="39" spans="2:28" ht="13.25" customHeight="1" x14ac:dyDescent="0.15">
      <c r="B39" s="201" t="s">
        <v>626</v>
      </c>
      <c r="C39" s="218"/>
      <c r="D39" s="218"/>
      <c r="E39" s="218"/>
      <c r="F39" s="218">
        <f>Restatements!C72</f>
        <v>106.193</v>
      </c>
      <c r="G39" s="218">
        <f>Restatements!D72</f>
        <v>128.87</v>
      </c>
      <c r="H39" s="218">
        <f>Restatements!E72</f>
        <v>142.80199999999999</v>
      </c>
      <c r="I39" s="218">
        <f>Restatements!F72</f>
        <v>160.39599999999999</v>
      </c>
      <c r="J39" s="218">
        <f>Restatements!G72</f>
        <v>171.12700000000001</v>
      </c>
      <c r="K39" s="218">
        <f>Restatements!H72</f>
        <v>191.23400000000001</v>
      </c>
      <c r="L39" s="218">
        <f>Restatements!I72</f>
        <v>298.04899999999998</v>
      </c>
      <c r="M39" s="218">
        <f>Restatements!J72</f>
        <v>306.50299999999999</v>
      </c>
      <c r="N39" s="218">
        <f>Restatements!K72</f>
        <v>315.5</v>
      </c>
      <c r="O39" s="218">
        <f>Restatements!L72</f>
        <v>344.04300000000001</v>
      </c>
      <c r="P39" s="218">
        <f>+Investments!P12</f>
        <v>265.24130897327882</v>
      </c>
      <c r="Q39" s="218">
        <f>+Investments!Q12</f>
        <v>278.50337442194274</v>
      </c>
      <c r="R39" s="218">
        <f>+Investments!R12</f>
        <v>292.42854314303986</v>
      </c>
      <c r="S39" s="218">
        <f>+Investments!S12</f>
        <v>307.04997030019189</v>
      </c>
      <c r="T39" s="218">
        <f>+Investments!T12</f>
        <v>322.40246881520153</v>
      </c>
      <c r="V39" s="215"/>
      <c r="AB39" s="215"/>
    </row>
    <row r="40" spans="2:28" ht="13.25" customHeight="1" x14ac:dyDescent="0.15">
      <c r="B40" s="201" t="s">
        <v>715</v>
      </c>
      <c r="C40" s="218"/>
      <c r="D40" s="218"/>
      <c r="E40" s="218"/>
      <c r="F40" s="218">
        <f>Restatements!C73</f>
        <v>-20.808</v>
      </c>
      <c r="G40" s="218">
        <f>Restatements!D73</f>
        <v>-31.588000000000001</v>
      </c>
      <c r="H40" s="218">
        <f>Restatements!E73</f>
        <v>-31.803999999999998</v>
      </c>
      <c r="I40" s="218">
        <f>Restatements!F73</f>
        <v>-29.356999999999999</v>
      </c>
      <c r="J40" s="218">
        <f>Restatements!G73</f>
        <v>-34.14</v>
      </c>
      <c r="K40" s="218">
        <f>Restatements!H73</f>
        <v>-44.698999999999998</v>
      </c>
      <c r="L40" s="218">
        <f>Restatements!I73</f>
        <v>-75.817000000000007</v>
      </c>
      <c r="M40" s="218">
        <f>Restatements!J73</f>
        <v>-35.438000000000002</v>
      </c>
      <c r="N40" s="218">
        <f>Restatements!K73</f>
        <v>-65.271000000000001</v>
      </c>
      <c r="O40" s="218">
        <f>Restatements!L73</f>
        <v>-84.167000000000002</v>
      </c>
      <c r="P40" s="218">
        <f>+Investments!P13</f>
        <v>-60.614776536693945</v>
      </c>
      <c r="Q40" s="218">
        <f>+Investments!Q13</f>
        <v>-63.645515363528638</v>
      </c>
      <c r="R40" s="218">
        <f>+Investments!R13</f>
        <v>-66.827791131705069</v>
      </c>
      <c r="S40" s="218">
        <f>+Investments!S13</f>
        <v>-70.169180688290325</v>
      </c>
      <c r="T40" s="218">
        <f>+Investments!T13</f>
        <v>-73.677639722704839</v>
      </c>
      <c r="V40" s="215"/>
      <c r="AB40" s="215"/>
    </row>
    <row r="41" spans="2:28" ht="13.25" customHeight="1" x14ac:dyDescent="0.15">
      <c r="B41" s="201" t="s">
        <v>762</v>
      </c>
      <c r="C41" s="218"/>
      <c r="D41" s="218"/>
      <c r="E41" s="218"/>
      <c r="F41" s="218">
        <f>Restatements!C74</f>
        <v>18.149000000000001</v>
      </c>
      <c r="G41" s="218">
        <f>Restatements!D74</f>
        <v>21.588000000000001</v>
      </c>
      <c r="H41" s="218">
        <f>Restatements!E74</f>
        <v>20.271999999999998</v>
      </c>
      <c r="I41" s="218">
        <f>Restatements!F74</f>
        <v>15.907999999999998</v>
      </c>
      <c r="J41" s="218">
        <f>Restatements!G74</f>
        <v>24.512</v>
      </c>
      <c r="K41" s="218">
        <f>Restatements!H74</f>
        <v>23.013999999999996</v>
      </c>
      <c r="L41" s="218">
        <f>Restatements!I74</f>
        <v>-147.107</v>
      </c>
      <c r="M41" s="218">
        <f>Restatements!J74</f>
        <v>-194.851</v>
      </c>
      <c r="N41" s="218">
        <f>Restatements!K74</f>
        <v>-167.78300000000002</v>
      </c>
      <c r="O41" s="218">
        <f>Restatements!L74</f>
        <v>-167.96899999999999</v>
      </c>
      <c r="P41" s="218">
        <f>+Investments!P15</f>
        <v>-167.96899999999999</v>
      </c>
      <c r="Q41" s="218">
        <f>+Investments!Q15</f>
        <v>-167.96899999999999</v>
      </c>
      <c r="R41" s="218">
        <f>+Investments!R15</f>
        <v>-167.96899999999999</v>
      </c>
      <c r="S41" s="218">
        <f>+Investments!S15</f>
        <v>-167.96899999999999</v>
      </c>
      <c r="T41" s="218">
        <f>+Investments!T15</f>
        <v>-167.96899999999999</v>
      </c>
      <c r="V41" s="215"/>
      <c r="AB41" s="215"/>
    </row>
    <row r="42" spans="2:28" ht="13.25" customHeight="1" x14ac:dyDescent="0.15">
      <c r="B42" s="201" t="s">
        <v>763</v>
      </c>
      <c r="C42" s="218"/>
      <c r="D42" s="218"/>
      <c r="E42" s="218"/>
      <c r="F42" s="218">
        <f>Restatements!C76</f>
        <v>-35.021000000000001</v>
      </c>
      <c r="G42" s="218">
        <f>Restatements!D76</f>
        <v>-41.584000000000003</v>
      </c>
      <c r="H42" s="218">
        <f>Restatements!E76</f>
        <v>-32.531999999999996</v>
      </c>
      <c r="I42" s="218">
        <f>Restatements!F76</f>
        <v>-32.658999999999999</v>
      </c>
      <c r="J42" s="218">
        <f>Restatements!G76</f>
        <v>-36.262999999999998</v>
      </c>
      <c r="K42" s="218">
        <f>Restatements!H76</f>
        <v>-41.241999999999997</v>
      </c>
      <c r="L42" s="218">
        <f>Restatements!I76</f>
        <v>-40.917000000000002</v>
      </c>
      <c r="M42" s="218">
        <f>Restatements!J76</f>
        <v>-62.753</v>
      </c>
      <c r="N42" s="218">
        <f>Restatements!K76</f>
        <v>-60.014000000000003</v>
      </c>
      <c r="O42" s="218">
        <f>Restatements!L76</f>
        <v>-54.662999999999997</v>
      </c>
      <c r="P42" s="218">
        <f>+Investments!P16</f>
        <v>-54.662999999999997</v>
      </c>
      <c r="Q42" s="218">
        <f>+Investments!Q16</f>
        <v>-54.662999999999997</v>
      </c>
      <c r="R42" s="218">
        <f>+Investments!R16</f>
        <v>-54.662999999999997</v>
      </c>
      <c r="S42" s="218">
        <f>+Investments!S16</f>
        <v>-54.662999999999997</v>
      </c>
      <c r="T42" s="218">
        <f>+Investments!T16</f>
        <v>-54.662999999999997</v>
      </c>
      <c r="V42" s="215"/>
      <c r="AB42" s="215"/>
    </row>
    <row r="43" spans="2:28" ht="13.25" customHeight="1" x14ac:dyDescent="0.15">
      <c r="B43" s="219" t="s">
        <v>630</v>
      </c>
      <c r="C43" s="220"/>
      <c r="D43" s="220"/>
      <c r="E43" s="220"/>
      <c r="F43" s="220">
        <f t="shared" ref="F43" si="12">SUM(F37:F42)</f>
        <v>133.34699999999998</v>
      </c>
      <c r="G43" s="220">
        <f t="shared" ref="G43:N43" si="13">SUM(G37:G42)</f>
        <v>149.87299999999999</v>
      </c>
      <c r="H43" s="220">
        <f t="shared" si="13"/>
        <v>183.64699999999999</v>
      </c>
      <c r="I43" s="220">
        <f t="shared" si="13"/>
        <v>193.24599999999998</v>
      </c>
      <c r="J43" s="220">
        <f t="shared" si="13"/>
        <v>210.00300000000001</v>
      </c>
      <c r="K43" s="220">
        <f t="shared" si="13"/>
        <v>229.50899999999999</v>
      </c>
      <c r="L43" s="220">
        <f t="shared" si="13"/>
        <v>175.68399999999997</v>
      </c>
      <c r="M43" s="220">
        <f t="shared" si="13"/>
        <v>150.61000000000001</v>
      </c>
      <c r="N43" s="220">
        <f t="shared" si="13"/>
        <v>150.43699999999995</v>
      </c>
      <c r="O43" s="220">
        <f t="shared" ref="O43:T43" si="14">SUM(O37:O42)</f>
        <v>141.83499999999998</v>
      </c>
      <c r="P43" s="220">
        <f t="shared" si="14"/>
        <v>88.122647064697745</v>
      </c>
      <c r="Q43" s="220">
        <f t="shared" si="14"/>
        <v>103.66037941793265</v>
      </c>
      <c r="R43" s="220">
        <f t="shared" si="14"/>
        <v>121.7427563520737</v>
      </c>
      <c r="S43" s="220">
        <f t="shared" si="14"/>
        <v>138.96149416967734</v>
      </c>
      <c r="T43" s="220">
        <f t="shared" si="14"/>
        <v>157.04116887816127</v>
      </c>
      <c r="V43" s="215"/>
      <c r="AB43" s="215"/>
    </row>
    <row r="44" spans="2:28" ht="5" customHeight="1" x14ac:dyDescent="0.15">
      <c r="C44" s="218"/>
      <c r="D44" s="218"/>
      <c r="E44" s="218"/>
      <c r="F44" s="218"/>
      <c r="G44" s="218"/>
      <c r="H44" s="218"/>
      <c r="I44" s="218"/>
      <c r="J44" s="218"/>
      <c r="K44" s="218"/>
      <c r="L44" s="218"/>
      <c r="M44" s="218"/>
      <c r="N44" s="218"/>
      <c r="O44" s="218"/>
      <c r="P44" s="218"/>
      <c r="Q44" s="218"/>
      <c r="R44" s="218"/>
      <c r="S44" s="218"/>
      <c r="T44" s="218"/>
      <c r="V44" s="215"/>
      <c r="AB44" s="215"/>
    </row>
    <row r="45" spans="2:28" ht="13.25" customHeight="1" x14ac:dyDescent="0.15">
      <c r="B45" s="201" t="s">
        <v>764</v>
      </c>
      <c r="C45" s="218"/>
      <c r="D45" s="218"/>
      <c r="E45" s="218"/>
      <c r="F45" s="218">
        <f>Restatements!C79</f>
        <v>74.492999999999995</v>
      </c>
      <c r="G45" s="218">
        <f>Restatements!D79</f>
        <v>92.134</v>
      </c>
      <c r="H45" s="218">
        <f>Restatements!E79</f>
        <v>92.331999999999994</v>
      </c>
      <c r="I45" s="218">
        <f>Restatements!F79</f>
        <v>94.980999999999995</v>
      </c>
      <c r="J45" s="218">
        <f>Restatements!G79</f>
        <v>128.38499999999999</v>
      </c>
      <c r="K45" s="218">
        <f>Restatements!H79</f>
        <v>140.49700000000001</v>
      </c>
      <c r="L45" s="218">
        <f>Restatements!I79</f>
        <v>276.197</v>
      </c>
      <c r="M45" s="218">
        <f>Restatements!J79</f>
        <v>268.44799999999998</v>
      </c>
      <c r="N45" s="218">
        <f>Restatements!K79</f>
        <v>256.286</v>
      </c>
      <c r="O45" s="218">
        <f>Restatements!L79</f>
        <v>271.35899999999998</v>
      </c>
      <c r="P45" s="218">
        <f>+Investments!P24</f>
        <v>297.53806368459982</v>
      </c>
      <c r="Q45" s="218">
        <f>+Investments!Q24</f>
        <v>290.61706541620674</v>
      </c>
      <c r="R45" s="218">
        <f>+Investments!R24</f>
        <v>274.01201689390223</v>
      </c>
      <c r="S45" s="218">
        <f>+Investments!S24</f>
        <v>247.23871560499072</v>
      </c>
      <c r="T45" s="218">
        <f>+Investments!T24</f>
        <v>209.78874891114191</v>
      </c>
      <c r="V45" s="215"/>
      <c r="AB45" s="215"/>
    </row>
    <row r="46" spans="2:28" ht="13.25" customHeight="1" x14ac:dyDescent="0.15">
      <c r="B46" s="201" t="s">
        <v>765</v>
      </c>
      <c r="C46" s="218"/>
      <c r="D46" s="218"/>
      <c r="E46" s="218"/>
      <c r="F46" s="218">
        <f>Restatements!C80+Restatements!C81</f>
        <v>117.90600000000001</v>
      </c>
      <c r="G46" s="218">
        <f>Restatements!D80+Restatements!D81</f>
        <v>357.08600000000001</v>
      </c>
      <c r="H46" s="218">
        <f>Restatements!E80+Restatements!E81</f>
        <v>344.35</v>
      </c>
      <c r="I46" s="218">
        <f>Restatements!F80+Restatements!F81</f>
        <v>373.084</v>
      </c>
      <c r="J46" s="218">
        <f>Restatements!G80+Restatements!G81</f>
        <v>370.279</v>
      </c>
      <c r="K46" s="218">
        <f>Restatements!H80+Restatements!H81</f>
        <v>356.73699999999997</v>
      </c>
      <c r="L46" s="218">
        <f>Restatements!I80+Restatements!I81</f>
        <v>1943.3690000000001</v>
      </c>
      <c r="M46" s="218">
        <f>Restatements!J80+Restatements!J81</f>
        <v>1995.0630000000001</v>
      </c>
      <c r="N46" s="218">
        <f>Restatements!K80+Restatements!K81</f>
        <v>1924.97</v>
      </c>
      <c r="O46" s="218">
        <f>Restatements!L80+Restatements!L81</f>
        <v>2028.4859999999999</v>
      </c>
      <c r="P46" s="218">
        <f>+Investments!P37</f>
        <v>2009.0480994195204</v>
      </c>
      <c r="Q46" s="218">
        <f>+Investments!Q37</f>
        <v>1993.1172743762979</v>
      </c>
      <c r="R46" s="218">
        <f>+Investments!R37</f>
        <v>1980.7028947644155</v>
      </c>
      <c r="S46" s="218">
        <f>+Investments!S37</f>
        <v>1971.8209500846044</v>
      </c>
      <c r="T46" s="218">
        <f>+Investments!T37</f>
        <v>1966.4941524736582</v>
      </c>
      <c r="V46" s="215"/>
      <c r="AB46" s="215"/>
    </row>
    <row r="47" spans="2:28" ht="13.25" customHeight="1" x14ac:dyDescent="0.15">
      <c r="B47" s="219" t="s">
        <v>633</v>
      </c>
      <c r="C47" s="220"/>
      <c r="D47" s="220"/>
      <c r="E47" s="220"/>
      <c r="F47" s="220">
        <f t="shared" ref="F47" si="15">SUM(F45:F46)</f>
        <v>192.399</v>
      </c>
      <c r="G47" s="220">
        <f t="shared" ref="G47" si="16">SUM(G45:G46)</f>
        <v>449.22</v>
      </c>
      <c r="H47" s="220">
        <f t="shared" ref="H47" si="17">SUM(H45:H46)</f>
        <v>436.68200000000002</v>
      </c>
      <c r="I47" s="220">
        <f t="shared" ref="I47" si="18">SUM(I45:I46)</f>
        <v>468.065</v>
      </c>
      <c r="J47" s="220">
        <f t="shared" ref="J47" si="19">SUM(J45:J46)</f>
        <v>498.66399999999999</v>
      </c>
      <c r="K47" s="220">
        <f t="shared" ref="K47" si="20">SUM(K45:K46)</f>
        <v>497.23399999999998</v>
      </c>
      <c r="L47" s="220">
        <f t="shared" ref="L47" si="21">SUM(L45:L46)</f>
        <v>2219.5660000000003</v>
      </c>
      <c r="M47" s="220">
        <f t="shared" ref="M47" si="22">SUM(M45:M46)</f>
        <v>2263.511</v>
      </c>
      <c r="N47" s="220">
        <f t="shared" ref="N47" si="23">SUM(N45:N46)</f>
        <v>2181.2559999999999</v>
      </c>
      <c r="O47" s="220">
        <f t="shared" ref="O47" si="24">SUM(O45:O46)</f>
        <v>2299.8449999999998</v>
      </c>
      <c r="P47" s="220">
        <f>SUM(P45:P46)</f>
        <v>2306.5861631041203</v>
      </c>
      <c r="Q47" s="220">
        <f>SUM(Q45:Q46)</f>
        <v>2283.7343397925047</v>
      </c>
      <c r="R47" s="220">
        <f>SUM(R45:R46)</f>
        <v>2254.7149116583178</v>
      </c>
      <c r="S47" s="220">
        <f>SUM(S45:S46)</f>
        <v>2219.059665689595</v>
      </c>
      <c r="T47" s="220">
        <f>SUM(T45:T46)</f>
        <v>2176.2829013848</v>
      </c>
      <c r="V47" s="215"/>
      <c r="AB47" s="215"/>
    </row>
    <row r="48" spans="2:28" ht="5" customHeight="1" x14ac:dyDescent="0.15">
      <c r="C48" s="218"/>
      <c r="D48" s="218"/>
      <c r="E48" s="218"/>
      <c r="F48" s="218"/>
      <c r="G48" s="218"/>
      <c r="H48" s="218"/>
      <c r="I48" s="218"/>
      <c r="J48" s="218"/>
      <c r="K48" s="218"/>
      <c r="L48" s="218"/>
      <c r="M48" s="218"/>
      <c r="N48" s="218"/>
      <c r="O48" s="218"/>
      <c r="P48" s="218"/>
      <c r="Q48" s="218"/>
      <c r="R48" s="218"/>
      <c r="S48" s="218"/>
      <c r="T48" s="218"/>
      <c r="V48" s="215"/>
      <c r="AB48" s="215"/>
    </row>
    <row r="49" spans="2:28" ht="13.25" customHeight="1" x14ac:dyDescent="0.15">
      <c r="B49" s="222" t="s">
        <v>634</v>
      </c>
      <c r="C49" s="223"/>
      <c r="D49" s="223"/>
      <c r="E49" s="223"/>
      <c r="F49" s="223">
        <f t="shared" ref="F49" si="25">+F47+F43</f>
        <v>325.74599999999998</v>
      </c>
      <c r="G49" s="223">
        <f t="shared" ref="G49:N49" si="26">+G47+G43</f>
        <v>599.09300000000007</v>
      </c>
      <c r="H49" s="223">
        <f t="shared" si="26"/>
        <v>620.32899999999995</v>
      </c>
      <c r="I49" s="223">
        <f t="shared" si="26"/>
        <v>661.31099999999992</v>
      </c>
      <c r="J49" s="223">
        <f t="shared" si="26"/>
        <v>708.66700000000003</v>
      </c>
      <c r="K49" s="223">
        <f t="shared" si="26"/>
        <v>726.74299999999994</v>
      </c>
      <c r="L49" s="223">
        <f t="shared" si="26"/>
        <v>2395.25</v>
      </c>
      <c r="M49" s="223">
        <f t="shared" si="26"/>
        <v>2414.1210000000001</v>
      </c>
      <c r="N49" s="223">
        <f t="shared" si="26"/>
        <v>2331.6929999999998</v>
      </c>
      <c r="O49" s="223">
        <f t="shared" ref="O49:T49" si="27">+O47+O43</f>
        <v>2441.6799999999998</v>
      </c>
      <c r="P49" s="223">
        <f t="shared" si="27"/>
        <v>2394.7088101688182</v>
      </c>
      <c r="Q49" s="223">
        <f t="shared" si="27"/>
        <v>2387.3947192104374</v>
      </c>
      <c r="R49" s="223">
        <f t="shared" si="27"/>
        <v>2376.4576680103914</v>
      </c>
      <c r="S49" s="223">
        <f t="shared" si="27"/>
        <v>2358.0211598592723</v>
      </c>
      <c r="T49" s="223">
        <f t="shared" si="27"/>
        <v>2333.3240702629614</v>
      </c>
      <c r="V49" s="215"/>
      <c r="AB49" s="215"/>
    </row>
    <row r="50" spans="2:28" ht="5" customHeight="1" x14ac:dyDescent="0.15">
      <c r="C50" s="218"/>
      <c r="D50" s="218"/>
      <c r="E50" s="218"/>
      <c r="F50" s="218"/>
      <c r="G50" s="218"/>
      <c r="H50" s="218"/>
      <c r="I50" s="218"/>
      <c r="J50" s="218"/>
      <c r="K50" s="218"/>
      <c r="L50" s="218"/>
      <c r="M50" s="218"/>
      <c r="N50" s="218"/>
      <c r="O50" s="218"/>
      <c r="P50" s="218"/>
      <c r="Q50" s="218"/>
      <c r="R50" s="218"/>
      <c r="S50" s="218"/>
      <c r="T50" s="218"/>
      <c r="V50" s="215"/>
      <c r="AB50" s="215"/>
    </row>
    <row r="51" spans="2:28" ht="13.25" customHeight="1" x14ac:dyDescent="0.15">
      <c r="B51" s="201" t="s">
        <v>752</v>
      </c>
      <c r="C51" s="218"/>
      <c r="D51" s="218"/>
      <c r="E51" s="218"/>
      <c r="F51" s="218">
        <f>Restatements!C86</f>
        <v>0.219</v>
      </c>
      <c r="G51" s="218">
        <f>Restatements!D86</f>
        <v>2.7E-2</v>
      </c>
      <c r="H51" s="218">
        <f>Restatements!E86</f>
        <v>2.7E-2</v>
      </c>
      <c r="I51" s="218">
        <f>Restatements!F86</f>
        <v>2.7E-2</v>
      </c>
      <c r="J51" s="218">
        <f>Restatements!G86</f>
        <v>2.7E-2</v>
      </c>
      <c r="K51" s="218">
        <f>Restatements!H86</f>
        <v>2.5999999999999999E-2</v>
      </c>
      <c r="L51" s="218">
        <f>Restatements!I86</f>
        <v>10.742000000000001</v>
      </c>
      <c r="M51" s="218">
        <f>Restatements!J86</f>
        <v>32.182000000000002</v>
      </c>
      <c r="N51" s="218">
        <f>Restatements!K86</f>
        <v>12.917</v>
      </c>
      <c r="O51" s="218">
        <f>Restatements!L86</f>
        <v>3.589</v>
      </c>
      <c r="P51" s="218">
        <f>+Others!J10</f>
        <v>3.589</v>
      </c>
      <c r="Q51" s="218">
        <f>+Others!K10</f>
        <v>3.589</v>
      </c>
      <c r="R51" s="218">
        <f>+Others!L10</f>
        <v>3.589</v>
      </c>
      <c r="S51" s="218">
        <f>+Others!M10</f>
        <v>3.589</v>
      </c>
      <c r="T51" s="218">
        <f>+Others!N10</f>
        <v>3.589</v>
      </c>
      <c r="V51" s="215"/>
      <c r="AB51" s="215"/>
    </row>
    <row r="52" spans="2:28" ht="13.25" customHeight="1" x14ac:dyDescent="0.15">
      <c r="B52" s="201" t="s">
        <v>753</v>
      </c>
      <c r="C52" s="218"/>
      <c r="D52" s="218"/>
      <c r="E52" s="218"/>
      <c r="F52" s="218">
        <f>Restatements!C87</f>
        <v>-1.238</v>
      </c>
      <c r="G52" s="218">
        <f>Restatements!D87</f>
        <v>-6.4770000000000003</v>
      </c>
      <c r="H52" s="218">
        <f>Restatements!E87</f>
        <v>-28.114999999999998</v>
      </c>
      <c r="I52" s="218">
        <f>Restatements!F87</f>
        <v>-24.963000000000001</v>
      </c>
      <c r="J52" s="218">
        <f>Restatements!G87</f>
        <v>-24.585999999999999</v>
      </c>
      <c r="K52" s="218">
        <f>Restatements!H87</f>
        <v>-48.155000000000001</v>
      </c>
      <c r="L52" s="218">
        <f>Restatements!I87</f>
        <v>-43.982999999999997</v>
      </c>
      <c r="M52" s="218">
        <f>Restatements!J87</f>
        <v>-22.99</v>
      </c>
      <c r="N52" s="218">
        <f>Restatements!K87</f>
        <v>-10.739000000000001</v>
      </c>
      <c r="O52" s="218">
        <f>Restatements!L87</f>
        <v>-9.5820000000000007</v>
      </c>
      <c r="P52" s="218">
        <f>+Others!J11</f>
        <v>2.7010000000000001</v>
      </c>
      <c r="Q52" s="218">
        <f>+Others!K11</f>
        <v>2.7010000000000001</v>
      </c>
      <c r="R52" s="218">
        <f>+Others!L11</f>
        <v>2.7010000000000001</v>
      </c>
      <c r="S52" s="218">
        <f>+Others!M11</f>
        <v>2.7010000000000001</v>
      </c>
      <c r="T52" s="218">
        <f>+Others!N11</f>
        <v>2.7010000000000001</v>
      </c>
      <c r="V52" s="215"/>
      <c r="AB52" s="215"/>
    </row>
    <row r="53" spans="2:28" ht="13.25" customHeight="1" x14ac:dyDescent="0.15">
      <c r="B53" s="201" t="s">
        <v>766</v>
      </c>
      <c r="C53" s="218"/>
      <c r="D53" s="218"/>
      <c r="E53" s="218"/>
      <c r="F53" s="218">
        <f>Restatements!C88</f>
        <v>0.75800000000000001</v>
      </c>
      <c r="G53" s="218">
        <f>Restatements!D88</f>
        <v>0.999</v>
      </c>
      <c r="H53" s="218">
        <f>Restatements!E88</f>
        <v>5.6020000000000003</v>
      </c>
      <c r="I53" s="218">
        <f>Restatements!F88</f>
        <v>2.0299999999999998</v>
      </c>
      <c r="J53" s="218">
        <f>Restatements!G88</f>
        <v>2.4529999999999998</v>
      </c>
      <c r="K53" s="218">
        <f>Restatements!H88</f>
        <v>2.1890000000000001</v>
      </c>
      <c r="L53" s="218">
        <f>Restatements!I88</f>
        <v>4.3230000000000004</v>
      </c>
      <c r="M53" s="218">
        <f>Restatements!J88</f>
        <v>48.99</v>
      </c>
      <c r="N53" s="218">
        <f>Restatements!K88</f>
        <v>2.7610000000000001</v>
      </c>
      <c r="O53" s="218">
        <f>Restatements!L88</f>
        <v>2.7010000000000001</v>
      </c>
      <c r="P53" s="218">
        <v>0</v>
      </c>
      <c r="Q53" s="218">
        <v>0</v>
      </c>
      <c r="R53" s="218">
        <v>0</v>
      </c>
      <c r="S53" s="218">
        <v>0</v>
      </c>
      <c r="T53" s="218">
        <v>0</v>
      </c>
      <c r="V53" s="215"/>
      <c r="AB53" s="215"/>
    </row>
    <row r="54" spans="2:28" ht="13.25" customHeight="1" x14ac:dyDescent="0.15">
      <c r="B54" s="219" t="s">
        <v>767</v>
      </c>
      <c r="C54" s="220"/>
      <c r="D54" s="220"/>
      <c r="E54" s="220"/>
      <c r="F54" s="220">
        <f t="shared" ref="F54" si="28">SUM(F51:F53)</f>
        <v>-0.2609999999999999</v>
      </c>
      <c r="G54" s="220">
        <f t="shared" ref="G54:N54" si="29">SUM(G51:G53)</f>
        <v>-5.4510000000000005</v>
      </c>
      <c r="H54" s="220">
        <f t="shared" si="29"/>
        <v>-22.485999999999997</v>
      </c>
      <c r="I54" s="220">
        <f t="shared" si="29"/>
        <v>-22.905999999999999</v>
      </c>
      <c r="J54" s="220">
        <f t="shared" si="29"/>
        <v>-22.105999999999998</v>
      </c>
      <c r="K54" s="220">
        <f t="shared" si="29"/>
        <v>-45.94</v>
      </c>
      <c r="L54" s="220">
        <f t="shared" si="29"/>
        <v>-28.917999999999999</v>
      </c>
      <c r="M54" s="220">
        <f t="shared" si="29"/>
        <v>58.182000000000002</v>
      </c>
      <c r="N54" s="220">
        <f t="shared" si="29"/>
        <v>4.9389999999999992</v>
      </c>
      <c r="O54" s="220">
        <f t="shared" ref="O54:T54" si="30">SUM(O51:O53)</f>
        <v>-3.2920000000000003</v>
      </c>
      <c r="P54" s="220">
        <f t="shared" si="30"/>
        <v>6.29</v>
      </c>
      <c r="Q54" s="220">
        <f t="shared" si="30"/>
        <v>6.29</v>
      </c>
      <c r="R54" s="220">
        <f t="shared" si="30"/>
        <v>6.29</v>
      </c>
      <c r="S54" s="220">
        <f t="shared" si="30"/>
        <v>6.29</v>
      </c>
      <c r="T54" s="220">
        <f t="shared" si="30"/>
        <v>6.29</v>
      </c>
      <c r="V54" s="215"/>
      <c r="AB54" s="215"/>
    </row>
    <row r="55" spans="2:28" ht="11" x14ac:dyDescent="0.15">
      <c r="C55" s="218"/>
      <c r="D55" s="218"/>
      <c r="E55" s="218"/>
      <c r="F55" s="218"/>
      <c r="G55" s="218"/>
      <c r="H55" s="218"/>
      <c r="I55" s="218"/>
      <c r="J55" s="218"/>
      <c r="K55" s="218"/>
      <c r="L55" s="218"/>
      <c r="M55" s="218"/>
      <c r="N55" s="218"/>
      <c r="O55" s="218"/>
      <c r="P55" s="218"/>
      <c r="Q55" s="218"/>
      <c r="R55" s="218"/>
      <c r="S55" s="218"/>
      <c r="T55" s="218"/>
      <c r="V55" s="215"/>
      <c r="AB55" s="215"/>
    </row>
    <row r="56" spans="2:28" ht="13.25" customHeight="1" x14ac:dyDescent="0.15">
      <c r="B56" s="222" t="s">
        <v>639</v>
      </c>
      <c r="C56" s="223"/>
      <c r="D56" s="223"/>
      <c r="E56" s="223"/>
      <c r="F56" s="223">
        <f t="shared" ref="F56" si="31">+F54+F49</f>
        <v>325.48499999999996</v>
      </c>
      <c r="G56" s="223">
        <f t="shared" ref="G56:N56" si="32">+G54+G49</f>
        <v>593.64200000000005</v>
      </c>
      <c r="H56" s="223">
        <f t="shared" si="32"/>
        <v>597.84299999999996</v>
      </c>
      <c r="I56" s="223">
        <f t="shared" si="32"/>
        <v>638.40499999999997</v>
      </c>
      <c r="J56" s="223">
        <f t="shared" si="32"/>
        <v>686.56100000000004</v>
      </c>
      <c r="K56" s="223">
        <f t="shared" si="32"/>
        <v>680.80299999999988</v>
      </c>
      <c r="L56" s="223">
        <f t="shared" si="32"/>
        <v>2366.3319999999999</v>
      </c>
      <c r="M56" s="223">
        <f t="shared" si="32"/>
        <v>2472.3029999999999</v>
      </c>
      <c r="N56" s="223">
        <f t="shared" si="32"/>
        <v>2336.6319999999996</v>
      </c>
      <c r="O56" s="223">
        <f>+O54+O49</f>
        <v>2438.3879999999999</v>
      </c>
      <c r="P56" s="223">
        <f t="shared" ref="P56:T56" si="33">+P54+P49</f>
        <v>2400.9988101688182</v>
      </c>
      <c r="Q56" s="223">
        <f t="shared" si="33"/>
        <v>2393.6847192104374</v>
      </c>
      <c r="R56" s="223">
        <f t="shared" si="33"/>
        <v>2382.7476680103914</v>
      </c>
      <c r="S56" s="223">
        <f t="shared" si="33"/>
        <v>2364.3111598592723</v>
      </c>
      <c r="T56" s="223">
        <f t="shared" si="33"/>
        <v>2339.6140702629614</v>
      </c>
      <c r="V56" s="215"/>
      <c r="AB56" s="215"/>
    </row>
    <row r="57" spans="2:28" ht="13.25" customHeight="1" x14ac:dyDescent="0.15">
      <c r="C57" s="218"/>
      <c r="D57" s="218"/>
      <c r="E57" s="218"/>
      <c r="F57" s="218"/>
      <c r="G57" s="218"/>
      <c r="H57" s="218"/>
      <c r="I57" s="218"/>
      <c r="J57" s="218"/>
      <c r="K57" s="218"/>
      <c r="L57" s="218"/>
      <c r="M57" s="218"/>
      <c r="N57" s="218"/>
      <c r="O57" s="218"/>
      <c r="P57" s="218"/>
      <c r="Q57" s="218"/>
      <c r="R57" s="218"/>
      <c r="S57" s="218"/>
      <c r="T57" s="218"/>
      <c r="V57" s="215"/>
      <c r="AB57" s="215"/>
    </row>
    <row r="58" spans="2:28" ht="13.25" customHeight="1" x14ac:dyDescent="0.15">
      <c r="B58" s="201" t="s">
        <v>640</v>
      </c>
      <c r="C58" s="218"/>
      <c r="D58" s="218"/>
      <c r="E58" s="218"/>
      <c r="F58" s="218">
        <f>Restatements!C93</f>
        <v>2.2999999999999998</v>
      </c>
      <c r="G58" s="218">
        <f>Restatements!D93</f>
        <v>26.512</v>
      </c>
      <c r="H58" s="218">
        <f>Restatements!E93</f>
        <v>23.91</v>
      </c>
      <c r="I58" s="218">
        <f>Restatements!F93</f>
        <v>20.600999999999999</v>
      </c>
      <c r="J58" s="218">
        <f>Restatements!G93</f>
        <v>4.8120000000000003</v>
      </c>
      <c r="K58" s="218">
        <f>Restatements!H93</f>
        <v>4.2089999999999996</v>
      </c>
      <c r="L58" s="218">
        <f>Restatements!I93</f>
        <v>100.411</v>
      </c>
      <c r="M58" s="218">
        <f>Restatements!J93</f>
        <v>120.02</v>
      </c>
      <c r="N58" s="218">
        <f>Restatements!K93</f>
        <v>109.649</v>
      </c>
      <c r="O58" s="218">
        <f>Restatements!L93</f>
        <v>47.783999999999999</v>
      </c>
      <c r="P58" s="218">
        <f>+Financing!J24</f>
        <v>32.784277473212313</v>
      </c>
      <c r="Q58" s="218">
        <f>+Financing!K24</f>
        <v>34.423491346872929</v>
      </c>
      <c r="R58" s="218">
        <f>+Financing!L24</f>
        <v>36.144665914216581</v>
      </c>
      <c r="S58" s="218">
        <f>+Financing!M24</f>
        <v>37.951899209927412</v>
      </c>
      <c r="T58" s="218">
        <f>+Financing!N24</f>
        <v>39.849494170423782</v>
      </c>
      <c r="V58" s="215"/>
      <c r="AB58" s="215"/>
    </row>
    <row r="59" spans="2:28" ht="13.25" customHeight="1" x14ac:dyDescent="0.15">
      <c r="B59" s="201" t="s">
        <v>768</v>
      </c>
      <c r="C59" s="218"/>
      <c r="D59" s="218"/>
      <c r="E59" s="218"/>
      <c r="F59" s="199">
        <v>0</v>
      </c>
      <c r="G59" s="199">
        <v>0</v>
      </c>
      <c r="H59" s="199">
        <v>0</v>
      </c>
      <c r="I59" s="199">
        <v>0</v>
      </c>
      <c r="J59" s="199">
        <v>0</v>
      </c>
      <c r="K59" s="199">
        <v>0</v>
      </c>
      <c r="L59" s="199">
        <v>0</v>
      </c>
      <c r="M59" s="199">
        <v>0</v>
      </c>
      <c r="N59" s="199">
        <v>0</v>
      </c>
      <c r="O59" s="199">
        <v>0</v>
      </c>
      <c r="P59" s="199">
        <v>0</v>
      </c>
      <c r="Q59" s="218">
        <v>0</v>
      </c>
      <c r="R59" s="218">
        <v>0</v>
      </c>
      <c r="S59" s="218">
        <v>0</v>
      </c>
      <c r="T59" s="218">
        <v>0</v>
      </c>
      <c r="V59" s="215"/>
      <c r="AB59" s="215"/>
    </row>
    <row r="60" spans="2:28" ht="13.25" customHeight="1" x14ac:dyDescent="0.15">
      <c r="B60" s="201" t="s">
        <v>743</v>
      </c>
      <c r="C60" s="218"/>
      <c r="D60" s="218"/>
      <c r="E60" s="218"/>
      <c r="F60" s="218">
        <f>Restatements!C94</f>
        <v>0</v>
      </c>
      <c r="G60" s="218">
        <f>Restatements!D94</f>
        <v>23.888000000000002</v>
      </c>
      <c r="H60" s="218">
        <f>Restatements!E94</f>
        <v>0.10199999999999999</v>
      </c>
      <c r="I60" s="218">
        <f>Restatements!F94</f>
        <v>8.1000000000000003E-2</v>
      </c>
      <c r="J60" s="218">
        <f>Restatements!G94</f>
        <v>24.466000000000001</v>
      </c>
      <c r="K60" s="218">
        <f>Restatements!H94</f>
        <v>30.451000000000001</v>
      </c>
      <c r="L60" s="218">
        <f>Restatements!I94</f>
        <v>1294.7470000000001</v>
      </c>
      <c r="M60" s="218">
        <f>Restatements!J94</f>
        <v>1231.9649999999999</v>
      </c>
      <c r="N60" s="218">
        <f>Restatements!K94</f>
        <v>1083.0050000000001</v>
      </c>
      <c r="O60" s="218">
        <f>Restatements!L94</f>
        <v>966.78099999999995</v>
      </c>
      <c r="P60" s="218">
        <f>+Financing!J25</f>
        <v>966.78099999999995</v>
      </c>
      <c r="Q60" s="218">
        <f>+Financing!K25</f>
        <v>966.78099999999995</v>
      </c>
      <c r="R60" s="218">
        <f>+Financing!L25</f>
        <v>966.78099999999995</v>
      </c>
      <c r="S60" s="218">
        <f>+Financing!M25</f>
        <v>966.78099999999995</v>
      </c>
      <c r="T60" s="218">
        <f>+Financing!N25</f>
        <v>966.78099999999995</v>
      </c>
      <c r="V60" s="215"/>
      <c r="AB60" s="215"/>
    </row>
    <row r="61" spans="2:28" ht="13.25" customHeight="1" x14ac:dyDescent="0.2">
      <c r="B61" s="213" t="s">
        <v>642</v>
      </c>
      <c r="C61" s="214"/>
      <c r="D61" s="214"/>
      <c r="E61" s="214"/>
      <c r="F61" s="214">
        <f t="shared" ref="F61" si="34">SUM(F58:F60)</f>
        <v>2.2999999999999998</v>
      </c>
      <c r="G61" s="214">
        <f t="shared" ref="G61:N61" si="35">SUM(G58:G60)</f>
        <v>50.400000000000006</v>
      </c>
      <c r="H61" s="214">
        <f t="shared" si="35"/>
        <v>24.012</v>
      </c>
      <c r="I61" s="214">
        <f t="shared" si="35"/>
        <v>20.681999999999999</v>
      </c>
      <c r="J61" s="214">
        <f t="shared" si="35"/>
        <v>29.278000000000002</v>
      </c>
      <c r="K61" s="214">
        <f t="shared" si="35"/>
        <v>34.659999999999997</v>
      </c>
      <c r="L61" s="214">
        <f t="shared" si="35"/>
        <v>1395.1580000000001</v>
      </c>
      <c r="M61" s="214">
        <f t="shared" si="35"/>
        <v>1351.9849999999999</v>
      </c>
      <c r="N61" s="214">
        <f t="shared" si="35"/>
        <v>1192.654</v>
      </c>
      <c r="O61" s="214">
        <f>SUM(O58:O60)</f>
        <v>1014.5649999999999</v>
      </c>
      <c r="P61" s="214">
        <f t="shared" ref="P61:T61" si="36">SUM(P58:P60)</f>
        <v>999.56527747321229</v>
      </c>
      <c r="Q61" s="214">
        <f t="shared" si="36"/>
        <v>1001.2044913468728</v>
      </c>
      <c r="R61" s="214">
        <f t="shared" si="36"/>
        <v>1002.9256659142166</v>
      </c>
      <c r="S61" s="214">
        <f t="shared" si="36"/>
        <v>1004.7328992099274</v>
      </c>
      <c r="T61" s="214">
        <f t="shared" si="36"/>
        <v>1006.6304941704237</v>
      </c>
      <c r="U61" s="199"/>
      <c r="AB61" s="215"/>
    </row>
    <row r="62" spans="2:28" ht="13.25" customHeight="1" x14ac:dyDescent="0.2">
      <c r="B62" s="201" t="s">
        <v>769</v>
      </c>
      <c r="C62" s="218"/>
      <c r="D62" s="218"/>
      <c r="E62" s="218"/>
      <c r="F62" s="218">
        <f>-Restatements!C96</f>
        <v>-270.35700000000003</v>
      </c>
      <c r="G62" s="218">
        <f>-Restatements!D96</f>
        <v>-130.46799999999999</v>
      </c>
      <c r="H62" s="218">
        <f>-Restatements!E96</f>
        <v>-173.31399999999999</v>
      </c>
      <c r="I62" s="218">
        <f>-Restatements!F96</f>
        <v>-96.525000000000006</v>
      </c>
      <c r="J62" s="218">
        <f>-Restatements!G96</f>
        <v>-202.14</v>
      </c>
      <c r="K62" s="218">
        <f>-Restatements!H96</f>
        <v>-340.00700000000001</v>
      </c>
      <c r="L62" s="218">
        <f>-Restatements!I96</f>
        <v>-403.02</v>
      </c>
      <c r="M62" s="218">
        <f>-Restatements!J96</f>
        <v>-413.21800000000002</v>
      </c>
      <c r="N62" s="218">
        <f>-Restatements!K96</f>
        <v>-403.38900000000001</v>
      </c>
      <c r="O62" s="218">
        <f>-Restatements!L96</f>
        <v>-393.26799999999997</v>
      </c>
      <c r="P62" s="218">
        <f>-Financing!J35</f>
        <v>-577.97092221299386</v>
      </c>
      <c r="Q62" s="218">
        <f>-Financing!K35</f>
        <v>-742.96309331246539</v>
      </c>
      <c r="R62" s="218">
        <f>-Financing!L35</f>
        <v>-950.5228753003845</v>
      </c>
      <c r="S62" s="218">
        <f>-Financing!M35</f>
        <v>-1174.1565849381677</v>
      </c>
      <c r="T62" s="218">
        <f>-Financing!N35</f>
        <v>-1409.8260734116325</v>
      </c>
      <c r="U62" s="199"/>
      <c r="AB62" s="215"/>
    </row>
    <row r="63" spans="2:28" ht="13.25" customHeight="1" x14ac:dyDescent="0.2">
      <c r="B63" s="219" t="s">
        <v>770</v>
      </c>
      <c r="C63" s="220"/>
      <c r="D63" s="220"/>
      <c r="E63" s="220"/>
      <c r="F63" s="220">
        <f t="shared" ref="F63" si="37">+SUM(F61:F62)</f>
        <v>-268.05700000000002</v>
      </c>
      <c r="G63" s="220">
        <f t="shared" ref="G63:N63" si="38">+SUM(G61:G62)</f>
        <v>-80.067999999999984</v>
      </c>
      <c r="H63" s="220">
        <f t="shared" si="38"/>
        <v>-149.30199999999999</v>
      </c>
      <c r="I63" s="220">
        <f t="shared" si="38"/>
        <v>-75.843000000000004</v>
      </c>
      <c r="J63" s="220">
        <f t="shared" si="38"/>
        <v>-172.86199999999999</v>
      </c>
      <c r="K63" s="220">
        <f>+SUM(K61:K62)</f>
        <v>-305.34699999999998</v>
      </c>
      <c r="L63" s="220">
        <f t="shared" si="38"/>
        <v>992.13800000000015</v>
      </c>
      <c r="M63" s="220">
        <f t="shared" si="38"/>
        <v>938.76699999999983</v>
      </c>
      <c r="N63" s="220">
        <f t="shared" si="38"/>
        <v>789.26499999999999</v>
      </c>
      <c r="O63" s="220">
        <f t="shared" ref="O63:T63" si="39">+SUM(O61:O62)</f>
        <v>621.29700000000003</v>
      </c>
      <c r="P63" s="220">
        <f t="shared" si="39"/>
        <v>421.59435526021844</v>
      </c>
      <c r="Q63" s="220">
        <f t="shared" si="39"/>
        <v>258.24139803440744</v>
      </c>
      <c r="R63" s="220">
        <f t="shared" si="39"/>
        <v>52.402790613832053</v>
      </c>
      <c r="S63" s="220">
        <f t="shared" si="39"/>
        <v>-169.42368572824034</v>
      </c>
      <c r="T63" s="220">
        <f t="shared" si="39"/>
        <v>-403.19557924120875</v>
      </c>
      <c r="U63" s="199"/>
      <c r="AB63" s="215"/>
    </row>
    <row r="64" spans="2:28" ht="5" customHeight="1" x14ac:dyDescent="0.2">
      <c r="C64" s="218"/>
      <c r="D64" s="218"/>
      <c r="E64" s="218"/>
      <c r="F64" s="218"/>
      <c r="G64" s="218"/>
      <c r="H64" s="218"/>
      <c r="I64" s="218"/>
      <c r="J64" s="218"/>
      <c r="K64" s="218"/>
      <c r="L64" s="218"/>
      <c r="M64" s="218"/>
      <c r="N64" s="218"/>
      <c r="O64" s="218"/>
      <c r="P64" s="218"/>
      <c r="Q64" s="218"/>
      <c r="R64" s="218"/>
      <c r="S64" s="218"/>
      <c r="T64" s="218"/>
      <c r="U64" s="199"/>
      <c r="AB64" s="215"/>
    </row>
    <row r="65" spans="2:28" ht="13.25" customHeight="1" x14ac:dyDescent="0.2">
      <c r="B65" s="201" t="s">
        <v>741</v>
      </c>
      <c r="C65" s="218"/>
      <c r="D65" s="218"/>
      <c r="E65" s="218"/>
      <c r="F65" s="218">
        <f>Restatements!C99</f>
        <v>106.20199999999994</v>
      </c>
      <c r="G65" s="218">
        <f>Restatements!D99</f>
        <v>118.09500000000003</v>
      </c>
      <c r="H65" s="218">
        <f>Restatements!E99</f>
        <v>76.600999999999999</v>
      </c>
      <c r="I65" s="218">
        <f>Restatements!F99</f>
        <v>92.772999999999911</v>
      </c>
      <c r="J65" s="218">
        <f>Restatements!G99</f>
        <v>101.29000000000008</v>
      </c>
      <c r="K65" s="218">
        <f>Restatements!H99</f>
        <v>54.995000000000005</v>
      </c>
      <c r="L65" s="218">
        <f>Restatements!I99</f>
        <v>200.99900000000002</v>
      </c>
      <c r="M65" s="218">
        <f>Restatements!J99</f>
        <v>225.25</v>
      </c>
      <c r="N65" s="218">
        <f>Restatements!K99</f>
        <v>88.663000000000011</v>
      </c>
      <c r="O65" s="218">
        <f>Restatements!L99</f>
        <v>221.03099999999995</v>
      </c>
      <c r="P65" s="218">
        <f>+Financing!J20</f>
        <v>221.03099999999995</v>
      </c>
      <c r="Q65" s="218">
        <f>+Financing!K20</f>
        <v>221.03099999999995</v>
      </c>
      <c r="R65" s="218">
        <f>+Financing!L20</f>
        <v>221.03099999999995</v>
      </c>
      <c r="S65" s="218">
        <f>+Financing!M20</f>
        <v>221.03099999999995</v>
      </c>
      <c r="T65" s="218">
        <f>+Financing!N20</f>
        <v>221.03099999999995</v>
      </c>
      <c r="U65" s="199"/>
      <c r="AB65" s="215"/>
    </row>
    <row r="66" spans="2:28" ht="13.25" customHeight="1" x14ac:dyDescent="0.2">
      <c r="B66" s="201" t="s">
        <v>771</v>
      </c>
      <c r="C66" s="218"/>
      <c r="D66" s="218"/>
      <c r="E66" s="218"/>
      <c r="F66" s="218">
        <f>Restatements!C100</f>
        <v>480.61200000000002</v>
      </c>
      <c r="G66" s="218">
        <f>Restatements!D100</f>
        <v>544.72199999999998</v>
      </c>
      <c r="H66" s="218">
        <f>Restatements!E100</f>
        <v>664.81600000000003</v>
      </c>
      <c r="I66" s="218">
        <f>Restatements!F100</f>
        <v>611.96</v>
      </c>
      <c r="J66" s="218">
        <f>Restatements!G100</f>
        <v>747.33299999999997</v>
      </c>
      <c r="K66" s="218">
        <f>Restatements!H100</f>
        <v>899.68299999999999</v>
      </c>
      <c r="L66" s="218">
        <f>Restatements!I100</f>
        <v>1165.3779999999999</v>
      </c>
      <c r="M66" s="218">
        <f>Restatements!J100</f>
        <v>1293.739</v>
      </c>
      <c r="N66" s="218">
        <f>Restatements!K100</f>
        <v>1449.9480000000001</v>
      </c>
      <c r="O66" s="218">
        <f>Restatements!L100</f>
        <v>1579.8869999999999</v>
      </c>
      <c r="P66" s="218">
        <f>+Financing!J17</f>
        <v>1742.2004549085996</v>
      </c>
      <c r="Q66" s="218">
        <f>+Financing!K17</f>
        <v>1898.2393211760298</v>
      </c>
      <c r="R66" s="218">
        <f>+Financing!L17</f>
        <v>2093.1408773965595</v>
      </c>
      <c r="S66" s="218">
        <f>+Financing!M17</f>
        <v>2296.5308455875129</v>
      </c>
      <c r="T66" s="218">
        <f>+Financing!N17</f>
        <v>2505.6056495041703</v>
      </c>
      <c r="U66" s="199"/>
      <c r="AB66" s="215"/>
    </row>
    <row r="67" spans="2:28" ht="13.25" customHeight="1" x14ac:dyDescent="0.2">
      <c r="B67" s="213" t="s">
        <v>772</v>
      </c>
      <c r="C67" s="214"/>
      <c r="D67" s="214"/>
      <c r="E67" s="214"/>
      <c r="F67" s="214">
        <f t="shared" ref="F67" si="40">SUM(F65:F66)</f>
        <v>586.81399999999996</v>
      </c>
      <c r="G67" s="214">
        <f t="shared" ref="G67:N67" si="41">SUM(G65:G66)</f>
        <v>662.81700000000001</v>
      </c>
      <c r="H67" s="214">
        <f t="shared" si="41"/>
        <v>741.41700000000003</v>
      </c>
      <c r="I67" s="214">
        <f t="shared" si="41"/>
        <v>704.73299999999995</v>
      </c>
      <c r="J67" s="214">
        <f t="shared" si="41"/>
        <v>848.62300000000005</v>
      </c>
      <c r="K67" s="214">
        <f t="shared" si="41"/>
        <v>954.678</v>
      </c>
      <c r="L67" s="214">
        <f t="shared" si="41"/>
        <v>1366.377</v>
      </c>
      <c r="M67" s="214">
        <f t="shared" si="41"/>
        <v>1518.989</v>
      </c>
      <c r="N67" s="214">
        <f t="shared" si="41"/>
        <v>1538.6110000000001</v>
      </c>
      <c r="O67" s="214">
        <f t="shared" ref="O67:T67" si="42">SUM(O65:O66)</f>
        <v>1800.9179999999999</v>
      </c>
      <c r="P67" s="214">
        <f t="shared" si="42"/>
        <v>1963.2314549085995</v>
      </c>
      <c r="Q67" s="214">
        <f t="shared" si="42"/>
        <v>2119.2703211760299</v>
      </c>
      <c r="R67" s="214">
        <f t="shared" si="42"/>
        <v>2314.1718773965595</v>
      </c>
      <c r="S67" s="214">
        <f t="shared" si="42"/>
        <v>2517.5618455875128</v>
      </c>
      <c r="T67" s="214">
        <f t="shared" si="42"/>
        <v>2726.6366495041702</v>
      </c>
      <c r="U67" s="199"/>
      <c r="AB67" s="215"/>
    </row>
    <row r="68" spans="2:28" ht="13.25" customHeight="1" x14ac:dyDescent="0.2">
      <c r="B68" s="201" t="s">
        <v>605</v>
      </c>
      <c r="C68" s="218"/>
      <c r="D68" s="218"/>
      <c r="E68" s="218"/>
      <c r="F68" s="218">
        <f>Restatements!C103</f>
        <v>0.34399999999999997</v>
      </c>
      <c r="G68" s="218">
        <f>Restatements!D103</f>
        <v>0.56799999999999995</v>
      </c>
      <c r="H68" s="218">
        <f>Restatements!E103</f>
        <v>0.53800000000000003</v>
      </c>
      <c r="I68" s="218">
        <f>Restatements!F103</f>
        <v>2E-3</v>
      </c>
      <c r="J68" s="218">
        <f>Restatements!G103</f>
        <v>0</v>
      </c>
      <c r="K68" s="218">
        <f>Restatements!H103</f>
        <v>1.641</v>
      </c>
      <c r="L68" s="218">
        <f>Restatements!I103</f>
        <v>1.5620000000000001</v>
      </c>
      <c r="M68" s="218">
        <f>Restatements!J103</f>
        <v>0.76100000000000001</v>
      </c>
      <c r="N68" s="218">
        <f>Restatements!K103</f>
        <v>-0.64300000000000002</v>
      </c>
      <c r="O68" s="218">
        <f>Restatements!L103</f>
        <v>-1.8959999999999999</v>
      </c>
      <c r="P68" s="221">
        <f>+Financing!J19</f>
        <v>-1.8959999999999999</v>
      </c>
      <c r="Q68" s="221">
        <f>+Financing!K19</f>
        <v>-1.8959999999999999</v>
      </c>
      <c r="R68" s="221">
        <f>+Financing!L19</f>
        <v>-1.8959999999999999</v>
      </c>
      <c r="S68" s="221">
        <f>+Financing!M19</f>
        <v>-1.8959999999999999</v>
      </c>
      <c r="T68" s="221">
        <f>+Financing!N19</f>
        <v>-1.8959999999999999</v>
      </c>
      <c r="U68" s="199"/>
      <c r="AB68" s="215"/>
    </row>
    <row r="69" spans="2:28" ht="13.25" customHeight="1" x14ac:dyDescent="0.2">
      <c r="B69" s="219" t="s">
        <v>648</v>
      </c>
      <c r="C69" s="220"/>
      <c r="D69" s="220"/>
      <c r="E69" s="220"/>
      <c r="F69" s="220">
        <f t="shared" ref="F69" si="43">+F68+F67</f>
        <v>587.15800000000002</v>
      </c>
      <c r="G69" s="220">
        <f t="shared" ref="G69:N69" si="44">+G68+G67</f>
        <v>663.38499999999999</v>
      </c>
      <c r="H69" s="220">
        <f t="shared" si="44"/>
        <v>741.95500000000004</v>
      </c>
      <c r="I69" s="220">
        <f t="shared" si="44"/>
        <v>704.7349999999999</v>
      </c>
      <c r="J69" s="220">
        <f t="shared" si="44"/>
        <v>848.62300000000005</v>
      </c>
      <c r="K69" s="220">
        <f t="shared" si="44"/>
        <v>956.31899999999996</v>
      </c>
      <c r="L69" s="220">
        <f t="shared" si="44"/>
        <v>1367.9389999999999</v>
      </c>
      <c r="M69" s="220">
        <f t="shared" si="44"/>
        <v>1519.75</v>
      </c>
      <c r="N69" s="220">
        <f t="shared" si="44"/>
        <v>1537.9680000000001</v>
      </c>
      <c r="O69" s="220">
        <f t="shared" ref="O69:T69" si="45">+O68+O67</f>
        <v>1799.0219999999999</v>
      </c>
      <c r="P69" s="220">
        <f t="shared" si="45"/>
        <v>1961.3354549085996</v>
      </c>
      <c r="Q69" s="220">
        <f t="shared" si="45"/>
        <v>2117.3743211760298</v>
      </c>
      <c r="R69" s="220">
        <f t="shared" si="45"/>
        <v>2312.2758773965593</v>
      </c>
      <c r="S69" s="220">
        <f t="shared" si="45"/>
        <v>2515.6658455875126</v>
      </c>
      <c r="T69" s="220">
        <f t="shared" si="45"/>
        <v>2724.7406495041701</v>
      </c>
      <c r="U69" s="199"/>
      <c r="AB69" s="215"/>
    </row>
    <row r="70" spans="2:28" ht="5" customHeight="1" x14ac:dyDescent="0.2">
      <c r="C70" s="218"/>
      <c r="D70" s="218"/>
      <c r="E70" s="218"/>
      <c r="F70" s="218"/>
      <c r="G70" s="218"/>
      <c r="H70" s="218"/>
      <c r="I70" s="218"/>
      <c r="J70" s="218"/>
      <c r="K70" s="218"/>
      <c r="L70" s="218"/>
      <c r="M70" s="218"/>
      <c r="N70" s="218"/>
      <c r="O70" s="218"/>
      <c r="P70" s="218"/>
      <c r="Q70" s="218"/>
      <c r="R70" s="218"/>
      <c r="S70" s="218"/>
      <c r="T70" s="218"/>
      <c r="U70" s="199"/>
      <c r="AB70" s="215"/>
    </row>
    <row r="71" spans="2:28" ht="13.25" customHeight="1" x14ac:dyDescent="0.2">
      <c r="B71" s="222" t="s">
        <v>649</v>
      </c>
      <c r="C71" s="223"/>
      <c r="D71" s="223"/>
      <c r="E71" s="223"/>
      <c r="F71" s="223">
        <f t="shared" ref="F71" si="46">+F69+F63</f>
        <v>319.101</v>
      </c>
      <c r="G71" s="223">
        <f t="shared" ref="G71:N71" si="47">+G69+G63</f>
        <v>583.31700000000001</v>
      </c>
      <c r="H71" s="223">
        <f t="shared" si="47"/>
        <v>592.65300000000002</v>
      </c>
      <c r="I71" s="223">
        <f t="shared" si="47"/>
        <v>628.89199999999994</v>
      </c>
      <c r="J71" s="223">
        <f t="shared" si="47"/>
        <v>675.76100000000008</v>
      </c>
      <c r="K71" s="223">
        <f t="shared" si="47"/>
        <v>650.97199999999998</v>
      </c>
      <c r="L71" s="223">
        <f t="shared" si="47"/>
        <v>2360.0770000000002</v>
      </c>
      <c r="M71" s="223">
        <f t="shared" si="47"/>
        <v>2458.5169999999998</v>
      </c>
      <c r="N71" s="223">
        <f t="shared" si="47"/>
        <v>2327.2330000000002</v>
      </c>
      <c r="O71" s="223">
        <f t="shared" ref="O71:T71" si="48">+O69+O63</f>
        <v>2420.319</v>
      </c>
      <c r="P71" s="223">
        <f t="shared" si="48"/>
        <v>2382.9298101688182</v>
      </c>
      <c r="Q71" s="223">
        <f t="shared" si="48"/>
        <v>2375.6157192104374</v>
      </c>
      <c r="R71" s="223">
        <f t="shared" si="48"/>
        <v>2364.6786680103914</v>
      </c>
      <c r="S71" s="223">
        <f t="shared" si="48"/>
        <v>2346.2421598592723</v>
      </c>
      <c r="T71" s="223">
        <f t="shared" si="48"/>
        <v>2321.5450702629614</v>
      </c>
      <c r="U71" s="199"/>
      <c r="AB71" s="215"/>
    </row>
    <row r="72" spans="2:28" ht="5" customHeight="1" x14ac:dyDescent="0.2">
      <c r="B72" s="225"/>
      <c r="C72" s="218"/>
      <c r="D72" s="218"/>
      <c r="E72" s="218"/>
      <c r="F72" s="218"/>
      <c r="G72" s="218"/>
      <c r="H72" s="218"/>
      <c r="I72" s="218"/>
      <c r="J72" s="218"/>
      <c r="K72" s="218"/>
      <c r="L72" s="218"/>
      <c r="M72" s="218"/>
      <c r="N72" s="218"/>
      <c r="O72" s="218"/>
      <c r="P72" s="218"/>
      <c r="Q72" s="218"/>
      <c r="R72" s="218"/>
      <c r="S72" s="218"/>
      <c r="T72" s="218"/>
      <c r="U72" s="199"/>
      <c r="AB72" s="215"/>
    </row>
    <row r="73" spans="2:28" ht="13.25" customHeight="1" x14ac:dyDescent="0.2">
      <c r="B73" s="226" t="s">
        <v>607</v>
      </c>
      <c r="C73" s="227"/>
      <c r="D73" s="227"/>
      <c r="E73" s="227"/>
      <c r="F73" s="227">
        <f t="shared" ref="F73" si="49">+F71-F56</f>
        <v>-6.3839999999999577</v>
      </c>
      <c r="G73" s="227">
        <f t="shared" ref="G73:O73" si="50">+G71-G56</f>
        <v>-10.325000000000045</v>
      </c>
      <c r="H73" s="227">
        <f t="shared" si="50"/>
        <v>-5.1899999999999409</v>
      </c>
      <c r="I73" s="227">
        <f t="shared" si="50"/>
        <v>-9.5130000000000337</v>
      </c>
      <c r="J73" s="227">
        <f t="shared" si="50"/>
        <v>-10.799999999999955</v>
      </c>
      <c r="K73" s="227">
        <f t="shared" si="50"/>
        <v>-29.830999999999904</v>
      </c>
      <c r="L73" s="227">
        <f t="shared" si="50"/>
        <v>-6.2549999999996544</v>
      </c>
      <c r="M73" s="227">
        <f t="shared" si="50"/>
        <v>-13.786000000000058</v>
      </c>
      <c r="N73" s="227">
        <f t="shared" si="50"/>
        <v>-9.3989999999994325</v>
      </c>
      <c r="O73" s="227">
        <f t="shared" si="50"/>
        <v>-18.06899999999996</v>
      </c>
      <c r="P73" s="227">
        <f>+P71-P56</f>
        <v>-18.06899999999996</v>
      </c>
      <c r="Q73" s="227">
        <f>+Q71-Q56</f>
        <v>-18.06899999999996</v>
      </c>
      <c r="R73" s="227">
        <f>+R71-R56</f>
        <v>-18.06899999999996</v>
      </c>
      <c r="S73" s="227">
        <f>+S71-S56</f>
        <v>-18.06899999999996</v>
      </c>
      <c r="T73" s="227">
        <f>+T71-T56</f>
        <v>-18.06899999999996</v>
      </c>
      <c r="U73" s="199"/>
      <c r="AB73" s="215"/>
    </row>
    <row r="74" spans="2:28" ht="13.25" customHeight="1" x14ac:dyDescent="0.2">
      <c r="U74" s="199"/>
      <c r="AB74" s="215"/>
    </row>
    <row r="75" spans="2:28" ht="13.25" customHeight="1" x14ac:dyDescent="0.2">
      <c r="B75" s="211" t="s">
        <v>773</v>
      </c>
      <c r="C75" s="212"/>
      <c r="D75" s="212"/>
      <c r="E75" s="212"/>
      <c r="F75" s="212"/>
      <c r="G75" s="212"/>
      <c r="H75" s="212"/>
      <c r="I75" s="212"/>
      <c r="J75" s="212"/>
      <c r="K75" s="212"/>
      <c r="L75" s="212"/>
      <c r="M75" s="212"/>
      <c r="N75" s="212"/>
      <c r="O75" s="212"/>
      <c r="P75" s="212"/>
      <c r="Q75" s="212"/>
      <c r="R75" s="212"/>
      <c r="S75" s="212"/>
      <c r="T75" s="212"/>
      <c r="U75" s="199"/>
      <c r="AB75" s="215"/>
    </row>
    <row r="76" spans="2:28" ht="5" customHeight="1" x14ac:dyDescent="0.2">
      <c r="U76" s="199"/>
      <c r="AB76" s="215"/>
    </row>
    <row r="77" spans="2:28" ht="13.25" customHeight="1" x14ac:dyDescent="0.2">
      <c r="B77" s="201" t="s">
        <v>442</v>
      </c>
      <c r="C77" s="218"/>
      <c r="D77" s="218"/>
      <c r="E77" s="218"/>
      <c r="F77" s="218"/>
      <c r="G77" s="218"/>
      <c r="H77" s="218"/>
      <c r="I77" s="218"/>
      <c r="J77" s="218"/>
      <c r="K77" s="218"/>
      <c r="L77" s="218"/>
      <c r="M77" s="218"/>
      <c r="N77" s="218"/>
      <c r="O77" s="218"/>
      <c r="P77" s="218">
        <f>+P20</f>
        <v>292.04851435291334</v>
      </c>
      <c r="Q77" s="218">
        <f>+Q20</f>
        <v>282.73588266225136</v>
      </c>
      <c r="R77" s="218">
        <f>+R20</f>
        <v>337.23274012675836</v>
      </c>
      <c r="S77" s="218">
        <f>+S20</f>
        <v>348.90953070526956</v>
      </c>
      <c r="T77" s="218">
        <f>+T20</f>
        <v>357.17095292872051</v>
      </c>
      <c r="U77" s="215"/>
      <c r="Y77" s="215"/>
      <c r="Z77" s="215"/>
      <c r="AB77" s="215"/>
    </row>
    <row r="78" spans="2:28" ht="13.25" customHeight="1" x14ac:dyDescent="0.2">
      <c r="B78" s="201" t="s">
        <v>651</v>
      </c>
      <c r="C78" s="218"/>
      <c r="D78" s="218"/>
      <c r="E78" s="218"/>
      <c r="F78" s="218"/>
      <c r="G78" s="218"/>
      <c r="H78" s="218"/>
      <c r="I78" s="218"/>
      <c r="J78" s="218"/>
      <c r="K78" s="218"/>
      <c r="L78" s="218"/>
      <c r="M78" s="218"/>
      <c r="N78" s="218"/>
      <c r="O78" s="218"/>
      <c r="P78" s="218">
        <f>+-P77*SUM(Assumptions!$F$47:$F$48)</f>
        <v>-81.481535504462812</v>
      </c>
      <c r="Q78" s="218">
        <f>+-Q77*SUM(Assumptions!$F$47:$F$48)</f>
        <v>-78.883311262768117</v>
      </c>
      <c r="R78" s="218">
        <f>+-R77*SUM(Assumptions!$F$47:$F$48)</f>
        <v>-94.087934495365573</v>
      </c>
      <c r="S78" s="218">
        <f>+-S77*SUM(Assumptions!$F$47:$F$48)</f>
        <v>-97.345759066770199</v>
      </c>
      <c r="T78" s="218">
        <f>+-T77*SUM(Assumptions!$F$47:$F$48)</f>
        <v>-99.650695867113015</v>
      </c>
      <c r="U78" s="215"/>
      <c r="Y78" s="215"/>
      <c r="Z78" s="215"/>
      <c r="AB78" s="215"/>
    </row>
    <row r="79" spans="2:28" ht="13.25" customHeight="1" x14ac:dyDescent="0.15">
      <c r="B79" s="219" t="s">
        <v>652</v>
      </c>
      <c r="C79" s="220"/>
      <c r="D79" s="220"/>
      <c r="E79" s="220"/>
      <c r="F79" s="220"/>
      <c r="G79" s="220"/>
      <c r="H79" s="220"/>
      <c r="I79" s="220"/>
      <c r="J79" s="220"/>
      <c r="K79" s="220"/>
      <c r="L79" s="220"/>
      <c r="M79" s="220"/>
      <c r="N79" s="220"/>
      <c r="O79" s="220"/>
      <c r="P79" s="220">
        <f>SUM(P77:P78)</f>
        <v>210.56697884845053</v>
      </c>
      <c r="Q79" s="220">
        <f>SUM(Q77:Q78)</f>
        <v>203.85257139948322</v>
      </c>
      <c r="R79" s="220">
        <f>SUM(R77:R78)</f>
        <v>243.14480563139279</v>
      </c>
      <c r="S79" s="220">
        <f>SUM(S77:S78)</f>
        <v>251.56377163849936</v>
      </c>
      <c r="T79" s="220">
        <f>SUM(T77:T78)</f>
        <v>257.52025706160748</v>
      </c>
    </row>
    <row r="80" spans="2:28" ht="13.25" customHeight="1" x14ac:dyDescent="0.2">
      <c r="B80" s="201" t="s">
        <v>488</v>
      </c>
      <c r="C80" s="218"/>
      <c r="D80" s="218"/>
      <c r="E80" s="218"/>
      <c r="F80" s="218"/>
      <c r="G80" s="218"/>
      <c r="H80" s="218"/>
      <c r="I80" s="218"/>
      <c r="J80" s="218"/>
      <c r="K80" s="218"/>
      <c r="L80" s="218"/>
      <c r="M80" s="218"/>
      <c r="N80" s="218"/>
      <c r="O80" s="218"/>
      <c r="P80" s="218">
        <f>-P18</f>
        <v>29.884697019661566</v>
      </c>
      <c r="Q80" s="218">
        <f t="shared" ref="P80:T81" si="51">-Q18</f>
        <v>65.787947007867587</v>
      </c>
      <c r="R80" s="218">
        <f t="shared" si="51"/>
        <v>78.415344698752705</v>
      </c>
      <c r="S80" s="218">
        <f t="shared" si="51"/>
        <v>91.674112274182093</v>
      </c>
      <c r="T80" s="218">
        <f t="shared" si="51"/>
        <v>105.59581822838294</v>
      </c>
      <c r="U80" s="215"/>
      <c r="Y80" s="215"/>
      <c r="Z80" s="215"/>
      <c r="AB80" s="215"/>
    </row>
    <row r="81" spans="2:28" ht="13.25" customHeight="1" x14ac:dyDescent="0.2">
      <c r="B81" s="201" t="s">
        <v>653</v>
      </c>
      <c r="C81" s="218"/>
      <c r="D81" s="218"/>
      <c r="E81" s="218"/>
      <c r="F81" s="218"/>
      <c r="G81" s="218"/>
      <c r="H81" s="218"/>
      <c r="I81" s="218"/>
      <c r="J81" s="218"/>
      <c r="K81" s="218"/>
      <c r="L81" s="218"/>
      <c r="M81" s="218"/>
      <c r="N81" s="218"/>
      <c r="O81" s="218"/>
      <c r="P81" s="218">
        <f t="shared" si="51"/>
        <v>75.172626714363176</v>
      </c>
      <c r="Q81" s="218">
        <f t="shared" si="51"/>
        <v>74.452287483800447</v>
      </c>
      <c r="R81" s="218">
        <f t="shared" si="51"/>
        <v>73.861915174488971</v>
      </c>
      <c r="S81" s="218">
        <f t="shared" si="51"/>
        <v>73.401857020548334</v>
      </c>
      <c r="T81" s="218">
        <f t="shared" si="51"/>
        <v>73.072705568720181</v>
      </c>
      <c r="U81" s="215"/>
      <c r="W81" s="221"/>
      <c r="Y81" s="218"/>
      <c r="Z81" s="218"/>
      <c r="AB81" s="215"/>
    </row>
    <row r="82" spans="2:28" ht="13.25" customHeight="1" x14ac:dyDescent="0.2">
      <c r="B82" s="219" t="s">
        <v>654</v>
      </c>
      <c r="C82" s="220"/>
      <c r="D82" s="220"/>
      <c r="E82" s="220"/>
      <c r="F82" s="220"/>
      <c r="G82" s="220"/>
      <c r="H82" s="220"/>
      <c r="I82" s="220"/>
      <c r="J82" s="220"/>
      <c r="K82" s="220"/>
      <c r="L82" s="220"/>
      <c r="M82" s="220"/>
      <c r="N82" s="220"/>
      <c r="O82" s="220"/>
      <c r="P82" s="220">
        <f>SUM(P79:P81)</f>
        <v>315.62430258247525</v>
      </c>
      <c r="Q82" s="220">
        <f>SUM(Q79:Q81)</f>
        <v>344.09280589115122</v>
      </c>
      <c r="R82" s="220">
        <f>SUM(R79:R81)</f>
        <v>395.42206550463442</v>
      </c>
      <c r="S82" s="220">
        <f>SUM(S79:S81)</f>
        <v>416.6397409332298</v>
      </c>
      <c r="T82" s="220">
        <f>SUM(T79:T81)</f>
        <v>436.18878085871063</v>
      </c>
      <c r="U82" s="215"/>
      <c r="W82" s="221"/>
      <c r="Y82" s="215"/>
      <c r="Z82" s="215"/>
      <c r="AB82" s="215"/>
    </row>
    <row r="83" spans="2:28" ht="5" customHeight="1" x14ac:dyDescent="0.2">
      <c r="C83" s="218"/>
      <c r="D83" s="218"/>
      <c r="E83" s="218"/>
      <c r="F83" s="218"/>
      <c r="G83" s="218"/>
      <c r="H83" s="218"/>
      <c r="I83" s="218"/>
      <c r="J83" s="218"/>
      <c r="K83" s="218"/>
      <c r="L83" s="218"/>
      <c r="M83" s="218"/>
      <c r="N83" s="218"/>
      <c r="O83" s="218"/>
      <c r="P83" s="218"/>
      <c r="Q83" s="218"/>
      <c r="R83" s="218"/>
      <c r="S83" s="218"/>
      <c r="T83" s="218"/>
      <c r="U83" s="215"/>
      <c r="AB83" s="215"/>
    </row>
    <row r="84" spans="2:28" ht="13.25" customHeight="1" x14ac:dyDescent="0.2">
      <c r="B84" s="201" t="s">
        <v>655</v>
      </c>
      <c r="C84" s="218"/>
      <c r="D84" s="218"/>
      <c r="E84" s="218"/>
      <c r="F84" s="218"/>
      <c r="G84" s="218"/>
      <c r="H84" s="218"/>
      <c r="I84" s="218"/>
      <c r="J84" s="218"/>
      <c r="K84" s="218"/>
      <c r="L84" s="218"/>
      <c r="M84" s="218"/>
      <c r="N84" s="218"/>
      <c r="O84" s="218"/>
      <c r="P84" s="218">
        <f>-(P43-O43)</f>
        <v>53.712352935302235</v>
      </c>
      <c r="Q84" s="218">
        <f>-(Q43-P43)</f>
        <v>-15.537732353234901</v>
      </c>
      <c r="R84" s="218">
        <f>-(R43-Q43)</f>
        <v>-18.082376934141053</v>
      </c>
      <c r="S84" s="218">
        <f>-(S43-R43)</f>
        <v>-17.218737817603639</v>
      </c>
      <c r="T84" s="218">
        <f>-(T43-S43)</f>
        <v>-18.079674708483935</v>
      </c>
      <c r="U84" s="215"/>
      <c r="W84" s="228"/>
      <c r="AB84" s="215"/>
    </row>
    <row r="85" spans="2:28" ht="13.25" customHeight="1" x14ac:dyDescent="0.2">
      <c r="B85" s="229" t="s">
        <v>656</v>
      </c>
      <c r="C85" s="218"/>
      <c r="D85" s="218"/>
      <c r="E85" s="218"/>
      <c r="F85" s="218"/>
      <c r="G85" s="218"/>
      <c r="H85" s="218"/>
      <c r="I85" s="218"/>
      <c r="J85" s="218"/>
      <c r="K85" s="218"/>
      <c r="L85" s="218"/>
      <c r="M85" s="218"/>
      <c r="N85" s="218"/>
      <c r="O85" s="218"/>
      <c r="P85" s="218">
        <f>-((P45-O45)+P80)</f>
        <v>-56.063760704261405</v>
      </c>
      <c r="Q85" s="218">
        <f t="shared" ref="Q85:T86" si="52">-((Q45-P45)+Q80)</f>
        <v>-58.866948739474509</v>
      </c>
      <c r="R85" s="218">
        <f t="shared" si="52"/>
        <v>-61.81029617644819</v>
      </c>
      <c r="S85" s="218">
        <f t="shared" si="52"/>
        <v>-64.900810985270581</v>
      </c>
      <c r="T85" s="218">
        <f t="shared" si="52"/>
        <v>-68.145851534534131</v>
      </c>
      <c r="U85" s="215"/>
      <c r="W85" s="228"/>
      <c r="AB85" s="215"/>
    </row>
    <row r="86" spans="2:28" ht="13.25" customHeight="1" x14ac:dyDescent="0.2">
      <c r="B86" s="229" t="s">
        <v>657</v>
      </c>
      <c r="C86" s="218"/>
      <c r="D86" s="218"/>
      <c r="E86" s="218"/>
      <c r="F86" s="218"/>
      <c r="G86" s="218"/>
      <c r="H86" s="218"/>
      <c r="I86" s="218"/>
      <c r="J86" s="218"/>
      <c r="K86" s="218"/>
      <c r="L86" s="218"/>
      <c r="M86" s="218"/>
      <c r="N86" s="218"/>
      <c r="O86" s="218"/>
      <c r="P86" s="218">
        <f>-((P46-O46)+P81)</f>
        <v>-55.73472613388374</v>
      </c>
      <c r="Q86" s="218">
        <f t="shared" si="52"/>
        <v>-58.521462440577935</v>
      </c>
      <c r="R86" s="218">
        <f t="shared" si="52"/>
        <v>-61.447535562606575</v>
      </c>
      <c r="S86" s="218">
        <f t="shared" si="52"/>
        <v>-64.519912340737221</v>
      </c>
      <c r="T86" s="218">
        <f t="shared" si="52"/>
        <v>-67.745907957773994</v>
      </c>
      <c r="U86" s="215"/>
      <c r="W86" s="228"/>
      <c r="Y86" s="215"/>
      <c r="Z86" s="215"/>
      <c r="AB86" s="215"/>
    </row>
    <row r="87" spans="2:28" ht="13.25" customHeight="1" x14ac:dyDescent="0.2">
      <c r="B87" s="219" t="s">
        <v>658</v>
      </c>
      <c r="C87" s="220"/>
      <c r="D87" s="220"/>
      <c r="E87" s="220"/>
      <c r="F87" s="220"/>
      <c r="G87" s="220"/>
      <c r="H87" s="220"/>
      <c r="I87" s="220"/>
      <c r="J87" s="220"/>
      <c r="K87" s="220"/>
      <c r="L87" s="220"/>
      <c r="M87" s="220"/>
      <c r="N87" s="220"/>
      <c r="O87" s="220"/>
      <c r="P87" s="220">
        <f>+SUM(P82:P86)</f>
        <v>257.53816867963235</v>
      </c>
      <c r="Q87" s="220">
        <f>+SUM(Q82:Q86)</f>
        <v>211.16666235786386</v>
      </c>
      <c r="R87" s="220">
        <f>+SUM(R82:R86)</f>
        <v>254.08185683143864</v>
      </c>
      <c r="S87" s="220">
        <f>+SUM(S82:S86)</f>
        <v>270.00027978961833</v>
      </c>
      <c r="T87" s="220">
        <f>+SUM(T82:T86)</f>
        <v>282.2173466579186</v>
      </c>
      <c r="U87" s="215"/>
      <c r="Y87" s="221"/>
      <c r="Z87" s="221"/>
    </row>
    <row r="88" spans="2:28" ht="5" customHeight="1" x14ac:dyDescent="0.2">
      <c r="C88" s="218"/>
      <c r="D88" s="218"/>
      <c r="E88" s="218"/>
      <c r="F88" s="218"/>
      <c r="G88" s="218"/>
      <c r="H88" s="218"/>
      <c r="I88" s="218"/>
      <c r="J88" s="218"/>
      <c r="K88" s="218"/>
      <c r="L88" s="218"/>
      <c r="M88" s="218"/>
      <c r="N88" s="218"/>
      <c r="O88" s="218"/>
      <c r="P88" s="218"/>
      <c r="Q88" s="218"/>
      <c r="R88" s="218"/>
      <c r="S88" s="218"/>
      <c r="T88" s="218"/>
      <c r="U88" s="215"/>
    </row>
    <row r="89" spans="2:28" ht="13.25" customHeight="1" x14ac:dyDescent="0.2">
      <c r="B89" s="201" t="s">
        <v>659</v>
      </c>
      <c r="C89" s="218"/>
      <c r="D89" s="218"/>
      <c r="E89" s="218"/>
      <c r="F89" s="218"/>
      <c r="G89" s="218"/>
      <c r="H89" s="218"/>
      <c r="I89" s="218"/>
      <c r="J89" s="218"/>
      <c r="K89" s="218"/>
      <c r="L89" s="218"/>
      <c r="M89" s="218"/>
      <c r="N89" s="218"/>
      <c r="O89" s="218"/>
      <c r="P89" s="218">
        <f>+P28-P78</f>
        <v>14.947660810917228</v>
      </c>
      <c r="Q89" s="218">
        <f>+Q28-Q78</f>
        <v>14.819992627700415</v>
      </c>
      <c r="R89" s="218">
        <f>+R28-R78</f>
        <v>14.886133105650586</v>
      </c>
      <c r="S89" s="218">
        <f>+S28-S78</f>
        <v>14.849021459498289</v>
      </c>
      <c r="T89" s="218">
        <f>+T28-T78</f>
        <v>14.924638368238348</v>
      </c>
      <c r="U89" s="215"/>
      <c r="W89" s="228"/>
    </row>
    <row r="90" spans="2:28" ht="13.25" customHeight="1" x14ac:dyDescent="0.2">
      <c r="B90" s="201" t="s">
        <v>598</v>
      </c>
      <c r="C90" s="218"/>
      <c r="D90" s="218"/>
      <c r="E90" s="218"/>
      <c r="F90" s="218"/>
      <c r="G90" s="218"/>
      <c r="H90" s="218"/>
      <c r="I90" s="218"/>
      <c r="J90" s="218"/>
      <c r="K90" s="218"/>
      <c r="L90" s="218"/>
      <c r="M90" s="218"/>
      <c r="N90" s="218"/>
      <c r="O90" s="218"/>
      <c r="P90" s="218">
        <f t="shared" ref="P90:T91" si="53">+P23</f>
        <v>-0.2381000000000002</v>
      </c>
      <c r="Q90" s="218">
        <f t="shared" si="53"/>
        <v>-0.11771000000000012</v>
      </c>
      <c r="R90" s="218">
        <f t="shared" si="53"/>
        <v>-0.28978100000000018</v>
      </c>
      <c r="S90" s="218">
        <f t="shared" si="53"/>
        <v>-2.6459100000000201E-2</v>
      </c>
      <c r="T90" s="218">
        <f t="shared" si="53"/>
        <v>-0.22740501000000019</v>
      </c>
      <c r="U90" s="215"/>
    </row>
    <row r="91" spans="2:28" ht="13.25" customHeight="1" x14ac:dyDescent="0.2">
      <c r="B91" s="201" t="s">
        <v>618</v>
      </c>
      <c r="C91" s="218"/>
      <c r="D91" s="218"/>
      <c r="E91" s="218"/>
      <c r="F91" s="218"/>
      <c r="G91" s="218"/>
      <c r="H91" s="218"/>
      <c r="I91" s="218"/>
      <c r="J91" s="218"/>
      <c r="K91" s="218"/>
      <c r="L91" s="218"/>
      <c r="M91" s="218"/>
      <c r="N91" s="218"/>
      <c r="O91" s="218"/>
      <c r="P91" s="218">
        <f t="shared" si="53"/>
        <v>-62.043820045488481</v>
      </c>
      <c r="Q91" s="218">
        <f t="shared" si="53"/>
        <v>-61.632259282085073</v>
      </c>
      <c r="R91" s="218">
        <f t="shared" si="53"/>
        <v>-61.735773606877487</v>
      </c>
      <c r="S91" s="218">
        <f t="shared" si="53"/>
        <v>-61.844463647909535</v>
      </c>
      <c r="T91" s="218">
        <f t="shared" si="53"/>
        <v>-61.958588190993176</v>
      </c>
      <c r="U91" s="215"/>
    </row>
    <row r="92" spans="2:28" ht="13.25" customHeight="1" x14ac:dyDescent="0.2">
      <c r="B92" s="201" t="s">
        <v>619</v>
      </c>
      <c r="C92" s="218"/>
      <c r="D92" s="218"/>
      <c r="E92" s="218"/>
      <c r="F92" s="218"/>
      <c r="G92" s="218"/>
      <c r="H92" s="218"/>
      <c r="I92" s="218"/>
      <c r="J92" s="218"/>
      <c r="K92" s="218"/>
      <c r="L92" s="218"/>
      <c r="M92" s="218"/>
      <c r="N92" s="218"/>
      <c r="O92" s="218"/>
      <c r="P92" s="218">
        <f>0</f>
        <v>0</v>
      </c>
      <c r="Q92" s="218">
        <f>0</f>
        <v>0</v>
      </c>
      <c r="R92" s="218">
        <f>0</f>
        <v>0</v>
      </c>
      <c r="S92" s="218">
        <f>0</f>
        <v>0</v>
      </c>
      <c r="T92" s="218">
        <f>0</f>
        <v>0</v>
      </c>
      <c r="U92" s="215"/>
      <c r="W92" s="228"/>
    </row>
    <row r="93" spans="2:28" ht="13.25" customHeight="1" x14ac:dyDescent="0.2">
      <c r="B93" s="201" t="s">
        <v>754</v>
      </c>
      <c r="C93" s="218"/>
      <c r="D93" s="218"/>
      <c r="E93" s="218"/>
      <c r="F93" s="218"/>
      <c r="G93" s="218"/>
      <c r="H93" s="218"/>
      <c r="I93" s="218"/>
      <c r="J93" s="218"/>
      <c r="K93" s="218"/>
      <c r="L93" s="218"/>
      <c r="M93" s="218"/>
      <c r="N93" s="218"/>
      <c r="O93" s="218"/>
      <c r="P93" s="218">
        <f>+P25</f>
        <v>0</v>
      </c>
      <c r="Q93" s="218">
        <f>+Q25</f>
        <v>0</v>
      </c>
      <c r="R93" s="218">
        <f>+R25</f>
        <v>0</v>
      </c>
      <c r="S93" s="218">
        <f>+S25</f>
        <v>0</v>
      </c>
      <c r="T93" s="218">
        <f>+T25</f>
        <v>0</v>
      </c>
      <c r="U93" s="215"/>
    </row>
    <row r="94" spans="2:28" ht="13.25" customHeight="1" x14ac:dyDescent="0.2">
      <c r="B94" s="201" t="s">
        <v>774</v>
      </c>
      <c r="C94" s="218"/>
      <c r="D94" s="218"/>
      <c r="E94" s="218"/>
      <c r="F94" s="218"/>
      <c r="G94" s="218"/>
      <c r="H94" s="218"/>
      <c r="I94" s="218"/>
      <c r="J94" s="218"/>
      <c r="K94" s="218"/>
      <c r="L94" s="218"/>
      <c r="M94" s="218"/>
      <c r="N94" s="218"/>
      <c r="O94" s="218"/>
      <c r="P94" s="218">
        <f>+(P61-O61)</f>
        <v>-14.99972252678765</v>
      </c>
      <c r="Q94" s="218">
        <f>+(Q61-P61)</f>
        <v>1.6392138736605375</v>
      </c>
      <c r="R94" s="218">
        <f>+(R61-Q61)</f>
        <v>1.7211745673437235</v>
      </c>
      <c r="S94" s="218">
        <f>+(S61-R61)</f>
        <v>1.8072332957108301</v>
      </c>
      <c r="T94" s="218">
        <f>+(T61-S61)</f>
        <v>1.8975949604963489</v>
      </c>
      <c r="U94" s="215"/>
    </row>
    <row r="95" spans="2:28" ht="13.25" customHeight="1" x14ac:dyDescent="0.2">
      <c r="B95" s="201" t="s">
        <v>661</v>
      </c>
      <c r="C95" s="218"/>
      <c r="D95" s="218"/>
      <c r="E95" s="218"/>
      <c r="F95" s="218"/>
      <c r="G95" s="218"/>
      <c r="H95" s="218"/>
      <c r="I95" s="218"/>
      <c r="J95" s="218"/>
      <c r="K95" s="218"/>
      <c r="L95" s="218"/>
      <c r="M95" s="218"/>
      <c r="N95" s="218"/>
      <c r="O95" s="218"/>
      <c r="P95" s="218">
        <f>-(P54-O54)</f>
        <v>-9.5820000000000007</v>
      </c>
      <c r="Q95" s="218">
        <f>-(Q54-P54)</f>
        <v>0</v>
      </c>
      <c r="R95" s="218">
        <f>-(R54-Q54)</f>
        <v>0</v>
      </c>
      <c r="S95" s="218">
        <f>-(S54-R54)</f>
        <v>0</v>
      </c>
      <c r="T95" s="218">
        <f>-(T54-S54)</f>
        <v>0</v>
      </c>
      <c r="U95" s="215"/>
    </row>
    <row r="96" spans="2:28" ht="13.25" customHeight="1" x14ac:dyDescent="0.2">
      <c r="B96" s="219" t="s">
        <v>662</v>
      </c>
      <c r="C96" s="220"/>
      <c r="D96" s="220"/>
      <c r="E96" s="220"/>
      <c r="F96" s="220"/>
      <c r="G96" s="220"/>
      <c r="H96" s="220"/>
      <c r="I96" s="220"/>
      <c r="J96" s="220"/>
      <c r="K96" s="220"/>
      <c r="L96" s="220"/>
      <c r="M96" s="220"/>
      <c r="N96" s="220"/>
      <c r="O96" s="220"/>
      <c r="P96" s="220">
        <f>+SUM(P87:P95)</f>
        <v>185.62218691827348</v>
      </c>
      <c r="Q96" s="220">
        <f>+SUM(Q87:Q95)</f>
        <v>165.87589957713973</v>
      </c>
      <c r="R96" s="220">
        <f>+SUM(R87:R95)</f>
        <v>208.66360989755543</v>
      </c>
      <c r="S96" s="220">
        <f>+SUM(S87:S95)</f>
        <v>224.78561179691786</v>
      </c>
      <c r="T96" s="220">
        <f>+SUM(T87:T95)</f>
        <v>236.85358678566013</v>
      </c>
      <c r="U96" s="215"/>
      <c r="W96" s="221"/>
    </row>
    <row r="97" spans="2:21" ht="5" customHeight="1" x14ac:dyDescent="0.2">
      <c r="C97" s="218"/>
      <c r="D97" s="218"/>
      <c r="E97" s="218"/>
      <c r="F97" s="218"/>
      <c r="G97" s="218"/>
      <c r="H97" s="218"/>
      <c r="I97" s="218"/>
      <c r="J97" s="218"/>
      <c r="K97" s="218"/>
      <c r="L97" s="218"/>
      <c r="M97" s="218"/>
      <c r="N97" s="218"/>
      <c r="O97" s="218"/>
      <c r="P97" s="218"/>
      <c r="Q97" s="218"/>
      <c r="R97" s="218"/>
      <c r="S97" s="218"/>
      <c r="T97" s="218"/>
      <c r="U97" s="215"/>
    </row>
    <row r="98" spans="2:21" ht="13.25" customHeight="1" x14ac:dyDescent="0.2">
      <c r="B98" s="201" t="s">
        <v>775</v>
      </c>
      <c r="C98" s="230"/>
      <c r="D98" s="230"/>
      <c r="E98" s="230"/>
      <c r="F98" s="230"/>
      <c r="G98" s="218"/>
      <c r="H98" s="218"/>
      <c r="I98" s="218"/>
      <c r="J98" s="218"/>
      <c r="K98" s="218"/>
      <c r="L98" s="218"/>
      <c r="M98" s="218"/>
      <c r="N98" s="218"/>
      <c r="O98" s="218"/>
      <c r="P98" s="218">
        <f>-P32</f>
        <v>-0.91926470527954385</v>
      </c>
      <c r="Q98" s="218">
        <f>-Q32</f>
        <v>-0.88372847766844909</v>
      </c>
      <c r="R98" s="218">
        <f>-R32</f>
        <v>-1.1038279096362023</v>
      </c>
      <c r="S98" s="218">
        <f>-S32</f>
        <v>-1.1519021591349681</v>
      </c>
      <c r="T98" s="218">
        <f>-T32</f>
        <v>-1.184098312195077</v>
      </c>
      <c r="U98" s="215"/>
    </row>
    <row r="99" spans="2:21" ht="13.25" customHeight="1" x14ac:dyDescent="0.2">
      <c r="B99" s="201" t="s">
        <v>665</v>
      </c>
      <c r="C99" s="218"/>
      <c r="D99" s="218"/>
      <c r="E99" s="218"/>
      <c r="F99" s="218"/>
      <c r="G99" s="218"/>
      <c r="H99" s="218"/>
      <c r="I99" s="218"/>
      <c r="J99" s="218"/>
      <c r="K99" s="218"/>
      <c r="L99" s="218"/>
      <c r="M99" s="218"/>
      <c r="N99" s="218"/>
      <c r="O99" s="218"/>
      <c r="P99" s="218">
        <f>+P67-O67-P29+P32</f>
        <v>-1.149080830487037E-13</v>
      </c>
      <c r="Q99" s="218">
        <f>+Q67-P67-Q29+Q32</f>
        <v>3.0619951019161817E-13</v>
      </c>
      <c r="R99" s="218">
        <f>+R67-Q67-R29+R32</f>
        <v>-1.2034817586936697E-13</v>
      </c>
      <c r="S99" s="218">
        <f>+S67-R67-S29+S32</f>
        <v>2.4691360067663481E-13</v>
      </c>
      <c r="T99" s="218">
        <f>+T67-S67-T29+T32</f>
        <v>-2.1183055309847987E-13</v>
      </c>
      <c r="U99" s="215"/>
    </row>
    <row r="100" spans="2:21" ht="13.25" customHeight="1" x14ac:dyDescent="0.2">
      <c r="B100" s="201" t="s">
        <v>666</v>
      </c>
      <c r="C100" s="218"/>
      <c r="D100" s="218"/>
      <c r="E100" s="218"/>
      <c r="F100" s="218"/>
      <c r="G100" s="218"/>
      <c r="H100" s="218"/>
      <c r="I100" s="218"/>
      <c r="J100" s="218"/>
      <c r="K100" s="218"/>
      <c r="L100" s="218"/>
      <c r="M100" s="218"/>
      <c r="N100" s="218"/>
      <c r="O100" s="218"/>
      <c r="P100" s="218">
        <f>+P68-O68</f>
        <v>0</v>
      </c>
      <c r="Q100" s="218">
        <f>+Q68-P68</f>
        <v>0</v>
      </c>
      <c r="R100" s="218">
        <f>+R68-Q68</f>
        <v>0</v>
      </c>
      <c r="S100" s="218">
        <f>+S68-R68</f>
        <v>0</v>
      </c>
      <c r="T100" s="218">
        <f>+T68-S68</f>
        <v>0</v>
      </c>
      <c r="U100" s="215"/>
    </row>
    <row r="101" spans="2:21" ht="5" customHeight="1" x14ac:dyDescent="0.2">
      <c r="C101" s="218"/>
      <c r="D101" s="218"/>
      <c r="E101" s="218"/>
      <c r="F101" s="218"/>
      <c r="G101" s="218"/>
      <c r="H101" s="218"/>
      <c r="I101" s="218"/>
      <c r="J101" s="218"/>
      <c r="K101" s="218"/>
      <c r="L101" s="218"/>
      <c r="M101" s="218"/>
      <c r="N101" s="218"/>
      <c r="O101" s="218"/>
      <c r="P101" s="218"/>
      <c r="Q101" s="218"/>
      <c r="R101" s="218"/>
      <c r="S101" s="218"/>
      <c r="T101" s="218"/>
      <c r="U101" s="215"/>
    </row>
    <row r="102" spans="2:21" ht="13.25" customHeight="1" x14ac:dyDescent="0.2">
      <c r="B102" s="222" t="s">
        <v>667</v>
      </c>
      <c r="C102" s="223"/>
      <c r="D102" s="223"/>
      <c r="E102" s="223"/>
      <c r="F102" s="223"/>
      <c r="G102" s="223"/>
      <c r="H102" s="223"/>
      <c r="I102" s="223"/>
      <c r="J102" s="223"/>
      <c r="K102" s="223"/>
      <c r="L102" s="223"/>
      <c r="M102" s="223"/>
      <c r="N102" s="223"/>
      <c r="O102" s="223"/>
      <c r="P102" s="223">
        <f>+SUM(P96:P100)</f>
        <v>184.70292221299383</v>
      </c>
      <c r="Q102" s="223">
        <f>+SUM(Q96:Q100)</f>
        <v>164.99217109947159</v>
      </c>
      <c r="R102" s="223">
        <f>+SUM(R96:R100)</f>
        <v>207.55978198791911</v>
      </c>
      <c r="S102" s="223">
        <f>+SUM(S96:S100)</f>
        <v>223.63370963778314</v>
      </c>
      <c r="T102" s="223">
        <f>+SUM(T96:T100)</f>
        <v>235.66948847346484</v>
      </c>
      <c r="U102" s="215"/>
    </row>
    <row r="103" spans="2:21" ht="13.25" customHeight="1" x14ac:dyDescent="0.2">
      <c r="B103" s="226" t="s">
        <v>607</v>
      </c>
      <c r="C103" s="227"/>
      <c r="D103" s="227"/>
      <c r="E103" s="227"/>
      <c r="F103" s="227"/>
      <c r="G103" s="227"/>
      <c r="H103" s="227"/>
      <c r="I103" s="227"/>
      <c r="J103" s="227"/>
      <c r="K103" s="227"/>
      <c r="L103" s="227"/>
      <c r="M103" s="227"/>
      <c r="N103" s="227"/>
      <c r="O103" s="227"/>
      <c r="P103" s="227">
        <f>+P102+(P62-O62)</f>
        <v>0</v>
      </c>
      <c r="Q103" s="227">
        <f>+Q102+(Q62-P62)</f>
        <v>0</v>
      </c>
      <c r="R103" s="227">
        <f>+R102+(R62-Q62)</f>
        <v>0</v>
      </c>
      <c r="S103" s="227">
        <f>+S102+(S62-R62)</f>
        <v>0</v>
      </c>
      <c r="T103" s="227">
        <f>+T102+(T62-S62)</f>
        <v>0</v>
      </c>
      <c r="U103" s="199"/>
    </row>
    <row r="104" spans="2:21" ht="13.25" customHeight="1" x14ac:dyDescent="0.2">
      <c r="C104" s="218"/>
      <c r="D104" s="218"/>
      <c r="E104" s="218"/>
      <c r="F104" s="218"/>
      <c r="G104" s="218"/>
      <c r="H104" s="218"/>
      <c r="I104" s="218"/>
      <c r="J104" s="218"/>
      <c r="K104" s="218"/>
      <c r="L104" s="218"/>
      <c r="M104" s="218"/>
      <c r="N104" s="218"/>
      <c r="O104" s="218"/>
      <c r="P104" s="218"/>
      <c r="Q104" s="218"/>
      <c r="R104" s="218"/>
      <c r="S104" s="218"/>
      <c r="T104" s="218"/>
      <c r="U104" s="199"/>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0C767-57C6-4FFE-B435-7DEC7872E534}">
  <dimension ref="A1"/>
  <sheetViews>
    <sheetView workbookViewId="0">
      <selection activeCell="B2" sqref="B2"/>
    </sheetView>
  </sheetViews>
  <sheetFormatPr baseColWidth="10" defaultColWidth="8.83203125" defaultRowHeight="15" x14ac:dyDescent="0.2"/>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0473D-D3C1-1B41-990E-5EBE8324629B}">
  <dimension ref="A1:V87"/>
  <sheetViews>
    <sheetView showGridLines="0" topLeftCell="R1" zoomScaleNormal="100" workbookViewId="0">
      <pane ySplit="6" topLeftCell="A8" activePane="bottomLeft" state="frozen"/>
      <selection activeCell="B36" sqref="B36"/>
      <selection pane="bottomLeft" activeCell="T60" sqref="T60"/>
    </sheetView>
  </sheetViews>
  <sheetFormatPr baseColWidth="10" defaultColWidth="7.1640625" defaultRowHeight="13.25" customHeight="1" x14ac:dyDescent="0.15"/>
  <cols>
    <col min="1" max="1" width="11.1640625" style="199" customWidth="1"/>
    <col min="2" max="2" width="24.5" style="201" customWidth="1"/>
    <col min="3" max="20" width="7.1640625" style="199"/>
    <col min="21" max="21" width="7.1640625" style="23"/>
    <col min="22" max="16384" width="7.1640625" style="199"/>
  </cols>
  <sheetData>
    <row r="1" spans="2:21" ht="13.25" customHeight="1" x14ac:dyDescent="0.15">
      <c r="B1" s="198"/>
      <c r="F1" s="200"/>
      <c r="P1" s="200"/>
    </row>
    <row r="2" spans="2:21" ht="20" customHeight="1" x14ac:dyDescent="0.15">
      <c r="B2" s="198" t="s">
        <v>776</v>
      </c>
      <c r="F2" s="200"/>
      <c r="P2" s="200"/>
    </row>
    <row r="3" spans="2:21" ht="13.25" customHeight="1" x14ac:dyDescent="0.15">
      <c r="F3" s="202" t="s">
        <v>586</v>
      </c>
      <c r="G3" s="204"/>
      <c r="H3" s="204"/>
      <c r="I3" s="204"/>
      <c r="J3" s="204"/>
      <c r="K3" s="204"/>
      <c r="L3" s="204"/>
      <c r="M3" s="203"/>
      <c r="N3" s="203"/>
      <c r="O3" s="203"/>
      <c r="P3" s="202" t="s">
        <v>669</v>
      </c>
      <c r="Q3" s="204"/>
      <c r="R3" s="204"/>
      <c r="S3" s="204"/>
      <c r="T3" s="204"/>
    </row>
    <row r="4" spans="2:21" ht="5" customHeight="1" x14ac:dyDescent="0.15">
      <c r="F4" s="200"/>
      <c r="P4" s="200"/>
    </row>
    <row r="5" spans="2:21" ht="15" customHeight="1" x14ac:dyDescent="0.15">
      <c r="B5" s="205" t="str">
        <f>[1]AsReported!B5</f>
        <v>(EUR m)</v>
      </c>
      <c r="C5" s="206"/>
      <c r="D5" s="206"/>
      <c r="E5" s="206"/>
      <c r="F5" s="208">
        <v>42192</v>
      </c>
      <c r="G5" s="208">
        <f>F5+365</f>
        <v>42557</v>
      </c>
      <c r="H5" s="208">
        <f t="shared" ref="H5:O5" si="0">G5+365</f>
        <v>42922</v>
      </c>
      <c r="I5" s="208">
        <f t="shared" si="0"/>
        <v>43287</v>
      </c>
      <c r="J5" s="208">
        <f t="shared" si="0"/>
        <v>43652</v>
      </c>
      <c r="K5" s="208">
        <f t="shared" si="0"/>
        <v>44017</v>
      </c>
      <c r="L5" s="208">
        <f t="shared" si="0"/>
        <v>44382</v>
      </c>
      <c r="M5" s="208">
        <f t="shared" si="0"/>
        <v>44747</v>
      </c>
      <c r="N5" s="208">
        <f t="shared" si="0"/>
        <v>45112</v>
      </c>
      <c r="O5" s="208">
        <f t="shared" si="0"/>
        <v>45477</v>
      </c>
      <c r="P5" s="255">
        <f>O5+365</f>
        <v>45842</v>
      </c>
      <c r="Q5" s="254">
        <f>P5+365</f>
        <v>46207</v>
      </c>
      <c r="R5" s="254">
        <f t="shared" ref="R5:T5" si="1">Q5+365</f>
        <v>46572</v>
      </c>
      <c r="S5" s="254">
        <f t="shared" si="1"/>
        <v>46937</v>
      </c>
      <c r="T5" s="254">
        <f t="shared" si="1"/>
        <v>47302</v>
      </c>
    </row>
    <row r="6" spans="2:21" ht="5" customHeight="1" x14ac:dyDescent="0.15">
      <c r="F6" s="200"/>
      <c r="P6" s="200"/>
    </row>
    <row r="7" spans="2:21" ht="5" customHeight="1" x14ac:dyDescent="0.2">
      <c r="U7" s="199"/>
    </row>
    <row r="8" spans="2:21" ht="13.25" customHeight="1" x14ac:dyDescent="0.2">
      <c r="B8" s="211" t="s">
        <v>777</v>
      </c>
      <c r="C8" s="212"/>
      <c r="D8" s="212"/>
      <c r="E8" s="212"/>
      <c r="F8" s="212"/>
      <c r="G8" s="212"/>
      <c r="H8" s="212"/>
      <c r="I8" s="212"/>
      <c r="J8" s="212"/>
      <c r="K8" s="212"/>
      <c r="L8" s="212"/>
      <c r="M8" s="212"/>
      <c r="N8" s="212"/>
      <c r="O8" s="212"/>
      <c r="P8" s="212"/>
      <c r="Q8" s="212"/>
      <c r="R8" s="212"/>
      <c r="S8" s="212"/>
      <c r="T8" s="212"/>
      <c r="U8" s="199"/>
    </row>
    <row r="9" spans="2:21" ht="5" customHeight="1" x14ac:dyDescent="0.15"/>
    <row r="10" spans="2:21" ht="13.25" customHeight="1" x14ac:dyDescent="0.15">
      <c r="B10" s="201" t="s">
        <v>778</v>
      </c>
      <c r="C10" s="314"/>
      <c r="D10" s="314"/>
      <c r="E10" s="314"/>
      <c r="F10" s="314"/>
      <c r="G10" s="314"/>
      <c r="H10" s="314"/>
      <c r="I10" s="314"/>
      <c r="J10" s="314"/>
      <c r="K10" s="314"/>
      <c r="L10" s="314"/>
      <c r="M10" s="314">
        <f>+'Output (2)'!M11</f>
        <v>9.9772634354997392E-2</v>
      </c>
      <c r="N10" s="314">
        <f>+'Output (2)'!N11</f>
        <v>-0.1564338075933519</v>
      </c>
      <c r="O10" s="314">
        <f>+'Output (2)'!O11</f>
        <v>3.2413060328685406E-2</v>
      </c>
      <c r="P10" s="314">
        <f>+'Output (2)'!P11</f>
        <v>1.2293460499887443E-2</v>
      </c>
      <c r="Q10" s="314">
        <f>+'Output (2)'!Q11</f>
        <v>5.0000000000000044E-2</v>
      </c>
      <c r="R10" s="314">
        <f>+'Output (2)'!R11</f>
        <v>5.0000000000000044E-2</v>
      </c>
      <c r="S10" s="314">
        <f>+'Output (2)'!S11</f>
        <v>5.0000000000000044E-2</v>
      </c>
      <c r="T10" s="314">
        <f>+'Output (2)'!T11</f>
        <v>5.0000000000000044E-2</v>
      </c>
    </row>
    <row r="11" spans="2:21" ht="13.25" customHeight="1" x14ac:dyDescent="0.15">
      <c r="B11" s="201" t="s">
        <v>779</v>
      </c>
      <c r="C11" s="314"/>
      <c r="D11" s="314"/>
      <c r="E11" s="314"/>
      <c r="F11" s="314">
        <f>+'Output (2)'!F16</f>
        <v>0.41410029628531525</v>
      </c>
      <c r="G11" s="314"/>
      <c r="H11" s="314"/>
      <c r="I11" s="314"/>
      <c r="J11" s="314"/>
      <c r="K11" s="314"/>
      <c r="L11" s="314"/>
      <c r="M11" s="314">
        <f>+'Output (2)'!M16</f>
        <v>0.39418339654024798</v>
      </c>
      <c r="N11" s="314">
        <f>+'Output (2)'!N16</f>
        <v>0.34507624911819268</v>
      </c>
      <c r="O11" s="314">
        <f>+'Output (2)'!O16</f>
        <v>0.34909530489857232</v>
      </c>
      <c r="P11" s="314">
        <f>+'Output (2)'!P16</f>
        <v>0.33092153173911509</v>
      </c>
      <c r="Q11" s="314">
        <f>+'Output (2)'!Q16</f>
        <v>0.33569533107453919</v>
      </c>
      <c r="R11" s="314">
        <f>+'Output (2)'!R16</f>
        <v>0.37</v>
      </c>
      <c r="S11" s="314">
        <f>+'Output (2)'!S16</f>
        <v>0.37</v>
      </c>
      <c r="T11" s="314">
        <f>+'Output (2)'!T16</f>
        <v>0.36736371966126841</v>
      </c>
    </row>
    <row r="12" spans="2:21" ht="13.25" customHeight="1" x14ac:dyDescent="0.15">
      <c r="B12" s="201" t="s">
        <v>780</v>
      </c>
      <c r="C12" s="314"/>
      <c r="D12" s="314"/>
      <c r="E12" s="314"/>
      <c r="F12" s="314">
        <f>+'Output (2)'!F21</f>
        <v>0.34802406341587511</v>
      </c>
      <c r="G12" s="314"/>
      <c r="H12" s="314"/>
      <c r="I12" s="314"/>
      <c r="J12" s="314"/>
      <c r="K12" s="314"/>
      <c r="L12" s="314"/>
      <c r="M12" s="314">
        <f>+'Output (2)'!M21</f>
        <v>0.30650382253673031</v>
      </c>
      <c r="N12" s="314">
        <f>+'Output (2)'!N21</f>
        <v>0.24489771034915217</v>
      </c>
      <c r="O12" s="314">
        <f>+'Output (2)'!O21</f>
        <v>0.24023917120160071</v>
      </c>
      <c r="P12" s="314">
        <f>+'Output (2)'!P21</f>
        <v>0.24337376196076113</v>
      </c>
      <c r="Q12" s="314">
        <f>+'Output (2)'!Q21</f>
        <v>0.22439355766845345</v>
      </c>
      <c r="R12" s="314">
        <f>+'Output (2)'!R21</f>
        <v>0.25490003033012726</v>
      </c>
      <c r="S12" s="314">
        <f>+'Output (2)'!S21</f>
        <v>0.25116764259098695</v>
      </c>
      <c r="T12" s="314">
        <f>+'Output (2)'!T21</f>
        <v>0.24487118908186095</v>
      </c>
    </row>
    <row r="13" spans="2:21" ht="13.25" customHeight="1" x14ac:dyDescent="0.15">
      <c r="B13" s="201" t="s">
        <v>781</v>
      </c>
      <c r="C13" s="314"/>
      <c r="D13" s="314"/>
      <c r="E13" s="314"/>
      <c r="F13" s="314">
        <f>+'Output (2)'!F30</f>
        <v>0.23620690691352425</v>
      </c>
      <c r="G13" s="314"/>
      <c r="H13" s="314"/>
      <c r="I13" s="314"/>
      <c r="J13" s="314"/>
      <c r="K13" s="314"/>
      <c r="L13" s="314"/>
      <c r="M13" s="314">
        <f>+'Output (2)'!M30</f>
        <v>0.2021014768524573</v>
      </c>
      <c r="N13" s="314">
        <f>+'Output (2)'!N30</f>
        <v>0.17759294902500414</v>
      </c>
      <c r="O13" s="314">
        <f>+'Output (2)'!O30</f>
        <v>0.16381523282327795</v>
      </c>
      <c r="P13" s="314">
        <f>+'Output (2)'!P30</f>
        <v>0.13602726634489939</v>
      </c>
      <c r="Q13" s="314">
        <f>+'Output (2)'!Q30</f>
        <v>0.12454174186118934</v>
      </c>
      <c r="R13" s="314">
        <f>+'Output (2)'!R30</f>
        <v>0.14815221778546173</v>
      </c>
      <c r="S13" s="314">
        <f>+'Output (2)'!S30</f>
        <v>0.14724246506863051</v>
      </c>
      <c r="T13" s="314">
        <f>+'Output (2)'!T30</f>
        <v>0.14415043267558456</v>
      </c>
    </row>
    <row r="14" spans="2:21" ht="13.25" customHeight="1" x14ac:dyDescent="0.15">
      <c r="B14" s="213"/>
      <c r="C14" s="317"/>
      <c r="D14" s="317"/>
      <c r="E14" s="317"/>
      <c r="F14" s="317"/>
      <c r="G14" s="317"/>
      <c r="H14" s="317"/>
      <c r="I14" s="317"/>
      <c r="J14" s="317"/>
      <c r="K14" s="317"/>
      <c r="L14" s="317"/>
      <c r="M14" s="317"/>
      <c r="N14" s="317"/>
      <c r="O14" s="317"/>
      <c r="P14" s="317"/>
      <c r="Q14" s="317"/>
      <c r="R14" s="317"/>
      <c r="S14" s="317"/>
      <c r="T14" s="317"/>
    </row>
    <row r="15" spans="2:21" ht="13.25" customHeight="1" x14ac:dyDescent="0.2">
      <c r="B15" s="211" t="s">
        <v>782</v>
      </c>
      <c r="C15" s="212"/>
      <c r="D15" s="212"/>
      <c r="E15" s="212"/>
      <c r="F15" s="212"/>
      <c r="G15" s="212"/>
      <c r="H15" s="212"/>
      <c r="I15" s="212"/>
      <c r="J15" s="212"/>
      <c r="K15" s="212"/>
      <c r="L15" s="212"/>
      <c r="M15" s="212"/>
      <c r="N15" s="212"/>
      <c r="O15" s="212"/>
      <c r="P15" s="212"/>
      <c r="Q15" s="212"/>
      <c r="R15" s="212"/>
      <c r="S15" s="212"/>
      <c r="T15" s="212"/>
      <c r="U15" s="199"/>
    </row>
    <row r="16" spans="2:21" ht="5" customHeight="1" x14ac:dyDescent="0.15"/>
    <row r="17" spans="1:21" ht="13.25" customHeight="1" x14ac:dyDescent="0.15">
      <c r="B17" s="201" t="s">
        <v>783</v>
      </c>
      <c r="C17" s="267"/>
      <c r="D17" s="267"/>
      <c r="E17" s="267"/>
      <c r="F17" s="267"/>
      <c r="G17" s="267"/>
      <c r="H17" s="267"/>
      <c r="I17" s="267"/>
      <c r="J17" s="267"/>
      <c r="K17" s="267"/>
      <c r="L17" s="267"/>
      <c r="M17" s="267">
        <f>-'Output (2)'!M86-'Output (2)'!M85</f>
        <v>0</v>
      </c>
      <c r="N17" s="267">
        <f>-'Output (2)'!N86-'Output (2)'!N85</f>
        <v>0</v>
      </c>
      <c r="O17" s="267">
        <f>-'Output (2)'!O86-'Output (2)'!O85</f>
        <v>0</v>
      </c>
      <c r="P17" s="267">
        <f>-'Output (2)'!P86-'Output (2)'!P85</f>
        <v>111.79848683814515</v>
      </c>
      <c r="Q17" s="267">
        <f>-'Output (2)'!Q86-'Output (2)'!Q85</f>
        <v>117.38841118005244</v>
      </c>
      <c r="R17" s="267">
        <f>-'Output (2)'!R86-'Output (2)'!R85</f>
        <v>123.25783173905477</v>
      </c>
      <c r="S17" s="267">
        <f>-'Output (2)'!S86-'Output (2)'!S85</f>
        <v>129.42072332600782</v>
      </c>
      <c r="T17" s="267">
        <f>-'Output (2)'!T86-'Output (2)'!T85</f>
        <v>135.89175949230813</v>
      </c>
    </row>
    <row r="18" spans="1:21" ht="13.25" customHeight="1" x14ac:dyDescent="0.15">
      <c r="B18" s="201" t="s">
        <v>784</v>
      </c>
      <c r="C18" s="267"/>
      <c r="D18" s="267"/>
      <c r="E18" s="267"/>
      <c r="F18" s="267"/>
      <c r="G18" s="267"/>
      <c r="H18" s="267"/>
      <c r="I18" s="267"/>
      <c r="J18" s="267"/>
      <c r="K18" s="267"/>
      <c r="L18" s="267"/>
      <c r="M18" s="267">
        <f>+'Output (2)'!M81+'Output (2)'!M80</f>
        <v>0</v>
      </c>
      <c r="N18" s="267">
        <f>+'Output (2)'!N81+'Output (2)'!N80</f>
        <v>0</v>
      </c>
      <c r="O18" s="267">
        <f>+'Output (2)'!O81+'Output (2)'!O80</f>
        <v>0</v>
      </c>
      <c r="P18" s="267">
        <f>+'Output (2)'!P81+'Output (2)'!P80</f>
        <v>105.05732373402475</v>
      </c>
      <c r="Q18" s="267">
        <f>+'Output (2)'!Q81+'Output (2)'!Q80</f>
        <v>140.24023449166805</v>
      </c>
      <c r="R18" s="267">
        <f>+'Output (2)'!R81+'Output (2)'!R80</f>
        <v>152.27725987324169</v>
      </c>
      <c r="S18" s="267">
        <f>+'Output (2)'!S81+'Output (2)'!S80</f>
        <v>165.07596929473044</v>
      </c>
      <c r="T18" s="267">
        <f>+'Output (2)'!T81+'Output (2)'!T80</f>
        <v>178.66852379710312</v>
      </c>
    </row>
    <row r="19" spans="1:21" ht="5" customHeight="1" x14ac:dyDescent="0.15"/>
    <row r="20" spans="1:21" ht="13.25" customHeight="1" x14ac:dyDescent="0.15">
      <c r="B20" s="316" t="s">
        <v>785</v>
      </c>
      <c r="C20" s="315"/>
      <c r="D20" s="315"/>
      <c r="E20" s="315"/>
      <c r="F20" s="315"/>
      <c r="G20" s="315"/>
      <c r="H20" s="315"/>
      <c r="I20" s="315"/>
      <c r="J20" s="315"/>
      <c r="K20" s="315"/>
      <c r="L20" s="315"/>
      <c r="M20" s="315" t="str">
        <f t="shared" ref="M20:T20" si="2">+IF(M17&gt;M18,"Expanding",IF(M17&lt;M18,"Downsizing","Neither"))</f>
        <v>Neither</v>
      </c>
      <c r="N20" s="315" t="str">
        <f t="shared" si="2"/>
        <v>Neither</v>
      </c>
      <c r="O20" s="315" t="str">
        <f t="shared" si="2"/>
        <v>Neither</v>
      </c>
      <c r="P20" s="315" t="str">
        <f t="shared" si="2"/>
        <v>Expanding</v>
      </c>
      <c r="Q20" s="315" t="str">
        <f t="shared" si="2"/>
        <v>Downsizing</v>
      </c>
      <c r="R20" s="315" t="str">
        <f t="shared" si="2"/>
        <v>Downsizing</v>
      </c>
      <c r="S20" s="315" t="str">
        <f t="shared" si="2"/>
        <v>Downsizing</v>
      </c>
      <c r="T20" s="315" t="str">
        <f t="shared" si="2"/>
        <v>Downsizing</v>
      </c>
    </row>
    <row r="21" spans="1:21" ht="13.25" customHeight="1" x14ac:dyDescent="0.15">
      <c r="B21" s="316" t="s">
        <v>786</v>
      </c>
      <c r="C21" s="315"/>
      <c r="D21" s="315"/>
      <c r="E21" s="315"/>
      <c r="F21" s="315"/>
      <c r="G21" s="315"/>
      <c r="H21" s="315"/>
      <c r="I21" s="315"/>
      <c r="J21" s="315"/>
      <c r="K21" s="315"/>
      <c r="L21" s="315"/>
      <c r="M21" s="315" t="str">
        <f t="shared" ref="M21:T21" si="3">+IF(M17&gt;0,"No","Yes")</f>
        <v>Yes</v>
      </c>
      <c r="N21" s="315" t="str">
        <f t="shared" si="3"/>
        <v>Yes</v>
      </c>
      <c r="O21" s="315" t="str">
        <f t="shared" si="3"/>
        <v>Yes</v>
      </c>
      <c r="P21" s="315" t="str">
        <f t="shared" si="3"/>
        <v>No</v>
      </c>
      <c r="Q21" s="315" t="str">
        <f t="shared" si="3"/>
        <v>No</v>
      </c>
      <c r="R21" s="315" t="str">
        <f t="shared" si="3"/>
        <v>No</v>
      </c>
      <c r="S21" s="315" t="str">
        <f t="shared" si="3"/>
        <v>No</v>
      </c>
      <c r="T21" s="315" t="str">
        <f t="shared" si="3"/>
        <v>No</v>
      </c>
    </row>
    <row r="22" spans="1:21" ht="5" customHeight="1" x14ac:dyDescent="0.15"/>
    <row r="23" spans="1:21" ht="13.25" customHeight="1" x14ac:dyDescent="0.15">
      <c r="A23" s="262"/>
      <c r="B23" s="201" t="s">
        <v>787</v>
      </c>
      <c r="C23" s="249"/>
      <c r="D23" s="249"/>
      <c r="E23" s="249"/>
      <c r="F23" s="249"/>
      <c r="G23" s="249"/>
      <c r="H23" s="249"/>
      <c r="I23" s="249"/>
      <c r="J23" s="249"/>
      <c r="K23" s="249"/>
      <c r="L23" s="249"/>
      <c r="M23" s="237" t="e">
        <f t="shared" ref="M23:T23" si="4">+M18/M17</f>
        <v>#DIV/0!</v>
      </c>
      <c r="N23" s="237" t="e">
        <f t="shared" si="4"/>
        <v>#DIV/0!</v>
      </c>
      <c r="O23" s="237" t="e">
        <f t="shared" si="4"/>
        <v>#DIV/0!</v>
      </c>
      <c r="P23" s="237">
        <f t="shared" si="4"/>
        <v>0.93970255506338085</v>
      </c>
      <c r="Q23" s="237">
        <f t="shared" si="4"/>
        <v>1.1946684777645136</v>
      </c>
      <c r="R23" s="237">
        <f t="shared" si="4"/>
        <v>1.2354367890847133</v>
      </c>
      <c r="S23" s="237">
        <f t="shared" si="4"/>
        <v>1.2754987381650456</v>
      </c>
      <c r="T23" s="237">
        <f t="shared" si="4"/>
        <v>1.3147855651042348</v>
      </c>
    </row>
    <row r="24" spans="1:21" ht="13.25" customHeight="1" x14ac:dyDescent="0.15">
      <c r="A24" s="262"/>
      <c r="B24" s="201" t="s">
        <v>788</v>
      </c>
      <c r="C24" s="276"/>
      <c r="D24" s="276"/>
      <c r="E24" s="276"/>
      <c r="F24" s="276"/>
      <c r="G24" s="276"/>
      <c r="H24" s="276"/>
      <c r="I24" s="276"/>
      <c r="J24" s="276"/>
      <c r="K24" s="276"/>
      <c r="L24" s="276"/>
      <c r="M24" s="243">
        <f>+M18/AVERAGE('Output (2)'!F47:M47)</f>
        <v>0</v>
      </c>
      <c r="N24" s="243">
        <f>+N18/AVERAGE('Output (2)'!M47:N47)</f>
        <v>0</v>
      </c>
      <c r="O24" s="243">
        <f>+O18/AVERAGE('Output (2)'!N47:O47)</f>
        <v>0</v>
      </c>
      <c r="P24" s="243">
        <f>+P18/AVERAGE('Output (2)'!O47:P47)</f>
        <v>4.5613326245053501E-2</v>
      </c>
      <c r="Q24" s="243">
        <f>+Q18/AVERAGE('Output (2)'!P47:Q47)</f>
        <v>6.1102589417524292E-2</v>
      </c>
      <c r="R24" s="243">
        <f>+R18/AVERAGE('Output (2)'!Q47:R47)</f>
        <v>6.7105414839468649E-2</v>
      </c>
      <c r="S24" s="243">
        <f>+S18/AVERAGE('Output (2)'!R47:S47)</f>
        <v>7.379717794926928E-2</v>
      </c>
      <c r="T24" s="243">
        <f>+T18/AVERAGE('Output (2)'!S47:T47)</f>
        <v>8.1299020984399659E-2</v>
      </c>
    </row>
    <row r="25" spans="1:21" ht="13.25" customHeight="1" x14ac:dyDescent="0.15">
      <c r="C25" s="267"/>
      <c r="D25" s="267"/>
      <c r="E25" s="267"/>
      <c r="F25" s="267"/>
      <c r="G25" s="267"/>
      <c r="H25" s="267"/>
      <c r="I25" s="267"/>
      <c r="J25" s="267"/>
      <c r="K25" s="267"/>
      <c r="L25" s="267"/>
      <c r="M25" s="267"/>
      <c r="N25" s="267"/>
      <c r="O25" s="267"/>
      <c r="P25" s="267"/>
      <c r="Q25" s="267"/>
      <c r="R25" s="267"/>
      <c r="S25" s="267"/>
      <c r="T25" s="267"/>
    </row>
    <row r="26" spans="1:21" ht="13.25" customHeight="1" x14ac:dyDescent="0.2">
      <c r="B26" s="211" t="s">
        <v>789</v>
      </c>
      <c r="C26" s="212"/>
      <c r="D26" s="212"/>
      <c r="E26" s="212"/>
      <c r="F26" s="212"/>
      <c r="G26" s="212"/>
      <c r="H26" s="212"/>
      <c r="I26" s="212"/>
      <c r="J26" s="212"/>
      <c r="K26" s="212"/>
      <c r="L26" s="212"/>
      <c r="M26" s="212"/>
      <c r="N26" s="212"/>
      <c r="O26" s="212"/>
      <c r="P26" s="212"/>
      <c r="Q26" s="212"/>
      <c r="R26" s="212"/>
      <c r="S26" s="212"/>
      <c r="T26" s="212"/>
      <c r="U26" s="199"/>
    </row>
    <row r="27" spans="1:21" ht="5" customHeight="1" x14ac:dyDescent="0.15"/>
    <row r="28" spans="1:21" ht="13.25" customHeight="1" x14ac:dyDescent="0.15">
      <c r="B28" s="201" t="s">
        <v>790</v>
      </c>
      <c r="C28" s="267"/>
      <c r="D28" s="267"/>
      <c r="E28" s="267"/>
      <c r="F28" s="267">
        <f>365*'Output (2)'!F37/((1+Assumptions!$F$46)*'Output (2)'!F10)</f>
        <v>63.295949256685724</v>
      </c>
      <c r="G28" s="267"/>
      <c r="H28" s="267"/>
      <c r="I28" s="267"/>
      <c r="J28" s="267"/>
      <c r="K28" s="267"/>
      <c r="L28" s="267"/>
      <c r="M28" s="267">
        <f>365*'Output (2)'!M37/((1+Assumptions!$F$46)*'Output (2)'!M10)</f>
        <v>53.049778694100929</v>
      </c>
      <c r="N28" s="267">
        <f>365*'Output (2)'!N37/((1+Assumptions!$F$46)*'Output (2)'!N10)</f>
        <v>59.593481999994005</v>
      </c>
      <c r="O28" s="267">
        <f>365*'Output (2)'!O37/((1+Assumptions!$F$46)*'Output (2)'!O10)</f>
        <v>51.513923591785364</v>
      </c>
      <c r="P28" s="267">
        <f>365*'Output (2)'!P37/((1+Assumptions!$F$46)*'Output (2)'!P10)</f>
        <v>54.719061428626766</v>
      </c>
      <c r="Q28" s="267">
        <f>365*'Output (2)'!Q37/((1+Assumptions!$F$46)*'Output (2)'!Q10)</f>
        <v>54.719061428626766</v>
      </c>
      <c r="R28" s="267">
        <f>365*'Output (2)'!R37/((1+Assumptions!$F$46)*'Output (2)'!R10)</f>
        <v>54.719061428626773</v>
      </c>
      <c r="S28" s="267">
        <f>365*'Output (2)'!S37/((1+Assumptions!$F$46)*'Output (2)'!S10)</f>
        <v>54.719061428626759</v>
      </c>
      <c r="T28" s="267">
        <f>365*'Output (2)'!T37/((1+Assumptions!$F$46)*'Output (2)'!T10)</f>
        <v>54.719061428626766</v>
      </c>
    </row>
    <row r="29" spans="1:21" ht="13.25" customHeight="1" x14ac:dyDescent="0.15">
      <c r="B29" s="201" t="s">
        <v>791</v>
      </c>
      <c r="C29" s="267"/>
      <c r="D29" s="267"/>
      <c r="E29" s="267"/>
      <c r="F29" s="267">
        <f>365*'Output (2)'!F38/((1+Assumptions!$F$46)*'Output (2)'!F13)</f>
        <v>-77.562804354351854</v>
      </c>
      <c r="G29" s="267"/>
      <c r="H29" s="267"/>
      <c r="I29" s="267"/>
      <c r="J29" s="267"/>
      <c r="K29" s="267"/>
      <c r="L29" s="267"/>
      <c r="M29" s="267">
        <f>365*'Output (2)'!M38/((1+Assumptions!$F$46)*'Output (2)'!M13)</f>
        <v>-67.695452815768576</v>
      </c>
      <c r="N29" s="267">
        <f>365*'Output (2)'!N38/((1+Assumptions!$F$46)*'Output (2)'!N13)</f>
        <v>-74.024013803647634</v>
      </c>
      <c r="O29" s="267">
        <f>365*'Output (2)'!O38/((1+Assumptions!$F$46)*'Output (2)'!O13)</f>
        <v>-73.748362097213956</v>
      </c>
      <c r="P29" s="267">
        <f>365*'Output (2)'!P38/((1+Assumptions!$F$46)*'Output (2)'!P13)</f>
        <v>92.865892439189864</v>
      </c>
      <c r="Q29" s="267">
        <f>365*'Output (2)'!Q38/((1+Assumptions!$F$46)*'Output (2)'!Q13)</f>
        <v>92.865892439189864</v>
      </c>
      <c r="R29" s="267">
        <f>365*'Output (2)'!R38/((1+Assumptions!$F$46)*'Output (2)'!R13)</f>
        <v>92.865892439189864</v>
      </c>
      <c r="S29" s="267">
        <f>365*'Output (2)'!S38/((1+Assumptions!$F$46)*'Output (2)'!S13)</f>
        <v>92.865892439189864</v>
      </c>
      <c r="T29" s="267">
        <f>365*'Output (2)'!T38/((1+Assumptions!$F$46)*'Output (2)'!T13)</f>
        <v>92.865892439189864</v>
      </c>
    </row>
    <row r="30" spans="1:21" ht="13.25" customHeight="1" x14ac:dyDescent="0.15">
      <c r="B30" s="201" t="s">
        <v>792</v>
      </c>
      <c r="C30" s="267"/>
      <c r="D30" s="267"/>
      <c r="E30" s="267"/>
      <c r="F30" s="267">
        <f>365*'Output (2)'!F39/('Output (2)'!F10)</f>
        <v>77.648077551028592</v>
      </c>
      <c r="G30" s="267"/>
      <c r="H30" s="267"/>
      <c r="I30" s="267"/>
      <c r="J30" s="267"/>
      <c r="K30" s="267"/>
      <c r="L30" s="267"/>
      <c r="M30" s="267">
        <f>365*'Output (2)'!M39/('Output (2)'!M10)</f>
        <v>82.191221610152681</v>
      </c>
      <c r="N30" s="267">
        <f>365*'Output (2)'!N39/('Output (2)'!N10)</f>
        <v>100.29306485747381</v>
      </c>
      <c r="O30" s="267">
        <f>365*'Output (2)'!O39/('Output (2)'!O10)</f>
        <v>105.93287903852368</v>
      </c>
      <c r="P30" s="267">
        <f>365*'Output (2)'!P39/('Output (2)'!P10)</f>
        <v>80.67756481270564</v>
      </c>
      <c r="Q30" s="267">
        <f>365*'Output (2)'!Q39/('Output (2)'!Q10)</f>
        <v>80.67756481270564</v>
      </c>
      <c r="R30" s="267">
        <f>365*'Output (2)'!R39/('Output (2)'!R10)</f>
        <v>80.677564812705626</v>
      </c>
      <c r="S30" s="267">
        <f>365*'Output (2)'!S39/('Output (2)'!S10)</f>
        <v>80.677564812705626</v>
      </c>
      <c r="T30" s="267">
        <f>365*'Output (2)'!T39/('Output (2)'!T10)</f>
        <v>80.677564812705654</v>
      </c>
    </row>
    <row r="31" spans="1:21" ht="5" customHeight="1" x14ac:dyDescent="0.15">
      <c r="C31" s="267"/>
      <c r="D31" s="267"/>
      <c r="E31" s="267"/>
      <c r="F31" s="267"/>
      <c r="G31" s="267"/>
      <c r="H31" s="267"/>
      <c r="I31" s="267"/>
      <c r="J31" s="267"/>
      <c r="K31" s="267"/>
      <c r="L31" s="267"/>
      <c r="M31" s="267"/>
      <c r="N31" s="267"/>
      <c r="O31" s="267"/>
      <c r="P31" s="267"/>
      <c r="Q31" s="267"/>
      <c r="R31" s="267"/>
      <c r="S31" s="267"/>
      <c r="T31" s="267"/>
    </row>
    <row r="32" spans="1:21" ht="13.25" customHeight="1" x14ac:dyDescent="0.15">
      <c r="B32" s="316" t="s">
        <v>793</v>
      </c>
      <c r="C32" s="315"/>
      <c r="D32" s="315"/>
      <c r="E32" s="315"/>
      <c r="F32" s="315"/>
      <c r="G32" s="315"/>
      <c r="H32" s="315"/>
      <c r="I32" s="315"/>
      <c r="J32" s="315"/>
      <c r="K32" s="315"/>
      <c r="L32" s="315"/>
      <c r="M32" s="315" t="str">
        <f>+IF(M28&gt;F28,"Later",IF(M28&lt;F28,"Sooner","Equally"))</f>
        <v>Sooner</v>
      </c>
      <c r="N32" s="315" t="str">
        <f t="shared" ref="N32:T33" si="5">+IF(N28&gt;M28,"Later",IF(N28&lt;M28,"Sooner","Equally"))</f>
        <v>Later</v>
      </c>
      <c r="O32" s="315" t="str">
        <f t="shared" si="5"/>
        <v>Sooner</v>
      </c>
      <c r="P32" s="315" t="str">
        <f t="shared" si="5"/>
        <v>Later</v>
      </c>
      <c r="Q32" s="315" t="str">
        <f t="shared" si="5"/>
        <v>Equally</v>
      </c>
      <c r="R32" s="315" t="str">
        <f t="shared" si="5"/>
        <v>Equally</v>
      </c>
      <c r="S32" s="315" t="str">
        <f t="shared" si="5"/>
        <v>Equally</v>
      </c>
      <c r="T32" s="315" t="str">
        <f t="shared" si="5"/>
        <v>Equally</v>
      </c>
    </row>
    <row r="33" spans="2:21" ht="13.25" customHeight="1" x14ac:dyDescent="0.15">
      <c r="B33" s="316" t="s">
        <v>906</v>
      </c>
      <c r="C33" s="315"/>
      <c r="D33" s="315"/>
      <c r="E33" s="315"/>
      <c r="F33" s="315"/>
      <c r="G33" s="315"/>
      <c r="H33" s="315"/>
      <c r="I33" s="315"/>
      <c r="J33" s="315"/>
      <c r="K33" s="315"/>
      <c r="L33" s="315"/>
      <c r="M33" s="315" t="str">
        <f>+IF(M29&gt;F29,"Later",IF(M29&lt;F29,"Sooner","Equally"))</f>
        <v>Later</v>
      </c>
      <c r="N33" s="315" t="str">
        <f t="shared" si="5"/>
        <v>Sooner</v>
      </c>
      <c r="O33" s="315" t="str">
        <f t="shared" si="5"/>
        <v>Later</v>
      </c>
      <c r="P33" s="315" t="str">
        <f t="shared" si="5"/>
        <v>Later</v>
      </c>
      <c r="Q33" s="315" t="str">
        <f t="shared" si="5"/>
        <v>Equally</v>
      </c>
      <c r="R33" s="315" t="str">
        <f t="shared" si="5"/>
        <v>Equally</v>
      </c>
      <c r="S33" s="315" t="str">
        <f t="shared" si="5"/>
        <v>Equally</v>
      </c>
      <c r="T33" s="315" t="str">
        <f t="shared" si="5"/>
        <v>Equally</v>
      </c>
    </row>
    <row r="34" spans="2:21" ht="13.25" customHeight="1" x14ac:dyDescent="0.15">
      <c r="B34" s="316" t="s">
        <v>794</v>
      </c>
      <c r="C34" s="315"/>
      <c r="D34" s="315"/>
      <c r="E34" s="315"/>
      <c r="F34" s="315"/>
      <c r="G34" s="315"/>
      <c r="H34" s="315"/>
      <c r="I34" s="315"/>
      <c r="J34" s="315"/>
      <c r="K34" s="315"/>
      <c r="L34" s="315"/>
      <c r="M34" s="315" t="str">
        <f>+IF(M30&gt;F30,"Longer",IF(M30&lt;F30,"Less","Equally"))</f>
        <v>Longer</v>
      </c>
      <c r="N34" s="315" t="str">
        <f t="shared" ref="N34:T34" si="6">+IF(N30&gt;M30,"Longer",IF(N30&lt;M30,"Less","Equally"))</f>
        <v>Longer</v>
      </c>
      <c r="O34" s="315" t="str">
        <f t="shared" si="6"/>
        <v>Longer</v>
      </c>
      <c r="P34" s="315" t="str">
        <f t="shared" si="6"/>
        <v>Less</v>
      </c>
      <c r="Q34" s="315" t="str">
        <f t="shared" si="6"/>
        <v>Equally</v>
      </c>
      <c r="R34" s="315" t="str">
        <f t="shared" si="6"/>
        <v>Equally</v>
      </c>
      <c r="S34" s="315" t="str">
        <f t="shared" si="6"/>
        <v>Equally</v>
      </c>
      <c r="T34" s="315" t="str">
        <f t="shared" si="6"/>
        <v>Longer</v>
      </c>
    </row>
    <row r="35" spans="2:21" ht="13.25" customHeight="1" x14ac:dyDescent="0.15">
      <c r="C35" s="267"/>
      <c r="D35" s="267"/>
      <c r="E35" s="267"/>
      <c r="F35" s="267"/>
      <c r="G35" s="267"/>
      <c r="H35" s="267"/>
      <c r="I35" s="267"/>
      <c r="J35" s="267"/>
      <c r="K35" s="267"/>
      <c r="L35" s="267"/>
      <c r="M35" s="267"/>
      <c r="N35" s="267"/>
      <c r="O35" s="267"/>
      <c r="P35" s="267"/>
      <c r="Q35" s="267"/>
      <c r="R35" s="267"/>
      <c r="S35" s="267"/>
      <c r="T35" s="267"/>
    </row>
    <row r="36" spans="2:21" ht="13.25" customHeight="1" x14ac:dyDescent="0.2">
      <c r="B36" s="211" t="s">
        <v>795</v>
      </c>
      <c r="C36" s="212"/>
      <c r="D36" s="212"/>
      <c r="E36" s="212"/>
      <c r="F36" s="212"/>
      <c r="G36" s="212"/>
      <c r="H36" s="212"/>
      <c r="I36" s="212"/>
      <c r="J36" s="212"/>
      <c r="K36" s="212"/>
      <c r="L36" s="212"/>
      <c r="M36" s="212"/>
      <c r="N36" s="212"/>
      <c r="O36" s="212"/>
      <c r="P36" s="212"/>
      <c r="Q36" s="212"/>
      <c r="R36" s="212"/>
      <c r="S36" s="212"/>
      <c r="T36" s="212"/>
      <c r="U36" s="199"/>
    </row>
    <row r="37" spans="2:21" ht="5" customHeight="1" x14ac:dyDescent="0.15"/>
    <row r="38" spans="2:21" ht="13.25" customHeight="1" x14ac:dyDescent="0.15">
      <c r="B38" s="201" t="s">
        <v>796</v>
      </c>
      <c r="C38" s="313"/>
      <c r="D38" s="313"/>
      <c r="E38" s="313"/>
      <c r="F38" s="313">
        <f>+'Output (2)'!F63/'Output (2)'!F69</f>
        <v>-0.45653299452617524</v>
      </c>
      <c r="G38" s="313"/>
      <c r="H38" s="313"/>
      <c r="I38" s="313"/>
      <c r="J38" s="313"/>
      <c r="K38" s="313"/>
      <c r="L38" s="313"/>
      <c r="M38" s="313">
        <f>+'Output (2)'!M63/'Output (2)'!M69</f>
        <v>0.61771146570159552</v>
      </c>
      <c r="N38" s="313">
        <f>+'Output (2)'!N63/'Output (2)'!N69</f>
        <v>0.51318688035121662</v>
      </c>
      <c r="O38" s="313">
        <f>+'Output (2)'!O63/'Output (2)'!O69</f>
        <v>0.34535264160193707</v>
      </c>
      <c r="P38" s="313">
        <f>+'Output (2)'!P63/'Output (2)'!P69</f>
        <v>0.21495270184664317</v>
      </c>
      <c r="Q38" s="313">
        <f>+'Output (2)'!Q63/'Output (2)'!Q69</f>
        <v>0.12196303480764577</v>
      </c>
      <c r="R38" s="313">
        <f>+'Output (2)'!R63/'Output (2)'!R69</f>
        <v>2.2662862648047635E-2</v>
      </c>
      <c r="S38" s="313">
        <f>+'Output (2)'!S63/'Output (2)'!S69</f>
        <v>-6.7347452375445704E-2</v>
      </c>
      <c r="T38" s="313">
        <f>+'Output (2)'!T63/'Output (2)'!T69</f>
        <v>-0.14797576397393256</v>
      </c>
    </row>
    <row r="39" spans="2:21" ht="13.25" customHeight="1" x14ac:dyDescent="0.15">
      <c r="B39" s="201" t="s">
        <v>797</v>
      </c>
      <c r="C39" s="314"/>
      <c r="D39" s="314"/>
      <c r="E39" s="314"/>
      <c r="F39" s="314">
        <f>+'Output (2)'!F63/'Output (2)'!F71</f>
        <v>-0.84003810705701332</v>
      </c>
      <c r="G39" s="314"/>
      <c r="H39" s="314"/>
      <c r="I39" s="314"/>
      <c r="J39" s="314"/>
      <c r="K39" s="314"/>
      <c r="L39" s="314"/>
      <c r="M39" s="314">
        <f>+'Output (2)'!M63/'Output (2)'!M71</f>
        <v>0.38184279384685965</v>
      </c>
      <c r="N39" s="314">
        <f>+'Output (2)'!N63/'Output (2)'!N71</f>
        <v>0.33914309396609621</v>
      </c>
      <c r="O39" s="314">
        <f>+'Output (2)'!O63/'Output (2)'!O71</f>
        <v>0.25670045973278732</v>
      </c>
      <c r="P39" s="314">
        <f>+'Output (2)'!P63/'Output (2)'!P71</f>
        <v>0.1769226913277612</v>
      </c>
      <c r="Q39" s="314">
        <f>+'Output (2)'!Q63/'Output (2)'!Q71</f>
        <v>0.10870503842272809</v>
      </c>
      <c r="R39" s="314">
        <f>+'Output (2)'!R63/'Output (2)'!R71</f>
        <v>2.2160639127312403E-2</v>
      </c>
      <c r="S39" s="314">
        <f>+'Output (2)'!S63/'Output (2)'!S71</f>
        <v>-7.2210656098005838E-2</v>
      </c>
      <c r="T39" s="314">
        <f>+'Output (2)'!T63/'Output (2)'!T71</f>
        <v>-0.17367553376663017</v>
      </c>
    </row>
    <row r="40" spans="2:21" ht="5" customHeight="1" x14ac:dyDescent="0.15"/>
    <row r="41" spans="2:21" ht="13.25" customHeight="1" x14ac:dyDescent="0.15">
      <c r="B41" s="201" t="s">
        <v>798</v>
      </c>
      <c r="C41" s="313"/>
      <c r="D41" s="313"/>
      <c r="E41" s="313"/>
      <c r="F41" s="313">
        <f>+'Output (2)'!F63/'Output (2)'!F15</f>
        <v>-1.2967718215286079</v>
      </c>
      <c r="G41" s="313"/>
      <c r="H41" s="313"/>
      <c r="I41" s="313"/>
      <c r="J41" s="313"/>
      <c r="K41" s="313"/>
      <c r="L41" s="313"/>
      <c r="M41" s="313">
        <f>+'Output (2)'!M63/'Output (2)'!M15</f>
        <v>1.7496747667453187</v>
      </c>
      <c r="N41" s="313">
        <f>+'Output (2)'!N63/'Output (2)'!N15</f>
        <v>1.9919867750239764</v>
      </c>
      <c r="O41" s="313">
        <f>+'Output (2)'!O63/'Output (2)'!O15</f>
        <v>1.5013447648413472</v>
      </c>
      <c r="P41" s="313">
        <f>+'Output (2)'!P63/'Output (2)'!P15</f>
        <v>1.0616674821283265</v>
      </c>
      <c r="Q41" s="313">
        <f>+'Output (2)'!Q63/'Output (2)'!Q15</f>
        <v>0.61053423009326646</v>
      </c>
      <c r="R41" s="313">
        <f>+'Output (2)'!R63/'Output (2)'!R15</f>
        <v>0.10705152216263622</v>
      </c>
      <c r="S41" s="313">
        <f>+'Output (2)'!S63/'Output (2)'!S15</f>
        <v>-0.32962736444557356</v>
      </c>
      <c r="T41" s="313">
        <f>+'Output (2)'!T63/'Output (2)'!T15</f>
        <v>-0.75245590658023576</v>
      </c>
    </row>
    <row r="42" spans="2:21" ht="13.25" customHeight="1" x14ac:dyDescent="0.15">
      <c r="B42" s="201" t="s">
        <v>799</v>
      </c>
      <c r="C42" s="313"/>
      <c r="D42" s="313"/>
      <c r="E42" s="313"/>
      <c r="F42" s="313">
        <f>+'Output (2)'!F20/-('Output (2)'!F23+'Output (2)'!F24)</f>
        <v>29.788580246913568</v>
      </c>
      <c r="G42" s="313"/>
      <c r="H42" s="313"/>
      <c r="I42" s="313"/>
      <c r="J42" s="313"/>
      <c r="K42" s="313"/>
      <c r="L42" s="313"/>
      <c r="M42" s="313">
        <f>+'Output (2)'!M20/-('Output (2)'!M23+'Output (2)'!M24)</f>
        <v>7.4133556045205777</v>
      </c>
      <c r="N42" s="313">
        <f>+'Output (2)'!N20/-('Output (2)'!N23+'Output (2)'!N24)</f>
        <v>8.133576304523892</v>
      </c>
      <c r="O42" s="313">
        <f>+'Output (2)'!O20/-('Output (2)'!O23+'Output (2)'!O24)</f>
        <v>8.0895920918077451</v>
      </c>
      <c r="P42" s="313">
        <f>+'Output (2)'!P20/-('Output (2)'!P23+'Output (2)'!P24)</f>
        <v>4.6891379414701984</v>
      </c>
      <c r="Q42" s="313">
        <f>+'Output (2)'!Q20/-('Output (2)'!Q23+'Output (2)'!Q24)</f>
        <v>4.5787210252795836</v>
      </c>
      <c r="R42" s="313">
        <f>+'Output (2)'!R20/-('Output (2)'!R23+'Output (2)'!R24)</f>
        <v>5.4369967711560854</v>
      </c>
      <c r="S42" s="313">
        <f>+'Output (2)'!S20/-('Output (2)'!S23+'Output (2)'!S24)</f>
        <v>5.6393135128578367</v>
      </c>
      <c r="T42" s="313">
        <f>+'Output (2)'!T20/-('Output (2)'!T23+'Output (2)'!T24)</f>
        <v>5.7435916762525254</v>
      </c>
    </row>
    <row r="43" spans="2:21" ht="5" customHeight="1" x14ac:dyDescent="0.15"/>
    <row r="44" spans="2:21" ht="13.25" customHeight="1" x14ac:dyDescent="0.15">
      <c r="B44" s="201" t="s">
        <v>800</v>
      </c>
      <c r="C44" s="313"/>
      <c r="D44" s="313"/>
      <c r="E44" s="313"/>
      <c r="F44" s="313"/>
      <c r="G44" s="313"/>
      <c r="H44" s="313"/>
      <c r="I44" s="313"/>
      <c r="J44" s="313"/>
      <c r="K44" s="313"/>
      <c r="L44" s="313"/>
      <c r="M44" s="313" t="e">
        <f>+'Output (2)'!M87/-('Output (2)'!M90+'Output (2)'!M91+'Output (2)'!M94)</f>
        <v>#DIV/0!</v>
      </c>
      <c r="N44" s="313" t="e">
        <f>+'Output (2)'!N87/-('Output (2)'!N90+'Output (2)'!N91+'Output (2)'!N94)</f>
        <v>#DIV/0!</v>
      </c>
      <c r="O44" s="313" t="e">
        <f>+'Output (2)'!O87/-('Output (2)'!O90+'Output (2)'!O91+'Output (2)'!O94)</f>
        <v>#DIV/0!</v>
      </c>
      <c r="P44" s="313">
        <f>+'Output (2)'!P87/-('Output (2)'!P90+'Output (2)'!P91+'Output (2)'!P94)</f>
        <v>3.3324624077286513</v>
      </c>
      <c r="Q44" s="313">
        <f>+'Output (2)'!Q87/-('Output (2)'!Q90+'Output (2)'!Q91+'Output (2)'!Q94)</f>
        <v>3.5129597178256189</v>
      </c>
      <c r="R44" s="313">
        <f>+'Output (2)'!R87/-('Output (2)'!R90+'Output (2)'!R91+'Output (2)'!R94)</f>
        <v>4.2133234213645858</v>
      </c>
      <c r="S44" s="313">
        <f>+'Output (2)'!S87/-('Output (2)'!S90+'Output (2)'!S91+'Output (2)'!S94)</f>
        <v>4.4952330143571402</v>
      </c>
      <c r="T44" s="313">
        <f>+'Output (2)'!T87/-('Output (2)'!T90+'Output (2)'!T91+'Output (2)'!T94)</f>
        <v>4.6811219885478401</v>
      </c>
    </row>
    <row r="45" spans="2:21" ht="13.25" customHeight="1" x14ac:dyDescent="0.15">
      <c r="C45" s="267"/>
      <c r="D45" s="267"/>
      <c r="E45" s="267"/>
      <c r="F45" s="267"/>
      <c r="G45" s="267"/>
      <c r="H45" s="267"/>
      <c r="I45" s="267"/>
      <c r="J45" s="267"/>
      <c r="K45" s="267"/>
      <c r="L45" s="267"/>
      <c r="M45" s="267"/>
      <c r="N45" s="267"/>
      <c r="O45" s="267"/>
      <c r="P45" s="267"/>
      <c r="Q45" s="267"/>
      <c r="R45" s="267"/>
      <c r="S45" s="267"/>
      <c r="T45" s="267"/>
    </row>
    <row r="46" spans="2:21" ht="13.25" customHeight="1" x14ac:dyDescent="0.2">
      <c r="B46" s="211" t="s">
        <v>801</v>
      </c>
      <c r="C46" s="212"/>
      <c r="D46" s="212"/>
      <c r="E46" s="212"/>
      <c r="F46" s="212"/>
      <c r="G46" s="212"/>
      <c r="H46" s="212"/>
      <c r="I46" s="212"/>
      <c r="J46" s="212"/>
      <c r="K46" s="212"/>
      <c r="L46" s="212"/>
      <c r="M46" s="212"/>
      <c r="N46" s="212"/>
      <c r="O46" s="212"/>
      <c r="P46" s="212"/>
      <c r="Q46" s="212"/>
      <c r="R46" s="212"/>
      <c r="S46" s="212"/>
      <c r="T46" s="212"/>
      <c r="U46" s="199"/>
    </row>
    <row r="47" spans="2:21" ht="5" customHeight="1" x14ac:dyDescent="0.15"/>
    <row r="48" spans="2:21" ht="13.25" customHeight="1" x14ac:dyDescent="0.15">
      <c r="B48" s="201" t="s">
        <v>802</v>
      </c>
      <c r="C48" s="307"/>
      <c r="D48" s="307"/>
      <c r="E48" s="307"/>
      <c r="F48" s="312">
        <f>+[1]AsReported!F54/[1]AsReported!F78</f>
        <v>2.5942656765676571</v>
      </c>
      <c r="G48" s="312"/>
      <c r="H48" s="312"/>
      <c r="I48" s="312"/>
      <c r="J48" s="312"/>
      <c r="K48" s="312"/>
      <c r="L48" s="312"/>
      <c r="M48" s="312">
        <f>+[1]AsReported!G54/[1]AsReported!G78</f>
        <v>2.1335294117647061</v>
      </c>
      <c r="N48" s="312">
        <f>+[1]AsReported!H54/[1]AsReported!H78</f>
        <v>2.0570038679846414</v>
      </c>
      <c r="O48" s="312">
        <f>+[1]AsReported!I54/[1]AsReported!I78</f>
        <v>2.3097394197006098</v>
      </c>
      <c r="P48" s="307"/>
      <c r="Q48" s="307"/>
      <c r="R48" s="307"/>
      <c r="S48" s="307"/>
      <c r="T48" s="307"/>
    </row>
    <row r="49" spans="2:21" ht="13.25" customHeight="1" x14ac:dyDescent="0.15">
      <c r="B49" s="201" t="s">
        <v>803</v>
      </c>
      <c r="C49" s="307"/>
      <c r="D49" s="307"/>
      <c r="E49" s="307"/>
      <c r="F49" s="312">
        <f>+([1]AsReported!F54-[1]AsReported!F47)/[1]AsReported!F78</f>
        <v>1.6813118811881189</v>
      </c>
      <c r="G49" s="312"/>
      <c r="H49" s="312"/>
      <c r="I49" s="312"/>
      <c r="J49" s="312"/>
      <c r="K49" s="312"/>
      <c r="L49" s="312"/>
      <c r="M49" s="312">
        <f>+([1]AsReported!G54-[1]AsReported!G47)/[1]AsReported!G78</f>
        <v>1.1982352941176473</v>
      </c>
      <c r="N49" s="312">
        <f>+([1]AsReported!H54-[1]AsReported!H47)/[1]AsReported!H78</f>
        <v>1.4725174957956213</v>
      </c>
      <c r="O49" s="312">
        <f>+([1]AsReported!I54-[1]AsReported!I47)/[1]AsReported!I78</f>
        <v>1.3200887081870263</v>
      </c>
      <c r="P49" s="307"/>
      <c r="Q49" s="307"/>
      <c r="R49" s="307"/>
      <c r="S49" s="307"/>
      <c r="T49" s="307"/>
    </row>
    <row r="50" spans="2:21" ht="13.25" customHeight="1" x14ac:dyDescent="0.15">
      <c r="C50" s="267"/>
      <c r="D50" s="267"/>
      <c r="E50" s="267"/>
      <c r="F50" s="267"/>
      <c r="G50" s="267"/>
      <c r="H50" s="267"/>
      <c r="I50" s="267"/>
      <c r="J50" s="267"/>
      <c r="K50" s="267"/>
      <c r="L50" s="267"/>
      <c r="M50" s="267"/>
      <c r="N50" s="267"/>
      <c r="O50" s="267"/>
      <c r="P50" s="267"/>
      <c r="Q50" s="267"/>
      <c r="R50" s="267"/>
      <c r="S50" s="267"/>
      <c r="T50" s="267"/>
    </row>
    <row r="51" spans="2:21" ht="13.25" customHeight="1" x14ac:dyDescent="0.2">
      <c r="B51" s="211" t="s">
        <v>804</v>
      </c>
      <c r="C51" s="212"/>
      <c r="D51" s="212"/>
      <c r="E51" s="212"/>
      <c r="F51" s="212"/>
      <c r="G51" s="212"/>
      <c r="H51" s="212"/>
      <c r="I51" s="212"/>
      <c r="J51" s="212"/>
      <c r="K51" s="212"/>
      <c r="L51" s="212"/>
      <c r="M51" s="212"/>
      <c r="N51" s="212"/>
      <c r="O51" s="212"/>
      <c r="P51" s="212"/>
      <c r="Q51" s="212"/>
      <c r="R51" s="212"/>
      <c r="S51" s="212"/>
      <c r="T51" s="212"/>
      <c r="U51" s="199"/>
    </row>
    <row r="52" spans="2:21" ht="5" customHeight="1" x14ac:dyDescent="0.15"/>
    <row r="53" spans="2:21" ht="13.25" customHeight="1" x14ac:dyDescent="0.15">
      <c r="B53" s="201" t="s">
        <v>805</v>
      </c>
      <c r="C53" s="307"/>
      <c r="D53" s="307"/>
      <c r="E53" s="307"/>
      <c r="F53" s="307"/>
      <c r="G53" s="307"/>
      <c r="H53" s="307"/>
      <c r="I53" s="307"/>
      <c r="J53" s="307"/>
      <c r="K53" s="307"/>
      <c r="L53" s="307"/>
      <c r="M53" s="307">
        <f>+('Output (2)'!M20*(1-M56)/AVERAGE('Output (2)'!F49:M49))</f>
        <v>0.30100220827786284</v>
      </c>
      <c r="N53" s="307">
        <f>+('Output (2)'!N20*(1-N56)/AVERAGE('Output (2)'!M49:N49))</f>
        <v>9.7980705151238801E-2</v>
      </c>
      <c r="O53" s="307">
        <f>+('Output (2)'!O20*(1-O56)/AVERAGE('Output (2)'!N49:O49))</f>
        <v>9.2840847595188472E-2</v>
      </c>
      <c r="P53" s="307">
        <f>+('Output (2)'!P20*(1-P56)/AVERAGE('Output (2)'!O49:P49))</f>
        <v>8.5799373911000565E-2</v>
      </c>
      <c r="Q53" s="307">
        <f>+('Output (2)'!Q20*(1-Q56)/AVERAGE('Output (2)'!P49:Q49))</f>
        <v>8.3967812807892644E-2</v>
      </c>
      <c r="R53" s="307">
        <f>+('Output (2)'!R20*(1-R56)/AVERAGE('Output (2)'!Q49:R49))</f>
        <v>0.10083461940116212</v>
      </c>
      <c r="S53" s="307">
        <f>+('Output (2)'!S20*(1-S56)/AVERAGE('Output (2)'!R49:S49))</f>
        <v>0.10502980453268912</v>
      </c>
      <c r="T53" s="307">
        <f>+('Output (2)'!T20*(1-T56)/AVERAGE('Output (2)'!S49:T49))</f>
        <v>0.10853336147345388</v>
      </c>
    </row>
    <row r="54" spans="2:21" ht="5" customHeight="1" x14ac:dyDescent="0.15"/>
    <row r="55" spans="2:21" ht="13.25" customHeight="1" x14ac:dyDescent="0.15">
      <c r="B55" s="311" t="s">
        <v>806</v>
      </c>
      <c r="C55" s="267"/>
      <c r="D55" s="267"/>
      <c r="E55" s="267"/>
      <c r="F55" s="267"/>
      <c r="G55" s="267"/>
      <c r="H55" s="267"/>
      <c r="I55" s="267"/>
      <c r="J55" s="267"/>
      <c r="K55" s="267"/>
      <c r="L55" s="267"/>
      <c r="M55" s="267"/>
      <c r="N55" s="267"/>
      <c r="O55" s="267"/>
      <c r="P55" s="267"/>
      <c r="Q55" s="267"/>
      <c r="R55" s="267"/>
      <c r="S55" s="267"/>
      <c r="T55" s="267"/>
    </row>
    <row r="56" spans="2:21" ht="13.25" customHeight="1" x14ac:dyDescent="0.15">
      <c r="B56" s="216" t="s">
        <v>807</v>
      </c>
      <c r="C56" s="310"/>
      <c r="D56" s="310"/>
      <c r="E56" s="310"/>
      <c r="F56" s="310"/>
      <c r="G56" s="310"/>
      <c r="H56" s="310"/>
      <c r="I56" s="310"/>
      <c r="J56" s="310"/>
      <c r="K56" s="310"/>
      <c r="L56" s="310"/>
      <c r="M56" s="310">
        <f>-'Output (2)'!M28/'Output (2)'!M26</f>
        <v>0.2378102505278207</v>
      </c>
      <c r="N56" s="310">
        <f>-'Output (2)'!N28/'Output (2)'!N26</f>
        <v>0.17317189869516911</v>
      </c>
      <c r="O56" s="310">
        <f>-'Output (2)'!O28/'Output (2)'!O26</f>
        <v>0.22193507544614605</v>
      </c>
      <c r="P56" s="310">
        <f>-'Output (2)'!P28/'Output (2)'!P26</f>
        <v>0.28957157542459844</v>
      </c>
      <c r="Q56" s="310">
        <f>-'Output (2)'!Q28/'Output (2)'!Q26</f>
        <v>0.28989774802911694</v>
      </c>
      <c r="R56" s="310">
        <f>-'Output (2)'!R28/'Output (2)'!R26</f>
        <v>0.28778972918202922</v>
      </c>
      <c r="S56" s="310">
        <f>-'Output (2)'!S28/'Output (2)'!S26</f>
        <v>0.28740641614150708</v>
      </c>
      <c r="T56" s="310">
        <f>-'Output (2)'!T28/'Output (2)'!T26</f>
        <v>0.28722161827191889</v>
      </c>
    </row>
    <row r="57" spans="2:21" ht="13.25" customHeight="1" x14ac:dyDescent="0.15">
      <c r="B57" s="216" t="s">
        <v>780</v>
      </c>
      <c r="C57" s="310"/>
      <c r="D57" s="310"/>
      <c r="E57" s="310"/>
      <c r="F57" s="310"/>
      <c r="G57" s="310"/>
      <c r="H57" s="310"/>
      <c r="I57" s="310"/>
      <c r="J57" s="310"/>
      <c r="K57" s="310"/>
      <c r="L57" s="310"/>
      <c r="M57" s="310">
        <f>+'Output (2)'!M21</f>
        <v>0.30650382253673031</v>
      </c>
      <c r="N57" s="310">
        <f>+'Output (2)'!N21</f>
        <v>0.24489771034915217</v>
      </c>
      <c r="O57" s="310">
        <f>+'Output (2)'!O21</f>
        <v>0.24023917120160071</v>
      </c>
      <c r="P57" s="310">
        <f>+'Output (2)'!P21</f>
        <v>0.24337376196076113</v>
      </c>
      <c r="Q57" s="310">
        <f>+'Output (2)'!Q21</f>
        <v>0.22439355766845345</v>
      </c>
      <c r="R57" s="310">
        <f>+'Output (2)'!R21</f>
        <v>0.25490003033012726</v>
      </c>
      <c r="S57" s="310">
        <f>+'Output (2)'!S21</f>
        <v>0.25116764259098695</v>
      </c>
      <c r="T57" s="310">
        <f>+'Output (2)'!T21</f>
        <v>0.24487118908186095</v>
      </c>
    </row>
    <row r="58" spans="2:21" ht="13.25" customHeight="1" x14ac:dyDescent="0.15">
      <c r="B58" s="216" t="s">
        <v>808</v>
      </c>
      <c r="C58" s="310"/>
      <c r="D58" s="310"/>
      <c r="E58" s="310"/>
      <c r="F58" s="310"/>
      <c r="G58" s="310"/>
      <c r="H58" s="310"/>
      <c r="I58" s="310"/>
      <c r="J58" s="310"/>
      <c r="K58" s="310"/>
      <c r="L58" s="310"/>
      <c r="M58" s="310">
        <f>+'Output (2)'!M10/AVERAGE('Output (2)'!F49:M49)</f>
        <v>1.2884592356642677</v>
      </c>
      <c r="N58" s="310">
        <f>+'Output (2)'!N10/AVERAGE('Output (2)'!M49:N49)</f>
        <v>0.48388327060436837</v>
      </c>
      <c r="O58" s="310">
        <f>+'Output (2)'!O10/AVERAGE('Output (2)'!N49:O49)</f>
        <v>0.49668316303796078</v>
      </c>
      <c r="P58" s="310">
        <f>+'Output (2)'!P10/AVERAGE('Output (2)'!O49:P49)</f>
        <v>0.49623801853024013</v>
      </c>
      <c r="Q58" s="310">
        <f>+'Output (2)'!Q10/AVERAGE('Output (2)'!P49:Q49)</f>
        <v>0.52696475191684322</v>
      </c>
      <c r="R58" s="310">
        <f>+'Output (2)'!R10/AVERAGE('Output (2)'!Q49:R49)</f>
        <v>0.55543282724250043</v>
      </c>
      <c r="S58" s="310">
        <f>+'Output (2)'!S10/AVERAGE('Output (2)'!R49:S49)</f>
        <v>0.58682277416585904</v>
      </c>
      <c r="T58" s="310">
        <f>+'Output (2)'!T10/AVERAGE('Output (2)'!S49:T49)</f>
        <v>0.62182910378650436</v>
      </c>
    </row>
    <row r="59" spans="2:21" ht="13.25" customHeight="1" x14ac:dyDescent="0.15">
      <c r="B59" s="219" t="s">
        <v>805</v>
      </c>
      <c r="C59" s="309"/>
      <c r="D59" s="309"/>
      <c r="E59" s="309"/>
      <c r="F59" s="309"/>
      <c r="G59" s="309"/>
      <c r="H59" s="309"/>
      <c r="I59" s="309"/>
      <c r="J59" s="309"/>
      <c r="K59" s="309"/>
      <c r="L59" s="309"/>
      <c r="M59" s="309">
        <f t="shared" ref="M59:S59" si="7">+M58*(1-M56)*M57</f>
        <v>0.30100220827786284</v>
      </c>
      <c r="N59" s="309">
        <f t="shared" si="7"/>
        <v>9.7980705151238801E-2</v>
      </c>
      <c r="O59" s="309">
        <f t="shared" si="7"/>
        <v>9.2840847595188486E-2</v>
      </c>
      <c r="P59" s="309">
        <f t="shared" si="7"/>
        <v>8.5799373911000565E-2</v>
      </c>
      <c r="Q59" s="309">
        <f t="shared" si="7"/>
        <v>8.3967812807892644E-2</v>
      </c>
      <c r="R59" s="309">
        <f t="shared" si="7"/>
        <v>0.1008346194011621</v>
      </c>
      <c r="S59" s="309">
        <f t="shared" si="7"/>
        <v>0.10502980453268912</v>
      </c>
      <c r="T59" s="309">
        <f>AVERAGE(M59:O59)</f>
        <v>0.16394125367476339</v>
      </c>
    </row>
    <row r="60" spans="2:21" ht="13.25" customHeight="1" x14ac:dyDescent="0.15">
      <c r="B60" s="216" t="s">
        <v>607</v>
      </c>
      <c r="C60" s="308"/>
      <c r="D60" s="308"/>
      <c r="E60" s="308"/>
      <c r="F60" s="308"/>
      <c r="G60" s="308"/>
      <c r="H60" s="308"/>
      <c r="I60" s="308"/>
      <c r="J60" s="308"/>
      <c r="K60" s="308"/>
      <c r="L60" s="308"/>
      <c r="M60" s="308">
        <f t="shared" ref="M60:S60" si="8">+M59-M53</f>
        <v>0</v>
      </c>
      <c r="N60" s="308">
        <f t="shared" si="8"/>
        <v>0</v>
      </c>
      <c r="O60" s="308">
        <f t="shared" si="8"/>
        <v>0</v>
      </c>
      <c r="P60" s="308">
        <f t="shared" si="8"/>
        <v>0</v>
      </c>
      <c r="Q60" s="308">
        <f t="shared" si="8"/>
        <v>0</v>
      </c>
      <c r="R60" s="308">
        <f t="shared" si="8"/>
        <v>0</v>
      </c>
      <c r="S60" s="308">
        <f t="shared" si="8"/>
        <v>0</v>
      </c>
      <c r="T60" s="308"/>
    </row>
    <row r="61" spans="2:21" ht="5" customHeight="1" x14ac:dyDescent="0.15"/>
    <row r="62" spans="2:21" ht="13.25" customHeight="1" x14ac:dyDescent="0.15">
      <c r="B62" s="201" t="s">
        <v>809</v>
      </c>
      <c r="C62" s="307"/>
      <c r="D62" s="307"/>
      <c r="E62" s="307"/>
      <c r="F62" s="307"/>
      <c r="G62" s="307"/>
      <c r="H62" s="307"/>
      <c r="I62" s="307"/>
      <c r="J62" s="307"/>
      <c r="K62" s="307"/>
      <c r="L62" s="307"/>
      <c r="M62" s="307">
        <f>+'Output (2)'!M29/AVERAGE('Output (2)'!F69:M69)</f>
        <v>0.29780033840947551</v>
      </c>
      <c r="N62" s="307">
        <f>+'Output (2)'!N29/AVERAGE('Output (2)'!M69:N69)</f>
        <v>0.1333765899929294</v>
      </c>
      <c r="O62" s="307">
        <f>+'Output (2)'!O29/AVERAGE('Output (2)'!N69:O69)</f>
        <v>0.11638692354487122</v>
      </c>
      <c r="P62" s="307">
        <f>+'Output (2)'!P29/AVERAGE('Output (2)'!O69:P69)</f>
        <v>8.6817661124637346E-2</v>
      </c>
      <c r="Q62" s="307">
        <f>+'Output (2)'!Q29/AVERAGE('Output (2)'!P69:Q69)</f>
        <v>7.6947173670070215E-2</v>
      </c>
      <c r="R62" s="307">
        <f>+'Output (2)'!R29/AVERAGE('Output (2)'!Q69:R69)</f>
        <v>8.8497003304381303E-2</v>
      </c>
      <c r="S62" s="307">
        <f>+'Output (2)'!S29/AVERAGE('Output (2)'!R69:S69)</f>
        <v>8.473253493360898E-2</v>
      </c>
      <c r="T62" s="307">
        <f>+'Output (2)'!T29/AVERAGE('Output (2)'!S69:T69)</f>
        <v>8.0245264341912134E-2</v>
      </c>
    </row>
    <row r="63" spans="2:21" ht="13.25" customHeight="1" x14ac:dyDescent="0.15">
      <c r="B63" s="201" t="s">
        <v>810</v>
      </c>
      <c r="C63" s="307"/>
      <c r="D63" s="307"/>
      <c r="E63" s="307"/>
      <c r="F63" s="307"/>
      <c r="G63" s="307"/>
      <c r="H63" s="307"/>
      <c r="I63" s="307"/>
      <c r="J63" s="307"/>
      <c r="K63" s="307"/>
      <c r="L63" s="307"/>
      <c r="M63" s="307">
        <f>-('Output (2)'!M23+'Output (2)'!M24)/(AVERAGE('Output (2)'!F63:M63))</f>
        <v>0.51193392053453035</v>
      </c>
      <c r="N63" s="307">
        <f>-('Output (2)'!N23+'Output (2)'!N24)/(AVERAGE('Output (2)'!M63:N63))</f>
        <v>4.0013147904668443E-2</v>
      </c>
      <c r="O63" s="307">
        <f>-('Output (2)'!O23+'Output (2)'!O24)/(AVERAGE('Output (2)'!N63:O63))</f>
        <v>4.9914856631612083E-2</v>
      </c>
      <c r="P63" s="307">
        <f>-('Output (2)'!P23+'Output (2)'!P24)/(AVERAGE('Output (2)'!O63:P63))</f>
        <v>0.11944085974314769</v>
      </c>
      <c r="Q63" s="307">
        <f>-('Output (2)'!Q23+'Output (2)'!Q24)/(AVERAGE('Output (2)'!P63:Q63))</f>
        <v>0.18166143508290597</v>
      </c>
      <c r="R63" s="307">
        <f>-('Output (2)'!R23+'Output (2)'!R24)/(AVERAGE('Output (2)'!Q63:R63))</f>
        <v>0.3993350390797919</v>
      </c>
      <c r="S63" s="307">
        <f>-('Output (2)'!S23+'Output (2)'!S24)/(AVERAGE('Output (2)'!R63:S63))</f>
        <v>-1.0574337632167303</v>
      </c>
      <c r="T63" s="307">
        <f>-('Output (2)'!T23+'Output (2)'!T24)/(AVERAGE('Output (2)'!S63:T63))</f>
        <v>-0.21719839692892964</v>
      </c>
    </row>
    <row r="64" spans="2:21" ht="13.25" customHeight="1" x14ac:dyDescent="0.2">
      <c r="F64" s="267"/>
      <c r="G64" s="267"/>
      <c r="H64" s="267"/>
      <c r="I64" s="267"/>
      <c r="J64" s="267"/>
      <c r="K64" s="267"/>
      <c r="L64" s="267"/>
      <c r="M64" s="267"/>
      <c r="N64" s="267"/>
      <c r="O64" s="267"/>
      <c r="P64" s="267"/>
      <c r="Q64" s="267"/>
      <c r="R64" s="267"/>
      <c r="S64" s="267"/>
      <c r="T64" s="267"/>
      <c r="U64" s="199"/>
    </row>
    <row r="65" spans="2:22" ht="13.25" customHeight="1" x14ac:dyDescent="0.2">
      <c r="B65" s="211" t="s">
        <v>811</v>
      </c>
      <c r="C65" s="212"/>
      <c r="D65" s="212"/>
      <c r="E65" s="212"/>
      <c r="F65" s="212"/>
      <c r="G65" s="212"/>
      <c r="H65" s="212"/>
      <c r="I65" s="212"/>
      <c r="J65" s="212"/>
      <c r="K65" s="212"/>
      <c r="L65" s="212"/>
      <c r="M65" s="212"/>
      <c r="N65" s="212"/>
      <c r="O65" s="212"/>
      <c r="P65" s="212"/>
      <c r="Q65" s="212"/>
      <c r="R65" s="212"/>
      <c r="S65" s="212"/>
      <c r="T65" s="212"/>
      <c r="U65" s="199"/>
    </row>
    <row r="66" spans="2:22" ht="5" customHeight="1" x14ac:dyDescent="0.15"/>
    <row r="67" spans="2:22" ht="13.25" customHeight="1" x14ac:dyDescent="0.15">
      <c r="B67" s="201" t="s">
        <v>812</v>
      </c>
      <c r="M67" s="221">
        <f>+'Output (2)'!M90*(1-Assumptions!G47)</f>
        <v>0</v>
      </c>
      <c r="N67" s="221">
        <f>+'Output (2)'!N90*(1-Assumptions!H47)</f>
        <v>0</v>
      </c>
      <c r="O67" s="221">
        <f>+'Output (2)'!O90*(1-Assumptions!I47)</f>
        <v>0</v>
      </c>
      <c r="P67" s="221">
        <f>+'Output (2)'!P90*(1-Assumptions!P47)</f>
        <v>-0.18095600000000014</v>
      </c>
      <c r="Q67" s="221">
        <f>+'Output (2)'!Q90*(1-Assumptions!Q47)</f>
        <v>-8.9459600000000097E-2</v>
      </c>
      <c r="R67" s="221">
        <f>+'Output (2)'!R90*(1-Assumptions!R47)</f>
        <v>-0.22023356000000013</v>
      </c>
      <c r="S67" s="221">
        <f>+'Output (2)'!S90*(1-Assumptions!S47)</f>
        <v>-2.0108916000000154E-2</v>
      </c>
      <c r="T67" s="221">
        <f>+'Output (2)'!T90*(1-Assumptions!T47)</f>
        <v>-0.17282780760000013</v>
      </c>
    </row>
    <row r="68" spans="2:22" ht="13.25" customHeight="1" x14ac:dyDescent="0.15">
      <c r="B68" s="201" t="s">
        <v>813</v>
      </c>
      <c r="M68" s="221">
        <f>+'Output (2)'!M96-M67</f>
        <v>0</v>
      </c>
      <c r="N68" s="221">
        <f>+'Output (2)'!N96-N67</f>
        <v>0</v>
      </c>
      <c r="O68" s="221">
        <f>+'Output (2)'!O96-O67</f>
        <v>0</v>
      </c>
      <c r="P68" s="221">
        <f>+'Output (2)'!P96-P67</f>
        <v>185.80314291827349</v>
      </c>
      <c r="Q68" s="221">
        <f>+'Output (2)'!Q96-Q67</f>
        <v>165.96535917713973</v>
      </c>
      <c r="R68" s="221">
        <f>+'Output (2)'!R96-R67</f>
        <v>208.88384345755543</v>
      </c>
      <c r="S68" s="221">
        <f>+'Output (2)'!S96-S67</f>
        <v>224.80572071291786</v>
      </c>
      <c r="T68" s="221">
        <f>+'Output (2)'!T96-T67</f>
        <v>237.02641459326011</v>
      </c>
    </row>
    <row r="69" spans="2:22" ht="13.25" customHeight="1" x14ac:dyDescent="0.15">
      <c r="B69" s="201" t="s">
        <v>814</v>
      </c>
      <c r="F69" s="221">
        <f>+'Output (2)'!F29-'Output (2)'!F90*(1-Assumptions!F47)</f>
        <v>117.90999999999994</v>
      </c>
      <c r="G69" s="221"/>
      <c r="H69" s="221"/>
      <c r="I69" s="221"/>
      <c r="J69" s="221"/>
      <c r="K69" s="221"/>
      <c r="L69" s="221"/>
      <c r="M69" s="221">
        <f>+'Output (2)'!M29-'Output (2)'!M90*(1-Assumptions!G47)</f>
        <v>275.08800000000002</v>
      </c>
      <c r="N69" s="221">
        <f>+'Output (2)'!N29-'Output (2)'!N90*(1-Assumptions!H47)</f>
        <v>203.91400000000002</v>
      </c>
      <c r="O69" s="221">
        <f>+'Output (2)'!O29-'Output (2)'!O90*(1-Assumptions!I47)</f>
        <v>194.19099999999989</v>
      </c>
      <c r="P69" s="221">
        <f>+'Output (2)'!P29-'Output (2)'!P90*(1-Assumptions!P47)</f>
        <v>163.41367561387929</v>
      </c>
      <c r="Q69" s="221">
        <f>+'Output (2)'!Q29-'Output (2)'!Q90*(1-Assumptions!Q47)</f>
        <v>157.01205434509856</v>
      </c>
      <c r="R69" s="221">
        <f>+'Output (2)'!R29-'Output (2)'!R90*(1-Assumptions!R47)</f>
        <v>196.22561769016585</v>
      </c>
      <c r="S69" s="221">
        <f>+'Output (2)'!S29-'Output (2)'!S90*(1-Assumptions!S47)</f>
        <v>204.56197926608809</v>
      </c>
      <c r="T69" s="221">
        <f>+'Output (2)'!T29-'Output (2)'!T90*(1-Assumptions!T47)</f>
        <v>210.43173003645268</v>
      </c>
      <c r="V69" s="23"/>
    </row>
    <row r="70" spans="2:22" ht="13.25" customHeight="1" x14ac:dyDescent="0.15">
      <c r="B70" s="201" t="s">
        <v>815</v>
      </c>
      <c r="F70" s="221">
        <f>+'Output (2)'!F69+'Output (2)'!F62</f>
        <v>316.80099999999999</v>
      </c>
      <c r="G70" s="221"/>
      <c r="H70" s="221"/>
      <c r="I70" s="221"/>
      <c r="J70" s="221"/>
      <c r="K70" s="221"/>
      <c r="L70" s="221"/>
      <c r="M70" s="221">
        <f>+'Output (2)'!M69+'Output (2)'!M62</f>
        <v>1106.5319999999999</v>
      </c>
      <c r="N70" s="221">
        <f>+'Output (2)'!N69+'Output (2)'!N62</f>
        <v>1134.5790000000002</v>
      </c>
      <c r="O70" s="221">
        <f>+'Output (2)'!O69+'Output (2)'!O62</f>
        <v>1405.7539999999999</v>
      </c>
      <c r="P70" s="221">
        <f>+'Output (2)'!P69+'Output (2)'!P62</f>
        <v>1383.3645326956057</v>
      </c>
      <c r="Q70" s="221">
        <f>+'Output (2)'!Q69+'Output (2)'!Q62</f>
        <v>1374.4112278635644</v>
      </c>
      <c r="R70" s="221">
        <f>+'Output (2)'!R69+'Output (2)'!R62</f>
        <v>1361.7530020961749</v>
      </c>
      <c r="S70" s="221">
        <f>+'Output (2)'!S69+'Output (2)'!S62</f>
        <v>1341.5092606493449</v>
      </c>
      <c r="T70" s="221">
        <f>+'Output (2)'!T69+'Output (2)'!T62</f>
        <v>1314.9145760925376</v>
      </c>
      <c r="V70" s="23"/>
    </row>
    <row r="71" spans="2:22" ht="13.25" customHeight="1" x14ac:dyDescent="0.15">
      <c r="B71" s="219" t="s">
        <v>816</v>
      </c>
      <c r="C71" s="306"/>
      <c r="D71" s="306"/>
      <c r="E71" s="306"/>
      <c r="F71" s="306"/>
      <c r="G71" s="306"/>
      <c r="H71" s="306"/>
      <c r="I71" s="306"/>
      <c r="J71" s="306"/>
      <c r="K71" s="306"/>
      <c r="L71" s="306"/>
      <c r="M71" s="305">
        <f>+Analysis!M69/AVERAGE(Analysis!F70:M70)</f>
        <v>0.38654060574721455</v>
      </c>
      <c r="N71" s="305">
        <f>+Analysis!N69/AVERAGE(Analysis!M70:N70)</f>
        <v>0.18197581467406124</v>
      </c>
      <c r="O71" s="305">
        <f>+Analysis!O69/AVERAGE(Analysis!N70:O70)</f>
        <v>0.15288625546335846</v>
      </c>
      <c r="P71" s="305">
        <f>+Analysis!P69/AVERAGE(Analysis!O70:P70)</f>
        <v>0.11717944124514816</v>
      </c>
      <c r="Q71" s="305">
        <f>+Analysis!Q69/AVERAGE(Analysis!P70:Q70)</f>
        <v>0.11386861585385942</v>
      </c>
      <c r="R71" s="305">
        <f>+Analysis!R69/AVERAGE(Analysis!Q70:R70)</f>
        <v>0.14343116947556409</v>
      </c>
      <c r="S71" s="305">
        <f>+Analysis!S69/AVERAGE(Analysis!R70:S70)</f>
        <v>0.15134453070663473</v>
      </c>
      <c r="T71" s="305">
        <f>+Analysis!T69/AVERAGE(Analysis!S70:T70)</f>
        <v>0.15843234586732838</v>
      </c>
      <c r="V71" s="23"/>
    </row>
    <row r="72" spans="2:22" ht="13.25" customHeight="1" x14ac:dyDescent="0.15">
      <c r="F72" s="200"/>
      <c r="O72" s="304"/>
    </row>
    <row r="73" spans="2:22" ht="13.25" customHeight="1" x14ac:dyDescent="0.15">
      <c r="F73" s="200"/>
      <c r="O73" s="304"/>
    </row>
    <row r="74" spans="2:22" ht="13.25" customHeight="1" x14ac:dyDescent="0.15">
      <c r="F74" s="200"/>
      <c r="O74" s="304"/>
    </row>
    <row r="75" spans="2:22" ht="13.25" customHeight="1" x14ac:dyDescent="0.15">
      <c r="F75" s="200"/>
      <c r="O75" s="304"/>
    </row>
    <row r="76" spans="2:22" ht="13.25" customHeight="1" x14ac:dyDescent="0.15">
      <c r="F76" s="200"/>
      <c r="O76" s="304"/>
    </row>
    <row r="77" spans="2:22" ht="13.25" customHeight="1" x14ac:dyDescent="0.15">
      <c r="F77" s="200"/>
      <c r="O77" s="304"/>
    </row>
    <row r="78" spans="2:22" ht="13.25" customHeight="1" x14ac:dyDescent="0.15">
      <c r="F78" s="200"/>
      <c r="O78" s="304"/>
    </row>
    <row r="79" spans="2:22" ht="13.25" customHeight="1" x14ac:dyDescent="0.15">
      <c r="F79" s="200"/>
      <c r="O79" s="304"/>
    </row>
    <row r="80" spans="2:22" ht="13.25" customHeight="1" x14ac:dyDescent="0.15">
      <c r="F80" s="200"/>
      <c r="O80" s="304"/>
    </row>
    <row r="81" spans="6:15" ht="13.25" customHeight="1" x14ac:dyDescent="0.15">
      <c r="F81" s="200"/>
      <c r="O81" s="304"/>
    </row>
    <row r="82" spans="6:15" ht="13.25" customHeight="1" x14ac:dyDescent="0.15">
      <c r="F82" s="200"/>
      <c r="O82" s="304"/>
    </row>
    <row r="83" spans="6:15" ht="13.25" customHeight="1" x14ac:dyDescent="0.15">
      <c r="F83" s="200"/>
      <c r="O83" s="304"/>
    </row>
    <row r="84" spans="6:15" ht="13.25" customHeight="1" x14ac:dyDescent="0.15">
      <c r="F84" s="200"/>
      <c r="O84" s="304"/>
    </row>
    <row r="85" spans="6:15" ht="13.25" customHeight="1" x14ac:dyDescent="0.15">
      <c r="F85" s="200"/>
      <c r="O85" s="304"/>
    </row>
    <row r="86" spans="6:15" ht="13.25" customHeight="1" x14ac:dyDescent="0.15">
      <c r="F86" s="200"/>
      <c r="O86" s="304"/>
    </row>
    <row r="87" spans="6:15" ht="13.25" customHeight="1" x14ac:dyDescent="0.15">
      <c r="F87" s="200"/>
      <c r="O87" s="304"/>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F837B-1DE5-8140-ADB7-A72B9B60C167}">
  <sheetPr>
    <tabColor rgb="FF3333CC"/>
  </sheetPr>
  <dimension ref="A1:P34"/>
  <sheetViews>
    <sheetView showGridLines="0" zoomScaleNormal="100" workbookViewId="0">
      <selection activeCell="B36" sqref="B36"/>
    </sheetView>
  </sheetViews>
  <sheetFormatPr baseColWidth="10" defaultColWidth="0" defaultRowHeight="11.25" customHeight="1" zeroHeight="1" x14ac:dyDescent="0.15"/>
  <cols>
    <col min="1" max="14" width="6.1640625" style="23" customWidth="1"/>
    <col min="15" max="16" width="6.1640625" style="23" hidden="1" customWidth="1"/>
    <col min="17" max="16384" width="6.1640625" style="23" hidden="1"/>
  </cols>
  <sheetData>
    <row r="1" spans="1:16" ht="11" x14ac:dyDescent="0.15">
      <c r="A1" s="22"/>
      <c r="B1" s="22"/>
      <c r="C1" s="22"/>
      <c r="D1" s="22"/>
      <c r="E1" s="22"/>
      <c r="F1" s="22"/>
      <c r="G1" s="22"/>
      <c r="H1" s="22"/>
      <c r="I1" s="22"/>
      <c r="J1" s="22"/>
      <c r="K1" s="22"/>
      <c r="L1" s="22"/>
      <c r="M1" s="22"/>
      <c r="N1" s="22"/>
      <c r="O1" s="22"/>
      <c r="P1" s="22"/>
    </row>
    <row r="2" spans="1:16" ht="11" x14ac:dyDescent="0.15">
      <c r="A2" s="22"/>
      <c r="B2" s="22"/>
      <c r="C2" s="22"/>
      <c r="D2" s="22"/>
      <c r="E2" s="22"/>
      <c r="F2" s="22"/>
      <c r="G2" s="22"/>
      <c r="H2" s="22"/>
      <c r="I2" s="22"/>
      <c r="J2" s="22"/>
      <c r="K2" s="22"/>
      <c r="L2" s="22"/>
      <c r="M2" s="22"/>
      <c r="N2" s="22"/>
      <c r="O2" s="22"/>
      <c r="P2" s="22"/>
    </row>
    <row r="3" spans="1:16" ht="11" x14ac:dyDescent="0.15">
      <c r="A3" s="22"/>
      <c r="B3" s="22"/>
      <c r="C3" s="22"/>
      <c r="D3" s="22"/>
      <c r="E3" s="22"/>
      <c r="F3" s="22"/>
      <c r="G3" s="22"/>
      <c r="H3" s="22"/>
      <c r="I3" s="22"/>
      <c r="J3" s="22"/>
      <c r="K3" s="22"/>
      <c r="L3" s="22"/>
      <c r="M3" s="22"/>
      <c r="N3" s="22"/>
      <c r="O3" s="22"/>
      <c r="P3" s="22"/>
    </row>
    <row r="4" spans="1:16" ht="11" x14ac:dyDescent="0.15">
      <c r="A4" s="22"/>
      <c r="B4" s="22"/>
      <c r="C4" s="22"/>
      <c r="D4" s="22"/>
      <c r="E4" s="22"/>
      <c r="F4" s="22"/>
      <c r="G4" s="22"/>
      <c r="H4" s="22"/>
      <c r="I4" s="22"/>
      <c r="J4" s="22"/>
      <c r="K4" s="22"/>
      <c r="L4" s="22"/>
      <c r="M4" s="22"/>
      <c r="N4" s="22"/>
      <c r="O4" s="22"/>
      <c r="P4" s="22"/>
    </row>
    <row r="5" spans="1:16" ht="11" x14ac:dyDescent="0.15">
      <c r="A5" s="22"/>
      <c r="B5" s="22"/>
      <c r="C5" s="22"/>
      <c r="D5" s="22"/>
      <c r="E5" s="22"/>
      <c r="F5" s="22"/>
      <c r="G5" s="22"/>
      <c r="H5" s="22"/>
      <c r="I5" s="22"/>
      <c r="J5" s="22"/>
      <c r="K5" s="22"/>
      <c r="L5" s="22"/>
      <c r="M5" s="22"/>
      <c r="N5" s="22"/>
      <c r="O5" s="22"/>
      <c r="P5" s="22"/>
    </row>
    <row r="6" spans="1:16" ht="11" x14ac:dyDescent="0.15"/>
    <row r="7" spans="1:16" ht="11" x14ac:dyDescent="0.15"/>
    <row r="8" spans="1:16" ht="11" x14ac:dyDescent="0.15"/>
    <row r="9" spans="1:16" ht="11" x14ac:dyDescent="0.15"/>
    <row r="10" spans="1:16" ht="11" x14ac:dyDescent="0.15"/>
    <row r="11" spans="1:16" ht="11" x14ac:dyDescent="0.15"/>
    <row r="12" spans="1:16" ht="23" x14ac:dyDescent="0.25">
      <c r="C12" s="297" t="s">
        <v>905</v>
      </c>
      <c r="D12" s="296"/>
      <c r="E12" s="297"/>
    </row>
    <row r="13" spans="1:16" ht="23" x14ac:dyDescent="0.25">
      <c r="C13" s="297" t="s">
        <v>2</v>
      </c>
      <c r="D13" s="296"/>
      <c r="E13" s="296"/>
    </row>
    <row r="14" spans="1:16" ht="11" x14ac:dyDescent="0.15"/>
    <row r="15" spans="1:16" ht="11" x14ac:dyDescent="0.15"/>
    <row r="16" spans="1:16" ht="11" x14ac:dyDescent="0.15"/>
    <row r="17" spans="3:3" ht="28" x14ac:dyDescent="0.3">
      <c r="C17" s="33" t="s">
        <v>1</v>
      </c>
    </row>
    <row r="18" spans="3:3" ht="28" x14ac:dyDescent="0.3">
      <c r="C18" s="33"/>
    </row>
    <row r="19" spans="3:3" ht="11" x14ac:dyDescent="0.15"/>
    <row r="20" spans="3:3" ht="11" x14ac:dyDescent="0.15"/>
    <row r="21" spans="3:3" ht="11" x14ac:dyDescent="0.15"/>
    <row r="22" spans="3:3" ht="11" x14ac:dyDescent="0.15"/>
    <row r="23" spans="3:3" ht="11" x14ac:dyDescent="0.15"/>
    <row r="24" spans="3:3" ht="11" x14ac:dyDescent="0.15"/>
    <row r="25" spans="3:3" ht="11" x14ac:dyDescent="0.15"/>
    <row r="26" spans="3:3" ht="11" x14ac:dyDescent="0.15"/>
    <row r="27" spans="3:3" ht="11" x14ac:dyDescent="0.15"/>
    <row r="28" spans="3:3" ht="11" x14ac:dyDescent="0.15"/>
    <row r="29" spans="3:3" ht="11" x14ac:dyDescent="0.15"/>
    <row r="30" spans="3:3" ht="11" hidden="1" x14ac:dyDescent="0.15"/>
    <row r="31" spans="3:3" ht="11" hidden="1" x14ac:dyDescent="0.15"/>
    <row r="32" spans="3:3" ht="11" hidden="1" x14ac:dyDescent="0.15"/>
    <row r="33" ht="11" hidden="1" x14ac:dyDescent="0.15"/>
    <row r="34" ht="11" hidden="1" x14ac:dyDescent="0.15"/>
  </sheetData>
  <pageMargins left="0.7" right="0.7" top="0.75" bottom="0.75" header="0.3" footer="0.3"/>
  <pageSetup paperSize="9" orientation="portrait" horizontalDpi="360" verticalDpi="360"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2D529-39C9-1447-825C-A3FAC241EAE6}">
  <dimension ref="B1:P68"/>
  <sheetViews>
    <sheetView showGridLines="0" zoomScaleNormal="100" workbookViewId="0">
      <pane ySplit="3" topLeftCell="A4" activePane="bottomLeft" state="frozen"/>
      <selection activeCell="B36" sqref="B36"/>
      <selection pane="bottomLeft" activeCell="D34" sqref="D34"/>
    </sheetView>
  </sheetViews>
  <sheetFormatPr baseColWidth="10" defaultColWidth="7.1640625" defaultRowHeight="13.25" customHeight="1" x14ac:dyDescent="0.15"/>
  <cols>
    <col min="1" max="1" width="11.1640625" style="23" customWidth="1"/>
    <col min="2" max="2" width="18.33203125" style="23" customWidth="1"/>
    <col min="3" max="16384" width="7.1640625" style="23"/>
  </cols>
  <sheetData>
    <row r="1" spans="2:16" ht="13.25" customHeight="1" x14ac:dyDescent="0.2">
      <c r="B1" s="330"/>
      <c r="E1" s="329"/>
      <c r="G1" s="329"/>
      <c r="L1" s="329"/>
    </row>
    <row r="2" spans="2:16" ht="20" customHeight="1" x14ac:dyDescent="0.15">
      <c r="B2" s="198" t="s">
        <v>817</v>
      </c>
      <c r="C2" s="199"/>
      <c r="D2" s="199"/>
      <c r="E2" s="200"/>
      <c r="F2" s="199"/>
      <c r="G2" s="329"/>
      <c r="I2" s="199"/>
      <c r="L2" s="329"/>
    </row>
    <row r="3" spans="2:16" ht="13.25" customHeight="1" x14ac:dyDescent="0.15">
      <c r="B3" s="246"/>
      <c r="C3" s="328"/>
      <c r="D3" s="328"/>
      <c r="E3" s="327"/>
      <c r="F3" s="327"/>
      <c r="G3" s="327"/>
      <c r="H3" s="327"/>
      <c r="I3" s="327"/>
      <c r="J3" s="327"/>
      <c r="K3" s="327"/>
      <c r="L3" s="327"/>
      <c r="M3" s="327"/>
    </row>
    <row r="4" spans="2:16" s="199" customFormat="1" ht="23" customHeight="1" x14ac:dyDescent="0.15">
      <c r="B4" s="201"/>
      <c r="D4" s="406" t="s">
        <v>818</v>
      </c>
      <c r="E4" s="406"/>
      <c r="F4" s="406" t="s">
        <v>819</v>
      </c>
      <c r="G4" s="406"/>
      <c r="I4" s="335" t="s">
        <v>820</v>
      </c>
      <c r="O4" s="221"/>
      <c r="P4" s="23"/>
    </row>
    <row r="5" spans="2:16" s="199" customFormat="1" ht="13.25" customHeight="1" x14ac:dyDescent="0.15">
      <c r="B5" s="211" t="s">
        <v>821</v>
      </c>
      <c r="C5" s="334">
        <v>2021</v>
      </c>
      <c r="D5" s="207"/>
      <c r="E5" s="207" t="s">
        <v>822</v>
      </c>
      <c r="F5" s="207"/>
      <c r="G5" s="207" t="s">
        <v>822</v>
      </c>
      <c r="H5" s="207"/>
      <c r="I5" s="207" t="s">
        <v>822</v>
      </c>
      <c r="P5" s="23"/>
    </row>
    <row r="6" spans="2:16" s="199" customFormat="1" ht="5" customHeight="1" x14ac:dyDescent="0.15">
      <c r="B6" s="201"/>
      <c r="P6" s="23"/>
    </row>
    <row r="7" spans="2:16" s="199" customFormat="1" ht="13.25" customHeight="1" x14ac:dyDescent="0.15">
      <c r="B7" s="201" t="s">
        <v>484</v>
      </c>
      <c r="C7" s="218">
        <f>'Output (2)'!$T$10</f>
        <v>1458.6075000000001</v>
      </c>
      <c r="D7" s="218"/>
      <c r="E7" s="218"/>
      <c r="F7" s="218"/>
      <c r="G7" s="218">
        <f>+C7*(1+$E$19)</f>
        <v>1487.7796500000002</v>
      </c>
      <c r="H7" s="218"/>
      <c r="I7" s="218"/>
      <c r="P7" s="23"/>
    </row>
    <row r="8" spans="2:16" s="199" customFormat="1" ht="13.25" customHeight="1" x14ac:dyDescent="0.15">
      <c r="B8" s="288" t="s">
        <v>435</v>
      </c>
      <c r="C8" s="271">
        <f>+'Output (2)'!T15</f>
        <v>535.8394767258236</v>
      </c>
      <c r="D8" s="271"/>
      <c r="E8" s="271"/>
      <c r="F8" s="271"/>
      <c r="G8" s="271">
        <f>+G7*E20</f>
        <v>546.55626626034007</v>
      </c>
      <c r="H8" s="271"/>
      <c r="I8" s="271"/>
      <c r="P8" s="23"/>
    </row>
    <row r="9" spans="2:16" s="199" customFormat="1" ht="13.25" customHeight="1" x14ac:dyDescent="0.15">
      <c r="B9" s="201" t="s">
        <v>784</v>
      </c>
      <c r="C9" s="218">
        <f>+'Output (2)'!T18+'Output (2)'!T19</f>
        <v>-178.66852379710312</v>
      </c>
      <c r="D9" s="218"/>
      <c r="E9" s="218"/>
      <c r="F9" s="218"/>
      <c r="G9" s="218">
        <f>G15</f>
        <v>-138.6095946821543</v>
      </c>
      <c r="H9" s="218"/>
      <c r="I9" s="218"/>
      <c r="P9" s="23"/>
    </row>
    <row r="10" spans="2:16" s="199" customFormat="1" ht="13.25" customHeight="1" x14ac:dyDescent="0.15">
      <c r="B10" s="288" t="s">
        <v>442</v>
      </c>
      <c r="C10" s="271">
        <f>+C8+C9</f>
        <v>357.17095292872045</v>
      </c>
      <c r="D10" s="271"/>
      <c r="E10" s="271"/>
      <c r="F10" s="271"/>
      <c r="G10" s="271">
        <f>SUM(G8:G9)</f>
        <v>407.94667157818577</v>
      </c>
      <c r="H10" s="271"/>
      <c r="I10" s="271"/>
      <c r="P10" s="23"/>
    </row>
    <row r="11" spans="2:16" s="199" customFormat="1" ht="13.25" customHeight="1" x14ac:dyDescent="0.15">
      <c r="B11" s="201" t="s">
        <v>651</v>
      </c>
      <c r="C11" s="218">
        <f>+-C10*SUM(Assumptions!$F$47:$F$48)</f>
        <v>-99.650695867113001</v>
      </c>
      <c r="D11" s="218"/>
      <c r="E11" s="218"/>
      <c r="F11" s="218"/>
      <c r="G11" s="218">
        <f>+-G10*SUM(Assumptions!$F$47:$F$48)</f>
        <v>-113.81712137031381</v>
      </c>
      <c r="H11" s="218"/>
      <c r="I11" s="218"/>
      <c r="P11" s="23"/>
    </row>
    <row r="12" spans="2:16" s="199" customFormat="1" ht="13.25" customHeight="1" x14ac:dyDescent="0.15">
      <c r="B12" s="219" t="s">
        <v>652</v>
      </c>
      <c r="C12" s="336">
        <f>+C10+C11</f>
        <v>257.52025706160748</v>
      </c>
      <c r="D12" s="336"/>
      <c r="E12" s="336">
        <f>+'Output (2)'!T79*(1+$E$19)</f>
        <v>262.67066220283965</v>
      </c>
      <c r="F12" s="336"/>
      <c r="G12" s="336">
        <f>+SUM(G10:G11)</f>
        <v>294.12955020787194</v>
      </c>
      <c r="H12" s="336"/>
      <c r="I12" s="336"/>
      <c r="P12" s="23"/>
    </row>
    <row r="13" spans="2:16" s="199" customFormat="1" ht="13.25" customHeight="1" x14ac:dyDescent="0.15">
      <c r="B13" s="201" t="s">
        <v>784</v>
      </c>
      <c r="C13" s="218">
        <f>-C9</f>
        <v>178.66852379710312</v>
      </c>
      <c r="D13" s="218"/>
      <c r="E13" s="218"/>
      <c r="F13" s="218"/>
      <c r="G13" s="218">
        <f>-G9</f>
        <v>138.6095946821543</v>
      </c>
      <c r="H13" s="218"/>
      <c r="I13" s="218"/>
      <c r="P13" s="23"/>
    </row>
    <row r="14" spans="2:16" s="199" customFormat="1" ht="13.25" customHeight="1" x14ac:dyDescent="0.15">
      <c r="B14" s="201" t="s">
        <v>823</v>
      </c>
      <c r="C14" s="218">
        <f>+'Output (2)'!T84</f>
        <v>-18.079674708483935</v>
      </c>
      <c r="D14" s="218"/>
      <c r="E14" s="218"/>
      <c r="F14" s="218"/>
      <c r="G14" s="218">
        <v>0</v>
      </c>
      <c r="H14" s="218"/>
      <c r="I14" s="218"/>
      <c r="P14" s="23"/>
    </row>
    <row r="15" spans="2:16" s="199" customFormat="1" ht="13.25" customHeight="1" x14ac:dyDescent="0.15">
      <c r="B15" s="201" t="s">
        <v>824</v>
      </c>
      <c r="C15" s="218">
        <f>+'Output (2)'!T85+'Output (2)'!T86</f>
        <v>-135.89175949230813</v>
      </c>
      <c r="D15" s="218"/>
      <c r="E15" s="218"/>
      <c r="F15" s="218"/>
      <c r="G15" s="218">
        <f>-E21*G7</f>
        <v>-138.6095946821543</v>
      </c>
      <c r="H15" s="218"/>
      <c r="I15" s="218"/>
      <c r="P15" s="23"/>
    </row>
    <row r="16" spans="2:16" s="199" customFormat="1" ht="13.25" customHeight="1" x14ac:dyDescent="0.15">
      <c r="B16" s="219" t="s">
        <v>658</v>
      </c>
      <c r="C16" s="220">
        <f>+SUM(C12:C15)</f>
        <v>282.2173466579186</v>
      </c>
      <c r="D16" s="220"/>
      <c r="E16" s="220">
        <f>+E12*(1-E23)</f>
        <v>230.62617598414309</v>
      </c>
      <c r="F16" s="220"/>
      <c r="G16" s="220">
        <f>+SUM(G12:G15)</f>
        <v>294.12955020787194</v>
      </c>
      <c r="H16" s="220"/>
      <c r="I16" s="220">
        <f>+C16*(1+E19)</f>
        <v>287.86169359107697</v>
      </c>
      <c r="P16" s="23"/>
    </row>
    <row r="17" spans="2:16" s="199" customFormat="1" ht="13.25" customHeight="1" x14ac:dyDescent="0.15">
      <c r="B17" s="201"/>
      <c r="C17" s="221">
        <f>+C16-'Output (2)'!T87</f>
        <v>0</v>
      </c>
      <c r="D17" s="221"/>
      <c r="E17" s="221"/>
      <c r="F17" s="221"/>
      <c r="G17" s="221"/>
      <c r="H17" s="221"/>
      <c r="I17" s="221"/>
      <c r="P17" s="23"/>
    </row>
    <row r="18" spans="2:16" s="199" customFormat="1" ht="13.25" customHeight="1" x14ac:dyDescent="0.15">
      <c r="B18" s="252" t="s">
        <v>825</v>
      </c>
      <c r="C18" s="331"/>
      <c r="D18" s="331"/>
      <c r="E18" s="331"/>
      <c r="F18" s="221"/>
      <c r="G18" s="221"/>
      <c r="H18" s="221"/>
      <c r="I18" s="221"/>
      <c r="P18" s="23"/>
    </row>
    <row r="19" spans="2:16" s="199" customFormat="1" ht="13.25" customHeight="1" x14ac:dyDescent="0.15">
      <c r="B19" s="201" t="s">
        <v>826</v>
      </c>
      <c r="E19" s="215">
        <f>+Assumptions!T52</f>
        <v>0.02</v>
      </c>
      <c r="P19" s="23"/>
    </row>
    <row r="20" spans="2:16" s="199" customFormat="1" ht="13.25" customHeight="1" x14ac:dyDescent="0.15">
      <c r="B20" s="201" t="s">
        <v>779</v>
      </c>
      <c r="E20" s="215">
        <f>+C8/C7</f>
        <v>0.36736371966126841</v>
      </c>
      <c r="P20" s="23"/>
    </row>
    <row r="21" spans="2:16" s="199" customFormat="1" ht="13.25" customHeight="1" x14ac:dyDescent="0.15">
      <c r="B21" s="201" t="s">
        <v>827</v>
      </c>
      <c r="E21" s="215">
        <f>-(C15)/C7</f>
        <v>9.3165405698454259E-2</v>
      </c>
      <c r="P21" s="23"/>
    </row>
    <row r="22" spans="2:16" s="199" customFormat="1" ht="13.25" customHeight="1" x14ac:dyDescent="0.15">
      <c r="B22" s="201"/>
      <c r="E22" s="215">
        <f>+Analysis!T59</f>
        <v>0.16394125367476339</v>
      </c>
      <c r="P22" s="23"/>
    </row>
    <row r="23" spans="2:16" s="199" customFormat="1" ht="13.25" customHeight="1" x14ac:dyDescent="0.15">
      <c r="B23" s="201" t="s">
        <v>828</v>
      </c>
      <c r="E23" s="215">
        <f>+E19/E22</f>
        <v>0.12199491922684216</v>
      </c>
      <c r="P23" s="23"/>
    </row>
    <row r="24" spans="2:16" s="199" customFormat="1" ht="13.25" customHeight="1" x14ac:dyDescent="0.15">
      <c r="B24" s="201"/>
      <c r="P24" s="23"/>
    </row>
    <row r="25" spans="2:16" s="199" customFormat="1" ht="23" customHeight="1" x14ac:dyDescent="0.15">
      <c r="B25" s="201"/>
      <c r="D25" s="406" t="s">
        <v>818</v>
      </c>
      <c r="E25" s="406"/>
      <c r="G25" s="335" t="s">
        <v>829</v>
      </c>
      <c r="O25" s="221"/>
      <c r="P25" s="23"/>
    </row>
    <row r="26" spans="2:16" s="199" customFormat="1" ht="13.25" customHeight="1" x14ac:dyDescent="0.15">
      <c r="B26" s="211" t="s">
        <v>830</v>
      </c>
      <c r="C26" s="334">
        <v>2021</v>
      </c>
      <c r="D26" s="207"/>
      <c r="E26" s="207" t="s">
        <v>822</v>
      </c>
      <c r="F26" s="207"/>
      <c r="G26" s="207" t="s">
        <v>822</v>
      </c>
      <c r="P26" s="23"/>
    </row>
    <row r="27" spans="2:16" s="199" customFormat="1" ht="5" customHeight="1" x14ac:dyDescent="0.15">
      <c r="B27" s="201"/>
      <c r="P27" s="23"/>
    </row>
    <row r="28" spans="2:16" s="199" customFormat="1" ht="13.25" customHeight="1" x14ac:dyDescent="0.15">
      <c r="B28" s="201" t="s">
        <v>831</v>
      </c>
      <c r="C28" s="218">
        <f>+Analysis!T69</f>
        <v>210.43173003645268</v>
      </c>
      <c r="D28" s="218"/>
      <c r="E28" s="218">
        <f>+C28*(1+E38)</f>
        <v>214.64036463718173</v>
      </c>
      <c r="F28" s="218"/>
      <c r="G28" s="218"/>
      <c r="H28" s="218"/>
      <c r="P28" s="23"/>
    </row>
    <row r="29" spans="2:16" s="199" customFormat="1" ht="13.25" customHeight="1" x14ac:dyDescent="0.15">
      <c r="B29" s="229" t="s">
        <v>832</v>
      </c>
      <c r="C29" s="218">
        <f>+C13</f>
        <v>178.66852379710312</v>
      </c>
      <c r="D29" s="218"/>
      <c r="E29" s="218"/>
      <c r="F29" s="218"/>
      <c r="G29" s="218"/>
      <c r="H29" s="218"/>
      <c r="P29" s="23"/>
    </row>
    <row r="30" spans="2:16" s="199" customFormat="1" ht="13.25" customHeight="1" x14ac:dyDescent="0.15">
      <c r="B30" s="201" t="s">
        <v>833</v>
      </c>
      <c r="C30" s="218">
        <f>+C14</f>
        <v>-18.079674708483935</v>
      </c>
      <c r="D30" s="218"/>
      <c r="E30" s="218"/>
      <c r="F30" s="218"/>
      <c r="G30" s="218"/>
      <c r="H30" s="218"/>
      <c r="P30" s="23"/>
    </row>
    <row r="31" spans="2:16" s="199" customFormat="1" ht="13.25" customHeight="1" x14ac:dyDescent="0.15">
      <c r="B31" s="201" t="s">
        <v>824</v>
      </c>
      <c r="C31" s="218">
        <f>+C15</f>
        <v>-135.89175949230813</v>
      </c>
      <c r="D31" s="218"/>
      <c r="E31" s="218"/>
      <c r="F31" s="218"/>
      <c r="G31" s="218"/>
      <c r="H31" s="218"/>
      <c r="P31" s="23"/>
    </row>
    <row r="32" spans="2:16" s="199" customFormat="1" ht="13.25" customHeight="1" x14ac:dyDescent="0.15">
      <c r="B32" s="201" t="s">
        <v>660</v>
      </c>
      <c r="C32" s="218">
        <f>+'Output (2)'!T94</f>
        <v>1.8975949604963489</v>
      </c>
      <c r="D32" s="218"/>
      <c r="E32" s="218"/>
      <c r="F32" s="218"/>
      <c r="G32" s="218"/>
      <c r="H32" s="218"/>
      <c r="P32" s="23"/>
    </row>
    <row r="33" spans="2:16" s="199" customFormat="1" ht="13.25" customHeight="1" x14ac:dyDescent="0.15">
      <c r="B33" s="201" t="s">
        <v>834</v>
      </c>
      <c r="C33" s="218">
        <f>+'Output (2)'!T95</f>
        <v>0</v>
      </c>
      <c r="D33" s="218"/>
      <c r="E33" s="218"/>
      <c r="F33" s="218"/>
      <c r="G33" s="218"/>
      <c r="P33" s="23"/>
    </row>
    <row r="34" spans="2:16" s="199" customFormat="1" ht="13.25" customHeight="1" x14ac:dyDescent="0.15">
      <c r="B34" s="219" t="s">
        <v>662</v>
      </c>
      <c r="C34" s="220">
        <f>SUM(C28:C33)</f>
        <v>237.02641459326011</v>
      </c>
      <c r="D34" s="220"/>
      <c r="E34" s="220">
        <f>+E28*(1-E40)</f>
        <v>187.54484150241453</v>
      </c>
      <c r="F34" s="220"/>
      <c r="G34" s="220">
        <f>+C34*(1+E38)</f>
        <v>241.76694288512533</v>
      </c>
      <c r="P34" s="23"/>
    </row>
    <row r="35" spans="2:16" s="199" customFormat="1" ht="13.25" customHeight="1" x14ac:dyDescent="0.15">
      <c r="B35" s="201"/>
      <c r="C35" s="221">
        <f>+C34-Analysis!T68</f>
        <v>0</v>
      </c>
      <c r="D35" s="221"/>
      <c r="E35" s="221"/>
      <c r="F35" s="221"/>
      <c r="G35" s="221"/>
      <c r="H35" s="221"/>
      <c r="P35" s="23"/>
    </row>
    <row r="36" spans="2:16" s="199" customFormat="1" ht="13.25" customHeight="1" x14ac:dyDescent="0.15">
      <c r="B36" s="201"/>
      <c r="C36" s="221"/>
      <c r="D36" s="221"/>
      <c r="E36" s="221"/>
      <c r="F36" s="221"/>
      <c r="G36" s="221"/>
      <c r="H36" s="221"/>
      <c r="P36" s="23"/>
    </row>
    <row r="37" spans="2:16" s="199" customFormat="1" ht="13.25" customHeight="1" x14ac:dyDescent="0.15">
      <c r="B37" s="252" t="s">
        <v>825</v>
      </c>
      <c r="C37" s="331"/>
      <c r="D37" s="331"/>
      <c r="E37" s="331"/>
      <c r="F37" s="221"/>
      <c r="G37" s="221"/>
      <c r="H37" s="221"/>
      <c r="I37" s="221"/>
      <c r="P37" s="23"/>
    </row>
    <row r="38" spans="2:16" s="199" customFormat="1" ht="13.25" customHeight="1" x14ac:dyDescent="0.15">
      <c r="B38" s="201" t="s">
        <v>826</v>
      </c>
      <c r="E38" s="215">
        <f>+E19</f>
        <v>0.02</v>
      </c>
      <c r="P38" s="23"/>
    </row>
    <row r="39" spans="2:16" s="199" customFormat="1" ht="13.25" customHeight="1" x14ac:dyDescent="0.15">
      <c r="B39" s="201" t="s">
        <v>835</v>
      </c>
      <c r="E39" s="215">
        <f>Analysis!$T$71</f>
        <v>0.15843234586732838</v>
      </c>
      <c r="P39" s="23"/>
    </row>
    <row r="40" spans="2:16" s="199" customFormat="1" ht="13.25" customHeight="1" x14ac:dyDescent="0.15">
      <c r="B40" s="201" t="s">
        <v>836</v>
      </c>
      <c r="E40" s="215">
        <f>+E38/E39</f>
        <v>0.12623684823014644</v>
      </c>
      <c r="P40" s="23"/>
    </row>
    <row r="41" spans="2:16" s="199" customFormat="1" ht="13.25" customHeight="1" x14ac:dyDescent="0.15">
      <c r="B41" s="201"/>
      <c r="P41" s="23"/>
    </row>
    <row r="42" spans="2:16" s="199" customFormat="1" ht="13.25" customHeight="1" x14ac:dyDescent="0.15">
      <c r="B42" s="211" t="s">
        <v>837</v>
      </c>
      <c r="C42" s="334">
        <v>2021</v>
      </c>
      <c r="D42" s="207"/>
      <c r="E42" s="207" t="s">
        <v>822</v>
      </c>
      <c r="P42" s="23"/>
    </row>
    <row r="43" spans="2:16" s="199" customFormat="1" ht="5" customHeight="1" x14ac:dyDescent="0.15">
      <c r="B43" s="201"/>
      <c r="P43" s="23"/>
    </row>
    <row r="44" spans="2:16" s="199" customFormat="1" ht="13.25" customHeight="1" x14ac:dyDescent="0.15">
      <c r="B44" s="201" t="s">
        <v>659</v>
      </c>
      <c r="C44" s="221">
        <f>+'Output (2)'!T89</f>
        <v>14.924638368238348</v>
      </c>
      <c r="E44" s="221">
        <f>+E45+E46</f>
        <v>4.7926830848697133</v>
      </c>
      <c r="P44" s="23"/>
    </row>
    <row r="45" spans="2:16" s="199" customFormat="1" ht="13.25" customHeight="1" x14ac:dyDescent="0.15">
      <c r="B45" s="333" t="s">
        <v>838</v>
      </c>
      <c r="C45" s="221"/>
      <c r="E45" s="332">
        <f>+E48*E53*E55</f>
        <v>9.8569257989167891</v>
      </c>
      <c r="P45" s="23"/>
    </row>
    <row r="46" spans="2:16" s="199" customFormat="1" ht="13.25" customHeight="1" x14ac:dyDescent="0.15">
      <c r="B46" s="333" t="s">
        <v>839</v>
      </c>
      <c r="C46" s="221"/>
      <c r="E46" s="332">
        <f>-E49*E55*IF(E49&lt;0,E53,E54)</f>
        <v>-5.0642427140470758</v>
      </c>
      <c r="P46" s="23"/>
    </row>
    <row r="47" spans="2:16" s="199" customFormat="1" ht="13.25" customHeight="1" x14ac:dyDescent="0.15">
      <c r="B47" s="201"/>
      <c r="C47" s="221"/>
      <c r="E47" s="221"/>
      <c r="P47" s="23"/>
    </row>
    <row r="48" spans="2:16" s="199" customFormat="1" ht="13.25" customHeight="1" x14ac:dyDescent="0.15">
      <c r="B48" s="201" t="s">
        <v>840</v>
      </c>
      <c r="C48" s="221">
        <f>'Output (2)'!T61</f>
        <v>1006.6304941704237</v>
      </c>
      <c r="E48" s="221">
        <f>+C48*(1+$E$52)</f>
        <v>1026.7631040538322</v>
      </c>
      <c r="P48" s="23"/>
    </row>
    <row r="49" spans="2:16" s="199" customFormat="1" ht="13.25" customHeight="1" x14ac:dyDescent="0.15">
      <c r="B49" s="201" t="s">
        <v>841</v>
      </c>
      <c r="C49" s="221">
        <f>-'Output (2)'!T62</f>
        <v>1409.8260734116325</v>
      </c>
      <c r="D49" s="221"/>
      <c r="E49" s="221">
        <f>+C49*(1+$E$52)</f>
        <v>1438.0225948798652</v>
      </c>
      <c r="P49" s="23"/>
    </row>
    <row r="50" spans="2:16" s="199" customFormat="1" ht="13.25" customHeight="1" x14ac:dyDescent="0.15">
      <c r="B50" s="201"/>
      <c r="P50" s="23"/>
    </row>
    <row r="51" spans="2:16" s="199" customFormat="1" ht="13.25" customHeight="1" x14ac:dyDescent="0.15">
      <c r="B51" s="252" t="s">
        <v>825</v>
      </c>
      <c r="C51" s="331"/>
      <c r="D51" s="331"/>
      <c r="E51" s="331"/>
      <c r="H51" s="221"/>
      <c r="I51" s="221"/>
      <c r="P51" s="23"/>
    </row>
    <row r="52" spans="2:16" s="199" customFormat="1" ht="13.25" customHeight="1" x14ac:dyDescent="0.15">
      <c r="B52" s="201" t="s">
        <v>826</v>
      </c>
      <c r="E52" s="215">
        <f>+E38</f>
        <v>0.02</v>
      </c>
      <c r="P52" s="23"/>
    </row>
    <row r="53" spans="2:16" s="199" customFormat="1" ht="13.25" customHeight="1" x14ac:dyDescent="0.15">
      <c r="B53" s="201" t="s">
        <v>842</v>
      </c>
      <c r="E53" s="215">
        <v>0.04</v>
      </c>
      <c r="P53" s="23"/>
    </row>
    <row r="54" spans="2:16" s="199" customFormat="1" ht="13.25" customHeight="1" x14ac:dyDescent="0.15">
      <c r="B54" s="201" t="s">
        <v>843</v>
      </c>
      <c r="E54" s="215">
        <f>+Assumptions!T42</f>
        <v>1.4673629874565565E-2</v>
      </c>
      <c r="P54" s="23"/>
    </row>
    <row r="55" spans="2:16" s="199" customFormat="1" ht="13.25" customHeight="1" x14ac:dyDescent="0.15">
      <c r="B55" s="201" t="s">
        <v>844</v>
      </c>
      <c r="E55" s="215">
        <f>+Assumptions!T47</f>
        <v>0.24</v>
      </c>
      <c r="P55" s="23"/>
    </row>
    <row r="56" spans="2:16" s="199" customFormat="1" ht="13.25" customHeight="1" x14ac:dyDescent="0.15">
      <c r="B56" s="201"/>
      <c r="P56" s="23"/>
    </row>
    <row r="57" spans="2:16" s="199" customFormat="1" ht="13.25" customHeight="1" x14ac:dyDescent="0.15">
      <c r="B57" s="201"/>
      <c r="P57" s="23"/>
    </row>
    <row r="58" spans="2:16" s="199" customFormat="1" ht="13.25" customHeight="1" x14ac:dyDescent="0.15">
      <c r="B58" s="201"/>
      <c r="P58" s="23"/>
    </row>
    <row r="59" spans="2:16" s="199" customFormat="1" ht="13.25" customHeight="1" x14ac:dyDescent="0.15">
      <c r="B59" s="201"/>
      <c r="P59" s="23"/>
    </row>
    <row r="60" spans="2:16" s="199" customFormat="1" ht="13.25" customHeight="1" x14ac:dyDescent="0.15">
      <c r="B60" s="201"/>
      <c r="P60" s="23"/>
    </row>
    <row r="61" spans="2:16" s="199" customFormat="1" ht="13.25" customHeight="1" x14ac:dyDescent="0.15">
      <c r="B61" s="201"/>
      <c r="P61" s="23"/>
    </row>
    <row r="62" spans="2:16" s="199" customFormat="1" ht="13.25" customHeight="1" x14ac:dyDescent="0.15">
      <c r="B62" s="201"/>
      <c r="P62" s="23"/>
    </row>
    <row r="63" spans="2:16" s="199" customFormat="1" ht="13.25" customHeight="1" x14ac:dyDescent="0.15">
      <c r="B63" s="201"/>
      <c r="P63" s="23"/>
    </row>
    <row r="64" spans="2:16" s="199" customFormat="1" ht="13.25" customHeight="1" x14ac:dyDescent="0.15">
      <c r="B64" s="201"/>
      <c r="P64" s="23"/>
    </row>
    <row r="65" spans="2:16" s="199" customFormat="1" ht="13.25" customHeight="1" x14ac:dyDescent="0.15">
      <c r="B65" s="201"/>
      <c r="P65" s="23"/>
    </row>
    <row r="66" spans="2:16" s="199" customFormat="1" ht="13.25" customHeight="1" x14ac:dyDescent="0.15">
      <c r="B66" s="201"/>
      <c r="P66" s="23"/>
    </row>
    <row r="67" spans="2:16" s="199" customFormat="1" ht="13.25" customHeight="1" x14ac:dyDescent="0.15">
      <c r="B67" s="201"/>
      <c r="P67" s="23"/>
    </row>
    <row r="68" spans="2:16" s="199" customFormat="1" ht="13.25" customHeight="1" x14ac:dyDescent="0.15">
      <c r="B68" s="201"/>
      <c r="P68" s="23"/>
    </row>
  </sheetData>
  <mergeCells count="3">
    <mergeCell ref="F4:G4"/>
    <mergeCell ref="D4:E4"/>
    <mergeCell ref="D25:E25"/>
  </mergeCells>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A674D-049A-314A-93DC-52DD2C447A0E}">
  <dimension ref="A1:V163"/>
  <sheetViews>
    <sheetView showGridLines="0" zoomScale="150" zoomScaleNormal="100" workbookViewId="0">
      <pane ySplit="6" topLeftCell="A19" activePane="bottomLeft" state="frozen"/>
      <selection activeCell="B36" sqref="B36"/>
      <selection pane="bottomLeft" activeCell="O22" sqref="O22"/>
    </sheetView>
  </sheetViews>
  <sheetFormatPr baseColWidth="10" defaultColWidth="7.1640625" defaultRowHeight="13.25" customHeight="1" x14ac:dyDescent="0.15"/>
  <cols>
    <col min="1" max="1" width="11.1640625" style="199" customWidth="1"/>
    <col min="2" max="2" width="24.5" style="201" customWidth="1"/>
    <col min="3" max="5" width="7.1640625" style="199"/>
    <col min="6" max="6" width="7.6640625" style="199" bestFit="1" customWidth="1"/>
    <col min="7" max="15" width="7.1640625" style="199"/>
    <col min="16" max="16" width="0.6640625" style="23" customWidth="1"/>
    <col min="17" max="16384" width="7.1640625" style="199"/>
  </cols>
  <sheetData>
    <row r="1" spans="1:22" ht="13.25" customHeight="1" x14ac:dyDescent="0.15">
      <c r="A1" s="384"/>
      <c r="B1" s="198"/>
    </row>
    <row r="2" spans="1:22" ht="20" customHeight="1" x14ac:dyDescent="0.15">
      <c r="B2" s="198" t="s">
        <v>845</v>
      </c>
    </row>
    <row r="3" spans="1:22" ht="13.25" customHeight="1" x14ac:dyDescent="0.15">
      <c r="F3" s="202" t="s">
        <v>586</v>
      </c>
      <c r="G3" s="203"/>
      <c r="H3" s="203"/>
      <c r="I3" s="203"/>
      <c r="J3" s="202" t="s">
        <v>669</v>
      </c>
      <c r="K3" s="204"/>
      <c r="L3" s="204"/>
      <c r="M3" s="204"/>
      <c r="N3" s="204"/>
      <c r="O3" s="383" t="s">
        <v>846</v>
      </c>
    </row>
    <row r="4" spans="1:22" ht="5" customHeight="1" x14ac:dyDescent="0.15">
      <c r="F4" s="200"/>
      <c r="J4" s="200"/>
      <c r="O4" s="200"/>
    </row>
    <row r="5" spans="1:22" ht="15" customHeight="1" x14ac:dyDescent="0.15">
      <c r="B5" s="205" t="str">
        <f>[1]AsReported!B5</f>
        <v>(EUR m)</v>
      </c>
      <c r="C5" s="206"/>
      <c r="D5" s="206"/>
      <c r="E5" s="206"/>
      <c r="F5" s="208"/>
      <c r="G5" s="209"/>
      <c r="H5" s="209"/>
      <c r="I5" s="209">
        <v>45489</v>
      </c>
      <c r="J5" s="255">
        <f>I5+365</f>
        <v>45854</v>
      </c>
      <c r="K5" s="254">
        <f>J5+365</f>
        <v>46219</v>
      </c>
      <c r="L5" s="254">
        <f t="shared" ref="L5:N5" si="0">K5+365</f>
        <v>46584</v>
      </c>
      <c r="M5" s="254">
        <f t="shared" si="0"/>
        <v>46949</v>
      </c>
      <c r="N5" s="254">
        <f t="shared" si="0"/>
        <v>47314</v>
      </c>
      <c r="O5" s="208">
        <f>+EOMONTH(N5,12)</f>
        <v>47695</v>
      </c>
      <c r="Q5" s="210" t="s">
        <v>671</v>
      </c>
      <c r="R5" s="210"/>
      <c r="S5" s="210"/>
      <c r="T5" s="210"/>
      <c r="U5" s="210"/>
      <c r="V5" s="210"/>
    </row>
    <row r="6" spans="1:22" ht="5" customHeight="1" x14ac:dyDescent="0.15"/>
    <row r="7" spans="1:22" ht="5" customHeight="1" x14ac:dyDescent="0.15"/>
    <row r="8" spans="1:22" ht="15" customHeight="1" x14ac:dyDescent="0.15">
      <c r="B8" s="211" t="s">
        <v>825</v>
      </c>
      <c r="C8" s="343"/>
      <c r="D8" s="343"/>
      <c r="E8" s="343"/>
      <c r="F8" s="343"/>
      <c r="G8" s="343"/>
      <c r="H8" s="343"/>
      <c r="I8" s="343"/>
      <c r="J8" s="343"/>
      <c r="K8" s="343"/>
      <c r="L8" s="343"/>
      <c r="M8" s="343"/>
      <c r="N8" s="343"/>
      <c r="O8" s="343"/>
    </row>
    <row r="9" spans="1:22" ht="5" customHeight="1" x14ac:dyDescent="0.15"/>
    <row r="10" spans="1:22" ht="13.25" customHeight="1" x14ac:dyDescent="0.15">
      <c r="B10" s="382" t="s">
        <v>847</v>
      </c>
      <c r="C10" s="265"/>
      <c r="D10" s="265"/>
      <c r="E10" s="265"/>
      <c r="F10" s="381">
        <v>2.5399999999999999E-2</v>
      </c>
      <c r="K10" s="380"/>
      <c r="L10" s="218"/>
      <c r="M10" s="218"/>
      <c r="N10" s="218"/>
      <c r="O10" s="221"/>
    </row>
    <row r="11" spans="1:22" ht="13.25" customHeight="1" x14ac:dyDescent="0.15">
      <c r="B11" s="379" t="s">
        <v>848</v>
      </c>
      <c r="F11" s="378">
        <v>6.3558000000000003E-2</v>
      </c>
      <c r="K11" s="380"/>
      <c r="L11" s="218"/>
      <c r="M11" s="218"/>
      <c r="N11" s="218"/>
      <c r="O11" s="221"/>
    </row>
    <row r="12" spans="1:22" ht="13.25" customHeight="1" x14ac:dyDescent="0.15">
      <c r="B12" s="379" t="s">
        <v>849</v>
      </c>
      <c r="F12" s="378">
        <v>6.5000000000000002E-2</v>
      </c>
      <c r="K12" s="380"/>
      <c r="L12" s="218"/>
      <c r="M12" s="218"/>
      <c r="N12" s="218"/>
      <c r="O12" s="221"/>
    </row>
    <row r="13" spans="1:22" ht="13.25" customHeight="1" x14ac:dyDescent="0.15">
      <c r="B13" s="379" t="s">
        <v>850</v>
      </c>
      <c r="F13" s="378">
        <v>7.5999999999999998E-2</v>
      </c>
      <c r="K13" s="380"/>
      <c r="L13" s="218"/>
      <c r="M13" s="218"/>
      <c r="N13" s="218"/>
      <c r="O13" s="221"/>
    </row>
    <row r="14" spans="1:22" ht="13.25" customHeight="1" x14ac:dyDescent="0.15">
      <c r="B14" s="379" t="s">
        <v>851</v>
      </c>
      <c r="F14" s="378">
        <v>2.52E-2</v>
      </c>
      <c r="K14" s="380"/>
      <c r="L14" s="218"/>
      <c r="M14" s="218"/>
      <c r="N14" s="218"/>
      <c r="O14" s="221"/>
    </row>
    <row r="15" spans="1:22" ht="13.25" customHeight="1" x14ac:dyDescent="0.15">
      <c r="B15" s="379" t="s">
        <v>852</v>
      </c>
      <c r="F15" s="378">
        <f>0.24</f>
        <v>0.24</v>
      </c>
      <c r="H15" s="218"/>
      <c r="K15" s="218"/>
      <c r="L15" s="218"/>
      <c r="M15" s="218"/>
      <c r="N15" s="218"/>
      <c r="O15" s="221"/>
    </row>
    <row r="16" spans="1:22" ht="13.25" customHeight="1" x14ac:dyDescent="0.15">
      <c r="B16" s="377" t="s">
        <v>853</v>
      </c>
      <c r="C16" s="376"/>
      <c r="D16" s="376"/>
      <c r="E16" s="376"/>
      <c r="F16" s="375">
        <v>46051</v>
      </c>
      <c r="H16" s="218"/>
      <c r="K16" s="218"/>
      <c r="L16" s="218"/>
      <c r="M16" s="218"/>
      <c r="N16" s="218"/>
      <c r="O16" s="221"/>
    </row>
    <row r="17" spans="2:16" ht="13.25" customHeight="1" x14ac:dyDescent="0.15">
      <c r="B17" s="216"/>
      <c r="C17" s="342"/>
      <c r="D17" s="342"/>
      <c r="E17" s="342"/>
      <c r="F17" s="341"/>
      <c r="G17" s="341"/>
      <c r="H17" s="341"/>
      <c r="I17" s="341"/>
      <c r="J17" s="341"/>
      <c r="K17" s="341"/>
      <c r="L17" s="341"/>
      <c r="M17" s="341"/>
      <c r="N17" s="341"/>
      <c r="O17" s="341"/>
    </row>
    <row r="18" spans="2:16" ht="13.25" customHeight="1" x14ac:dyDescent="0.15">
      <c r="B18" s="252" t="s">
        <v>854</v>
      </c>
      <c r="C18" s="374"/>
      <c r="D18" s="374"/>
      <c r="E18" s="374"/>
      <c r="F18" s="373"/>
      <c r="G18" s="373"/>
      <c r="H18" s="372"/>
      <c r="I18" s="372">
        <f t="shared" ref="I18:N18" si="1">+YEAR(I$5)-YEAR($I$5)</f>
        <v>0</v>
      </c>
      <c r="J18" s="372">
        <f t="shared" si="1"/>
        <v>1</v>
      </c>
      <c r="K18" s="372">
        <f t="shared" si="1"/>
        <v>2</v>
      </c>
      <c r="L18" s="372">
        <f t="shared" si="1"/>
        <v>3</v>
      </c>
      <c r="M18" s="372">
        <f t="shared" si="1"/>
        <v>4</v>
      </c>
      <c r="N18" s="372">
        <f t="shared" si="1"/>
        <v>5</v>
      </c>
      <c r="O18" s="331"/>
    </row>
    <row r="19" spans="2:16" ht="13.25" customHeight="1" x14ac:dyDescent="0.15">
      <c r="C19" s="337"/>
      <c r="D19" s="337"/>
      <c r="E19" s="337"/>
      <c r="F19" s="218">
        <v>0.24</v>
      </c>
      <c r="G19" s="218"/>
      <c r="H19" s="371"/>
      <c r="I19" s="371"/>
      <c r="J19" s="371"/>
      <c r="K19" s="371"/>
      <c r="L19" s="371"/>
      <c r="M19" s="371"/>
      <c r="N19" s="371"/>
      <c r="O19" s="221"/>
    </row>
    <row r="20" spans="2:16" ht="15" customHeight="1" x14ac:dyDescent="0.15">
      <c r="B20" s="211" t="s">
        <v>855</v>
      </c>
      <c r="C20" s="343"/>
      <c r="D20" s="343"/>
      <c r="E20" s="343"/>
      <c r="F20" s="254"/>
      <c r="G20" s="254"/>
      <c r="H20" s="254"/>
      <c r="I20" s="254"/>
      <c r="J20" s="254">
        <v>45855</v>
      </c>
      <c r="K20" s="254">
        <f>J20+365</f>
        <v>46220</v>
      </c>
      <c r="L20" s="254">
        <f t="shared" ref="L20:O20" si="2">K20+365</f>
        <v>46585</v>
      </c>
      <c r="M20" s="254">
        <f t="shared" si="2"/>
        <v>46950</v>
      </c>
      <c r="N20" s="254">
        <f t="shared" si="2"/>
        <v>47315</v>
      </c>
      <c r="O20" s="254">
        <f t="shared" si="2"/>
        <v>47680</v>
      </c>
    </row>
    <row r="22" spans="2:16" ht="13.25" customHeight="1" x14ac:dyDescent="0.15">
      <c r="B22" s="201" t="s">
        <v>658</v>
      </c>
      <c r="C22" s="337"/>
      <c r="D22" s="337"/>
      <c r="E22" s="337"/>
      <c r="F22" s="218"/>
      <c r="G22" s="218"/>
      <c r="H22" s="218"/>
      <c r="I22" s="218"/>
      <c r="J22" s="218">
        <f>+'Output (2)'!P87</f>
        <v>257.53816867963235</v>
      </c>
      <c r="K22" s="218">
        <f>+'Output (2)'!Q87</f>
        <v>211.16666235786386</v>
      </c>
      <c r="L22" s="218">
        <f>+'Output (2)'!R87</f>
        <v>254.08185683143864</v>
      </c>
      <c r="M22" s="218">
        <f>+'Output (2)'!S87</f>
        <v>270.00027978961833</v>
      </c>
      <c r="N22" s="218">
        <f>+'Output (2)'!T87</f>
        <v>282.2173466579186</v>
      </c>
      <c r="O22" s="218">
        <f>+TV!E16</f>
        <v>230.62617598414309</v>
      </c>
    </row>
    <row r="23" spans="2:16" ht="13.25" customHeight="1" x14ac:dyDescent="0.15">
      <c r="B23" s="201" t="s">
        <v>856</v>
      </c>
      <c r="C23" s="337"/>
      <c r="D23" s="337"/>
      <c r="E23" s="337"/>
      <c r="F23" s="218"/>
      <c r="G23" s="218"/>
      <c r="H23" s="218"/>
      <c r="I23" s="218"/>
      <c r="J23" s="370">
        <f>1/((1+$F$11)^(J18-0.5))</f>
        <v>0.96965984374393233</v>
      </c>
      <c r="K23" s="370">
        <f t="shared" ref="K23:N23" si="3">1/((1+$F$11)^(K18-0.5))</f>
        <v>0.91171317760191006</v>
      </c>
      <c r="L23" s="370">
        <f t="shared" si="3"/>
        <v>0.85722939191084102</v>
      </c>
      <c r="M23" s="370">
        <f t="shared" si="3"/>
        <v>0.8060015456710784</v>
      </c>
      <c r="N23" s="370">
        <f t="shared" si="3"/>
        <v>0.75783506463312622</v>
      </c>
      <c r="O23" s="370"/>
    </row>
    <row r="24" spans="2:16" ht="13.25" customHeight="1" x14ac:dyDescent="0.15">
      <c r="B24" s="201" t="s">
        <v>857</v>
      </c>
      <c r="C24" s="337"/>
      <c r="D24" s="337"/>
      <c r="E24" s="337"/>
      <c r="F24" s="218"/>
      <c r="G24" s="218"/>
      <c r="H24" s="218"/>
      <c r="I24" s="218"/>
      <c r="J24" s="218">
        <f>+J23*J22</f>
        <v>249.72442039999078</v>
      </c>
      <c r="K24" s="218">
        <f>+K23*K22</f>
        <v>192.52342874187769</v>
      </c>
      <c r="L24" s="218">
        <f>+L23*L22</f>
        <v>217.80643562719152</v>
      </c>
      <c r="M24" s="218">
        <f>+M23*M22</f>
        <v>217.62064284205601</v>
      </c>
      <c r="N24" s="218">
        <f>+N23*N22</f>
        <v>213.87420114509314</v>
      </c>
      <c r="O24" s="221"/>
    </row>
    <row r="25" spans="2:16" ht="13.25" customHeight="1" x14ac:dyDescent="0.15">
      <c r="B25" s="201" t="s">
        <v>858</v>
      </c>
      <c r="C25" s="337"/>
      <c r="D25" s="337"/>
      <c r="E25" s="337"/>
      <c r="F25" s="218"/>
      <c r="G25" s="218"/>
      <c r="H25" s="218"/>
      <c r="K25" s="369"/>
      <c r="L25" s="218"/>
      <c r="M25" s="218"/>
      <c r="N25" s="218">
        <f>+O22/(F11-F10)</f>
        <v>6043.9796630888168</v>
      </c>
    </row>
    <row r="26" spans="2:16" ht="13.25" customHeight="1" x14ac:dyDescent="0.15">
      <c r="B26" s="219" t="s">
        <v>859</v>
      </c>
      <c r="C26" s="306"/>
      <c r="D26" s="306"/>
      <c r="E26" s="306"/>
      <c r="F26" s="306"/>
      <c r="G26" s="306"/>
      <c r="H26" s="306"/>
      <c r="I26" s="220">
        <f>+SUM(J24:N24)</f>
        <v>1091.549128756209</v>
      </c>
      <c r="J26" s="265"/>
      <c r="K26" s="265"/>
      <c r="L26" s="265"/>
      <c r="M26" s="265"/>
      <c r="N26" s="265"/>
      <c r="O26" s="265"/>
    </row>
    <row r="27" spans="2:16" ht="13.25" customHeight="1" x14ac:dyDescent="0.15">
      <c r="B27" s="213" t="s">
        <v>860</v>
      </c>
      <c r="C27" s="340"/>
      <c r="D27" s="340"/>
      <c r="E27" s="340"/>
      <c r="F27" s="214"/>
      <c r="G27" s="214"/>
      <c r="H27" s="214"/>
      <c r="I27" s="214">
        <f>+N25*N23</f>
        <v>4580.3397186182137</v>
      </c>
      <c r="J27" s="218"/>
      <c r="K27" s="218"/>
      <c r="L27" s="218"/>
      <c r="M27" s="218"/>
      <c r="N27" s="339"/>
      <c r="O27" s="218"/>
    </row>
    <row r="28" spans="2:16" ht="5" customHeight="1" x14ac:dyDescent="0.15">
      <c r="F28" s="218"/>
      <c r="G28" s="218"/>
      <c r="H28" s="218"/>
      <c r="I28" s="218"/>
      <c r="J28" s="218"/>
      <c r="K28" s="218"/>
      <c r="L28" s="218"/>
      <c r="M28" s="218"/>
      <c r="N28" s="218"/>
      <c r="O28" s="218"/>
    </row>
    <row r="29" spans="2:16" ht="13.25" customHeight="1" x14ac:dyDescent="0.2">
      <c r="B29" s="222" t="s">
        <v>861</v>
      </c>
      <c r="C29" s="223"/>
      <c r="D29" s="223"/>
      <c r="E29" s="223"/>
      <c r="F29" s="223"/>
      <c r="G29" s="223"/>
      <c r="H29" s="223"/>
      <c r="I29" s="223">
        <f>+I27+I26</f>
        <v>5671.8888473744228</v>
      </c>
      <c r="J29" s="218">
        <f>J33-SUM(I30:I32)</f>
        <v>6096.893</v>
      </c>
      <c r="K29" s="218">
        <f>K33-SUM(I30:I32)</f>
        <v>9132.6929999999993</v>
      </c>
      <c r="P29" s="239"/>
    </row>
    <row r="30" spans="2:16" ht="13.25" customHeight="1" x14ac:dyDescent="0.15">
      <c r="B30" s="201" t="s">
        <v>862</v>
      </c>
      <c r="C30" s="218"/>
      <c r="D30" s="218"/>
      <c r="E30" s="218"/>
      <c r="F30" s="218"/>
      <c r="G30" s="218"/>
      <c r="H30" s="218"/>
      <c r="I30" s="218">
        <f>-'Output (2)'!$O$63</f>
        <v>-621.29700000000003</v>
      </c>
      <c r="J30" s="218"/>
    </row>
    <row r="31" spans="2:16" ht="13.25" customHeight="1" x14ac:dyDescent="0.15">
      <c r="B31" s="201" t="s">
        <v>863</v>
      </c>
      <c r="C31" s="218"/>
      <c r="D31" s="218"/>
      <c r="E31" s="218"/>
      <c r="F31" s="218"/>
      <c r="G31" s="218"/>
      <c r="H31" s="218"/>
      <c r="I31" s="218">
        <f>+'Output (2)'!$O$54</f>
        <v>-3.2920000000000003</v>
      </c>
      <c r="J31" s="218"/>
      <c r="L31" s="218"/>
      <c r="N31" s="398">
        <f>J101/I34</f>
        <v>118.56020645001524</v>
      </c>
    </row>
    <row r="32" spans="2:16" ht="13.25" customHeight="1" x14ac:dyDescent="0.15">
      <c r="B32" s="201" t="s">
        <v>864</v>
      </c>
      <c r="C32" s="218"/>
      <c r="D32" s="218"/>
      <c r="E32" s="218"/>
      <c r="F32" s="218"/>
      <c r="G32" s="218"/>
      <c r="H32" s="218"/>
      <c r="I32" s="218">
        <f>-'Output (2)'!$O$68</f>
        <v>1.8959999999999999</v>
      </c>
      <c r="J32" s="218"/>
      <c r="K32" s="218"/>
      <c r="L32" s="218"/>
    </row>
    <row r="33" spans="2:17" ht="13.25" customHeight="1" x14ac:dyDescent="0.15">
      <c r="B33" s="222" t="s">
        <v>865</v>
      </c>
      <c r="C33" s="223"/>
      <c r="D33" s="223"/>
      <c r="E33" s="223"/>
      <c r="F33" s="223"/>
      <c r="G33" s="223"/>
      <c r="H33" s="223"/>
      <c r="I33" s="223">
        <f>SUM(I29:I32)</f>
        <v>5049.1958473744216</v>
      </c>
      <c r="J33" s="218">
        <f>5474.2</f>
        <v>5474.2</v>
      </c>
      <c r="K33" s="218">
        <v>8510</v>
      </c>
      <c r="L33" s="398">
        <f>H103/I34</f>
        <v>71.494861417607041</v>
      </c>
    </row>
    <row r="34" spans="2:17" ht="13.25" customHeight="1" x14ac:dyDescent="0.15">
      <c r="B34" s="201" t="s">
        <v>866</v>
      </c>
      <c r="C34" s="244"/>
      <c r="D34" s="244"/>
      <c r="E34" s="244"/>
      <c r="F34" s="244"/>
      <c r="G34" s="244"/>
      <c r="H34" s="244"/>
      <c r="I34" s="244">
        <v>54.15</v>
      </c>
      <c r="J34" s="218"/>
      <c r="K34" s="218"/>
    </row>
    <row r="35" spans="2:17" ht="13.25" customHeight="1" x14ac:dyDescent="0.15">
      <c r="B35" s="222" t="s">
        <v>867</v>
      </c>
      <c r="C35" s="223"/>
      <c r="D35" s="223"/>
      <c r="E35" s="223"/>
      <c r="F35" s="223"/>
      <c r="G35" s="223"/>
      <c r="H35" s="223"/>
      <c r="I35" s="223">
        <f>+I33/I34</f>
        <v>93.244613986600584</v>
      </c>
      <c r="J35" s="218"/>
      <c r="K35" s="218"/>
    </row>
    <row r="36" spans="2:17" ht="13.25" customHeight="1" x14ac:dyDescent="0.15">
      <c r="B36" s="201" t="s">
        <v>868</v>
      </c>
      <c r="C36" s="366"/>
      <c r="D36" s="366"/>
      <c r="E36" s="366"/>
      <c r="F36" s="366"/>
      <c r="G36" s="366"/>
      <c r="H36" s="366"/>
      <c r="I36" s="366">
        <f>+I29/'Output (2)'!$O$15</f>
        <v>13.705941969408531</v>
      </c>
      <c r="J36" s="218"/>
      <c r="K36" s="218"/>
    </row>
    <row r="37" spans="2:17" ht="13.25" customHeight="1" x14ac:dyDescent="0.15">
      <c r="J37" s="218"/>
      <c r="K37" s="218"/>
    </row>
    <row r="38" spans="2:17" ht="15" customHeight="1" x14ac:dyDescent="0.15">
      <c r="B38" s="211" t="s">
        <v>869</v>
      </c>
      <c r="C38" s="343"/>
      <c r="D38" s="343"/>
      <c r="E38" s="343"/>
      <c r="F38" s="254"/>
      <c r="G38" s="254"/>
      <c r="H38" s="254"/>
      <c r="I38" s="254">
        <f t="shared" ref="I38:O38" si="4">+I$5</f>
        <v>45489</v>
      </c>
      <c r="J38" s="254">
        <f t="shared" si="4"/>
        <v>45854</v>
      </c>
      <c r="K38" s="254">
        <f t="shared" si="4"/>
        <v>46219</v>
      </c>
      <c r="L38" s="254">
        <f t="shared" si="4"/>
        <v>46584</v>
      </c>
      <c r="M38" s="254">
        <f t="shared" si="4"/>
        <v>46949</v>
      </c>
      <c r="N38" s="254">
        <f t="shared" si="4"/>
        <v>47314</v>
      </c>
      <c r="O38" s="254">
        <f t="shared" si="4"/>
        <v>47695</v>
      </c>
    </row>
    <row r="39" spans="2:17" ht="5" customHeight="1" x14ac:dyDescent="0.15"/>
    <row r="40" spans="2:17" ht="13.25" customHeight="1" x14ac:dyDescent="0.15">
      <c r="B40" s="201" t="s">
        <v>658</v>
      </c>
      <c r="C40" s="337"/>
      <c r="D40" s="337"/>
      <c r="E40" s="337"/>
      <c r="F40" s="218"/>
      <c r="G40" s="218"/>
      <c r="H40" s="218"/>
      <c r="I40" s="218"/>
      <c r="J40" s="218">
        <f t="shared" ref="J40:O40" si="5">+J22</f>
        <v>257.53816867963235</v>
      </c>
      <c r="K40" s="218">
        <f t="shared" si="5"/>
        <v>211.16666235786386</v>
      </c>
      <c r="L40" s="218">
        <f t="shared" si="5"/>
        <v>254.08185683143864</v>
      </c>
      <c r="M40" s="218">
        <f t="shared" si="5"/>
        <v>270.00027978961833</v>
      </c>
      <c r="N40" s="218">
        <f t="shared" si="5"/>
        <v>282.2173466579186</v>
      </c>
      <c r="O40" s="218">
        <f t="shared" si="5"/>
        <v>230.62617598414309</v>
      </c>
      <c r="Q40" s="228"/>
    </row>
    <row r="41" spans="2:17" ht="13.25" customHeight="1" x14ac:dyDescent="0.2">
      <c r="B41" s="201" t="s">
        <v>870</v>
      </c>
      <c r="C41" s="337"/>
      <c r="D41" s="337"/>
      <c r="E41" s="337"/>
      <c r="F41" s="218"/>
      <c r="G41" s="218"/>
      <c r="H41" s="218"/>
      <c r="I41" s="218"/>
      <c r="J41" s="370">
        <f>1/((1+$F$12)^J18)</f>
        <v>0.93896713615023475</v>
      </c>
      <c r="K41" s="370">
        <f>1/((1+$F$12)^K18)</f>
        <v>0.88165928277017358</v>
      </c>
      <c r="L41" s="370">
        <f>1/((1+$F$12)^L18)</f>
        <v>0.82784909180297994</v>
      </c>
      <c r="M41" s="370">
        <f>1/((1+$F$12)^M18)</f>
        <v>0.77732309089481699</v>
      </c>
      <c r="N41" s="370">
        <f>1/((1+$F$12)^N18)</f>
        <v>0.72988083652095492</v>
      </c>
      <c r="O41" s="370"/>
      <c r="P41" s="199"/>
    </row>
    <row r="42" spans="2:17" ht="13.25" customHeight="1" x14ac:dyDescent="0.2">
      <c r="B42" s="201" t="s">
        <v>857</v>
      </c>
      <c r="C42" s="337"/>
      <c r="D42" s="337"/>
      <c r="E42" s="337"/>
      <c r="F42" s="218"/>
      <c r="G42" s="218"/>
      <c r="H42" s="218"/>
      <c r="I42" s="218"/>
      <c r="J42" s="218">
        <f>+J41*J40</f>
        <v>241.81987669449046</v>
      </c>
      <c r="K42" s="218">
        <f>+K41*K40</f>
        <v>186.17704807940567</v>
      </c>
      <c r="L42" s="218">
        <f>+L41*L40</f>
        <v>210.34143442152126</v>
      </c>
      <c r="M42" s="218">
        <f>+M41*M40</f>
        <v>209.87745202853151</v>
      </c>
      <c r="N42" s="218">
        <f>+N41*N40</f>
        <v>205.98503305940594</v>
      </c>
      <c r="O42" s="221"/>
      <c r="P42" s="199"/>
    </row>
    <row r="43" spans="2:17" ht="13.25" customHeight="1" x14ac:dyDescent="0.2">
      <c r="B43" s="201" t="s">
        <v>858</v>
      </c>
      <c r="C43" s="337"/>
      <c r="D43" s="337"/>
      <c r="E43" s="337"/>
      <c r="F43" s="218"/>
      <c r="G43" s="218"/>
      <c r="H43" s="218"/>
      <c r="K43" s="369"/>
      <c r="L43" s="218"/>
      <c r="M43" s="218"/>
      <c r="N43" s="221">
        <f>+O40/(F12-F10)</f>
        <v>5823.8933329329057</v>
      </c>
      <c r="P43" s="199"/>
    </row>
    <row r="44" spans="2:17" ht="13.25" customHeight="1" x14ac:dyDescent="0.2">
      <c r="B44" s="219" t="s">
        <v>859</v>
      </c>
      <c r="C44" s="306"/>
      <c r="D44" s="306"/>
      <c r="E44" s="306"/>
      <c r="F44" s="306"/>
      <c r="G44" s="306"/>
      <c r="H44" s="306"/>
      <c r="I44" s="220">
        <f>+SUM(J42:N42)</f>
        <v>1054.2008442833549</v>
      </c>
      <c r="J44" s="265"/>
      <c r="K44" s="265"/>
      <c r="L44" s="265"/>
      <c r="M44" s="265"/>
      <c r="N44" s="265"/>
      <c r="O44" s="265"/>
      <c r="P44" s="199"/>
    </row>
    <row r="45" spans="2:17" ht="13.25" customHeight="1" x14ac:dyDescent="0.2">
      <c r="B45" s="213" t="s">
        <v>860</v>
      </c>
      <c r="C45" s="340"/>
      <c r="D45" s="340"/>
      <c r="E45" s="340"/>
      <c r="F45" s="214"/>
      <c r="G45" s="214"/>
      <c r="H45" s="214"/>
      <c r="I45" s="214">
        <f>+N43*N41</f>
        <v>4250.7481376498818</v>
      </c>
      <c r="J45" s="218"/>
      <c r="K45" s="218"/>
      <c r="L45" s="218"/>
      <c r="M45" s="218"/>
      <c r="N45" s="339"/>
      <c r="O45" s="218"/>
      <c r="P45" s="199"/>
    </row>
    <row r="46" spans="2:17" ht="13.25" customHeight="1" x14ac:dyDescent="0.2">
      <c r="B46" s="219" t="s">
        <v>871</v>
      </c>
      <c r="C46" s="363"/>
      <c r="D46" s="363"/>
      <c r="E46" s="363"/>
      <c r="F46" s="220"/>
      <c r="G46" s="220"/>
      <c r="H46" s="220"/>
      <c r="I46" s="220">
        <f>+I45+I44</f>
        <v>5304.9489819332366</v>
      </c>
      <c r="J46" s="271"/>
      <c r="K46" s="271"/>
      <c r="L46" s="271"/>
      <c r="M46" s="271"/>
      <c r="N46" s="271"/>
      <c r="O46" s="271"/>
      <c r="P46" s="228"/>
    </row>
    <row r="47" spans="2:17" ht="13.25" customHeight="1" x14ac:dyDescent="0.2">
      <c r="C47" s="337"/>
      <c r="D47" s="337"/>
      <c r="E47" s="337"/>
      <c r="F47" s="218"/>
      <c r="G47" s="218"/>
      <c r="H47" s="218"/>
      <c r="I47" s="218"/>
      <c r="J47" s="218"/>
      <c r="K47" s="218"/>
      <c r="L47" s="218"/>
      <c r="M47" s="218"/>
      <c r="N47" s="218"/>
      <c r="O47" s="218"/>
      <c r="P47" s="228"/>
    </row>
    <row r="48" spans="2:17" ht="13.25" customHeight="1" x14ac:dyDescent="0.2">
      <c r="B48" s="216" t="s">
        <v>872</v>
      </c>
      <c r="C48" s="337"/>
      <c r="D48" s="337"/>
      <c r="E48" s="337"/>
      <c r="F48" s="218"/>
      <c r="G48" s="218"/>
      <c r="H48" s="218"/>
      <c r="I48" s="218"/>
      <c r="J48" s="218">
        <f>+'Output (2)'!P89</f>
        <v>14.947660810917228</v>
      </c>
      <c r="K48" s="218">
        <f>+'Output (2)'!Q89</f>
        <v>14.819992627700415</v>
      </c>
      <c r="L48" s="218">
        <f>+'Output (2)'!R89</f>
        <v>14.886133105650586</v>
      </c>
      <c r="M48" s="218">
        <f>+'Output (2)'!S89</f>
        <v>14.849021459498289</v>
      </c>
      <c r="N48" s="218">
        <f>+'Output (2)'!T89</f>
        <v>14.924638368238348</v>
      </c>
      <c r="O48" s="218">
        <f>+TV!E44</f>
        <v>4.7926830848697133</v>
      </c>
      <c r="P48" s="199"/>
    </row>
    <row r="49" spans="2:16" ht="13.25" customHeight="1" x14ac:dyDescent="0.2">
      <c r="P49" s="199"/>
    </row>
    <row r="50" spans="2:16" ht="13.25" customHeight="1" x14ac:dyDescent="0.2">
      <c r="B50" s="201" t="s">
        <v>873</v>
      </c>
      <c r="C50" s="337"/>
      <c r="D50" s="337"/>
      <c r="E50" s="337"/>
      <c r="F50" s="218"/>
      <c r="G50" s="218"/>
      <c r="H50" s="218"/>
      <c r="I50" s="218"/>
      <c r="J50" s="370">
        <f>1/((1+$F$14)^J18)</f>
        <v>0.97541943035505274</v>
      </c>
      <c r="K50" s="370">
        <f>1/((1+$F$14)^K18)</f>
        <v>0.95144306511417576</v>
      </c>
      <c r="L50" s="370">
        <f>1/((1+$F$14)^L18)</f>
        <v>0.92805605258893475</v>
      </c>
      <c r="M50" s="370">
        <f>1/((1+$F$14)^M18)</f>
        <v>0.90524390615385752</v>
      </c>
      <c r="N50" s="370">
        <f>1/((1+$F$14)^N18)</f>
        <v>0.88299249527297852</v>
      </c>
      <c r="O50" s="370"/>
      <c r="P50" s="199"/>
    </row>
    <row r="51" spans="2:16" ht="13.25" customHeight="1" x14ac:dyDescent="0.2">
      <c r="B51" s="201" t="s">
        <v>874</v>
      </c>
      <c r="C51" s="337"/>
      <c r="D51" s="337"/>
      <c r="E51" s="337"/>
      <c r="F51" s="218"/>
      <c r="G51" s="218"/>
      <c r="H51" s="218"/>
      <c r="I51" s="218"/>
      <c r="J51" s="218">
        <f>+J50*J48</f>
        <v>14.580238793325428</v>
      </c>
      <c r="K51" s="218">
        <f>+K50*K48</f>
        <v>14.100379210668772</v>
      </c>
      <c r="L51" s="218">
        <f>+L50*L48</f>
        <v>13.815165928343543</v>
      </c>
      <c r="M51" s="218">
        <f>+M50*M48</f>
        <v>13.441986188558685</v>
      </c>
      <c r="N51" s="218">
        <f>+N50*N48</f>
        <v>13.178343673817613</v>
      </c>
      <c r="O51" s="221"/>
      <c r="P51" s="199"/>
    </row>
    <row r="52" spans="2:16" ht="13.25" customHeight="1" x14ac:dyDescent="0.2">
      <c r="B52" s="201" t="s">
        <v>858</v>
      </c>
      <c r="C52" s="337"/>
      <c r="D52" s="337"/>
      <c r="E52" s="337"/>
      <c r="F52" s="218"/>
      <c r="G52" s="218"/>
      <c r="H52" s="218"/>
      <c r="K52" s="369"/>
      <c r="L52" s="218"/>
      <c r="M52" s="218"/>
      <c r="N52" s="221">
        <f>+O48/(F14-F10)</f>
        <v>-23963.41542434871</v>
      </c>
      <c r="P52" s="199"/>
    </row>
    <row r="53" spans="2:16" ht="13.25" customHeight="1" x14ac:dyDescent="0.2">
      <c r="B53" s="219" t="s">
        <v>875</v>
      </c>
      <c r="C53" s="306"/>
      <c r="D53" s="306"/>
      <c r="E53" s="306"/>
      <c r="F53" s="306"/>
      <c r="G53" s="306"/>
      <c r="H53" s="306"/>
      <c r="I53" s="220">
        <f>+SUM(J51:N51)</f>
        <v>69.116113794714039</v>
      </c>
      <c r="J53" s="265"/>
      <c r="K53" s="265"/>
      <c r="L53" s="265"/>
      <c r="M53" s="265"/>
      <c r="N53" s="265"/>
      <c r="O53" s="265"/>
      <c r="P53" s="199"/>
    </row>
    <row r="54" spans="2:16" ht="13.25" customHeight="1" x14ac:dyDescent="0.2">
      <c r="B54" s="213" t="s">
        <v>860</v>
      </c>
      <c r="C54" s="340"/>
      <c r="D54" s="340"/>
      <c r="E54" s="340"/>
      <c r="F54" s="214"/>
      <c r="G54" s="214"/>
      <c r="H54" s="214"/>
      <c r="I54" s="214">
        <f>+N52*N50</f>
        <v>-21159.51598080865</v>
      </c>
      <c r="J54" s="218"/>
      <c r="K54" s="218"/>
      <c r="L54" s="218"/>
      <c r="M54" s="218"/>
      <c r="N54" s="339"/>
      <c r="O54" s="218"/>
      <c r="P54" s="199"/>
    </row>
    <row r="55" spans="2:16" ht="13.25" customHeight="1" x14ac:dyDescent="0.2">
      <c r="B55" s="219" t="s">
        <v>876</v>
      </c>
      <c r="C55" s="363"/>
      <c r="D55" s="363"/>
      <c r="E55" s="363"/>
      <c r="F55" s="220"/>
      <c r="G55" s="220"/>
      <c r="H55" s="220"/>
      <c r="I55" s="220">
        <f>+I54+I53</f>
        <v>-21090.399867013937</v>
      </c>
      <c r="J55" s="271"/>
      <c r="K55" s="271"/>
      <c r="L55" s="271"/>
      <c r="M55" s="271"/>
      <c r="N55" s="271"/>
      <c r="O55" s="271"/>
      <c r="P55" s="228"/>
    </row>
    <row r="56" spans="2:16" ht="13.25" customHeight="1" x14ac:dyDescent="0.2">
      <c r="C56" s="337"/>
      <c r="D56" s="337"/>
      <c r="E56" s="337"/>
      <c r="F56" s="218"/>
      <c r="G56" s="218"/>
      <c r="H56" s="218"/>
      <c r="I56" s="218"/>
      <c r="J56" s="218"/>
      <c r="K56" s="218"/>
      <c r="L56" s="218"/>
      <c r="M56" s="218"/>
      <c r="N56" s="218"/>
      <c r="O56" s="221"/>
      <c r="P56" s="199"/>
    </row>
    <row r="57" spans="2:16" ht="13.25" customHeight="1" x14ac:dyDescent="0.2">
      <c r="B57" s="222" t="s">
        <v>861</v>
      </c>
      <c r="C57" s="223"/>
      <c r="D57" s="223"/>
      <c r="E57" s="223"/>
      <c r="F57" s="223"/>
      <c r="G57" s="223"/>
      <c r="H57" s="223"/>
      <c r="I57" s="223">
        <f>+I55+I46</f>
        <v>-15785.4508850807</v>
      </c>
      <c r="K57" s="218"/>
      <c r="L57" s="218"/>
      <c r="M57" s="218"/>
      <c r="N57" s="218"/>
      <c r="O57" s="218"/>
      <c r="P57" s="199"/>
    </row>
    <row r="58" spans="2:16" ht="13.25" customHeight="1" x14ac:dyDescent="0.2">
      <c r="B58" s="201" t="s">
        <v>862</v>
      </c>
      <c r="C58" s="218"/>
      <c r="D58" s="218"/>
      <c r="E58" s="218"/>
      <c r="F58" s="218"/>
      <c r="G58" s="218"/>
      <c r="H58" s="218"/>
      <c r="I58" s="218">
        <f>-'Output (2)'!$O$63</f>
        <v>-621.29700000000003</v>
      </c>
      <c r="K58" s="218"/>
      <c r="L58" s="218"/>
      <c r="M58" s="218"/>
      <c r="N58" s="218"/>
      <c r="O58" s="218"/>
      <c r="P58" s="228"/>
    </row>
    <row r="59" spans="2:16" ht="13.25" customHeight="1" x14ac:dyDescent="0.2">
      <c r="B59" s="201" t="s">
        <v>863</v>
      </c>
      <c r="C59" s="218"/>
      <c r="D59" s="218"/>
      <c r="E59" s="218"/>
      <c r="F59" s="218"/>
      <c r="G59" s="218"/>
      <c r="H59" s="218"/>
      <c r="I59" s="218">
        <f>+'Output (2)'!$O$54</f>
        <v>-3.2920000000000003</v>
      </c>
      <c r="K59" s="218"/>
      <c r="L59" s="218"/>
      <c r="M59" s="218"/>
      <c r="N59" s="218"/>
      <c r="O59" s="218"/>
      <c r="P59" s="228"/>
    </row>
    <row r="60" spans="2:16" ht="13.25" customHeight="1" x14ac:dyDescent="0.2">
      <c r="B60" s="201" t="s">
        <v>864</v>
      </c>
      <c r="C60" s="218"/>
      <c r="D60" s="218"/>
      <c r="E60" s="218"/>
      <c r="F60" s="218"/>
      <c r="G60" s="218"/>
      <c r="H60" s="218"/>
      <c r="I60" s="218">
        <f>-'Output (2)'!$O$68</f>
        <v>1.8959999999999999</v>
      </c>
      <c r="K60" s="218"/>
      <c r="L60" s="218"/>
      <c r="M60" s="218"/>
      <c r="N60" s="218"/>
      <c r="O60" s="218"/>
      <c r="P60" s="228"/>
    </row>
    <row r="61" spans="2:16" ht="13.25" customHeight="1" x14ac:dyDescent="0.2">
      <c r="B61" s="222" t="s">
        <v>865</v>
      </c>
      <c r="C61" s="223"/>
      <c r="D61" s="223"/>
      <c r="E61" s="223"/>
      <c r="F61" s="223"/>
      <c r="G61" s="223"/>
      <c r="H61" s="223"/>
      <c r="I61" s="223">
        <f>SUM(I57:I60)</f>
        <v>-16408.143885080699</v>
      </c>
      <c r="K61" s="218"/>
      <c r="L61" s="218"/>
      <c r="M61" s="218"/>
      <c r="N61" s="218"/>
      <c r="O61" s="218"/>
      <c r="P61" s="228"/>
    </row>
    <row r="62" spans="2:16" ht="13.25" customHeight="1" x14ac:dyDescent="0.15">
      <c r="B62" s="201" t="s">
        <v>866</v>
      </c>
      <c r="C62" s="244"/>
      <c r="D62" s="244"/>
      <c r="E62" s="244"/>
      <c r="F62" s="244"/>
      <c r="G62" s="244"/>
      <c r="H62" s="244"/>
      <c r="I62" s="392">
        <v>55.948256999999998</v>
      </c>
      <c r="K62" s="218"/>
      <c r="L62" s="218"/>
      <c r="M62" s="218"/>
      <c r="N62" s="218"/>
      <c r="O62" s="218"/>
      <c r="P62" s="228"/>
    </row>
    <row r="63" spans="2:16" ht="13.25" customHeight="1" x14ac:dyDescent="0.2">
      <c r="B63" s="222" t="s">
        <v>867</v>
      </c>
      <c r="C63" s="223"/>
      <c r="D63" s="223"/>
      <c r="E63" s="223"/>
      <c r="F63" s="223"/>
      <c r="G63" s="223"/>
      <c r="H63" s="223"/>
      <c r="I63" s="223">
        <f>+I61/I62</f>
        <v>-293.27354889859572</v>
      </c>
      <c r="K63" s="218"/>
      <c r="L63" s="218"/>
      <c r="M63" s="218"/>
      <c r="N63" s="218"/>
      <c r="O63" s="218"/>
      <c r="P63" s="228"/>
    </row>
    <row r="64" spans="2:16" ht="13.25" customHeight="1" x14ac:dyDescent="0.2">
      <c r="B64" s="201" t="s">
        <v>868</v>
      </c>
      <c r="C64" s="366"/>
      <c r="D64" s="366"/>
      <c r="E64" s="366"/>
      <c r="F64" s="366"/>
      <c r="G64" s="366"/>
      <c r="H64" s="366"/>
      <c r="I64" s="366">
        <f>+I57/'Output (2)'!$O$15</f>
        <v>-38.14504825707531</v>
      </c>
      <c r="K64" s="218"/>
      <c r="L64" s="218"/>
      <c r="M64" s="218"/>
      <c r="N64" s="218"/>
      <c r="O64" s="218"/>
      <c r="P64" s="228"/>
    </row>
    <row r="65" spans="2:16" ht="13.25" customHeight="1" x14ac:dyDescent="0.2">
      <c r="B65" s="199"/>
      <c r="C65" s="340"/>
      <c r="D65" s="340"/>
      <c r="E65" s="340"/>
      <c r="F65" s="214"/>
      <c r="G65" s="214"/>
      <c r="H65" s="214"/>
      <c r="I65" s="214"/>
      <c r="J65" s="214"/>
      <c r="K65" s="214"/>
      <c r="L65" s="214"/>
      <c r="M65" s="214"/>
      <c r="N65" s="214"/>
      <c r="O65" s="214"/>
      <c r="P65" s="199"/>
    </row>
    <row r="66" spans="2:16" ht="15" customHeight="1" x14ac:dyDescent="0.2">
      <c r="B66" s="211" t="s">
        <v>877</v>
      </c>
      <c r="C66" s="343"/>
      <c r="D66" s="343"/>
      <c r="E66" s="343"/>
      <c r="F66" s="254">
        <f t="shared" ref="F66:O66" si="6">+F$5</f>
        <v>0</v>
      </c>
      <c r="G66" s="254">
        <f t="shared" si="6"/>
        <v>0</v>
      </c>
      <c r="H66" s="254">
        <f t="shared" si="6"/>
        <v>0</v>
      </c>
      <c r="I66" s="254">
        <f t="shared" si="6"/>
        <v>45489</v>
      </c>
      <c r="J66" s="254">
        <f t="shared" si="6"/>
        <v>45854</v>
      </c>
      <c r="K66" s="254">
        <f t="shared" si="6"/>
        <v>46219</v>
      </c>
      <c r="L66" s="254">
        <f t="shared" si="6"/>
        <v>46584</v>
      </c>
      <c r="M66" s="254">
        <f t="shared" si="6"/>
        <v>46949</v>
      </c>
      <c r="N66" s="254">
        <f t="shared" si="6"/>
        <v>47314</v>
      </c>
      <c r="O66" s="254">
        <f t="shared" si="6"/>
        <v>47695</v>
      </c>
      <c r="P66" s="199"/>
    </row>
    <row r="67" spans="2:16" ht="5" customHeight="1" x14ac:dyDescent="0.2">
      <c r="B67" s="216"/>
      <c r="C67" s="342"/>
      <c r="D67" s="342"/>
      <c r="E67" s="342"/>
      <c r="F67" s="341"/>
      <c r="G67" s="341"/>
      <c r="H67" s="341"/>
      <c r="I67" s="341"/>
      <c r="J67" s="341"/>
      <c r="K67" s="341"/>
      <c r="L67" s="341"/>
      <c r="M67" s="341"/>
      <c r="N67" s="341"/>
      <c r="O67" s="341"/>
      <c r="P67" s="199"/>
    </row>
    <row r="68" spans="2:16" ht="13.25" customHeight="1" x14ac:dyDescent="0.2">
      <c r="B68" s="201" t="s">
        <v>878</v>
      </c>
      <c r="C68" s="337"/>
      <c r="D68" s="337"/>
      <c r="E68" s="337"/>
      <c r="F68" s="218"/>
      <c r="G68" s="218"/>
      <c r="H68" s="218"/>
      <c r="I68" s="218"/>
      <c r="J68" s="218">
        <f>+Analysis!P68</f>
        <v>185.80314291827349</v>
      </c>
      <c r="K68" s="218">
        <f>+Analysis!Q68</f>
        <v>165.96535917713973</v>
      </c>
      <c r="L68" s="218">
        <f>+Analysis!R68</f>
        <v>208.88384345755543</v>
      </c>
      <c r="M68" s="218">
        <f>+Analysis!S68</f>
        <v>224.80572071291786</v>
      </c>
      <c r="N68" s="218">
        <f>+Analysis!T68</f>
        <v>237.02641459326011</v>
      </c>
      <c r="O68" s="218">
        <f>+TV!E34</f>
        <v>187.54484150241453</v>
      </c>
      <c r="P68" s="239"/>
    </row>
    <row r="69" spans="2:16" ht="13.25" customHeight="1" x14ac:dyDescent="0.2">
      <c r="B69" s="201" t="s">
        <v>879</v>
      </c>
      <c r="C69" s="337"/>
      <c r="D69" s="337"/>
      <c r="E69" s="337"/>
      <c r="F69" s="218"/>
      <c r="G69" s="218"/>
      <c r="H69" s="218"/>
      <c r="I69" s="218"/>
      <c r="J69" s="370">
        <f>1/((1+$F$13)^J18)</f>
        <v>0.92936802973977695</v>
      </c>
      <c r="K69" s="370">
        <f>1/((1+$F$13)^K18)</f>
        <v>0.86372493470239486</v>
      </c>
      <c r="L69" s="370">
        <f>1/((1+$F$13)^L18)</f>
        <v>0.80271834080148208</v>
      </c>
      <c r="M69" s="370">
        <f>1/((1+$F$13)^M18)</f>
        <v>0.7460207628266563</v>
      </c>
      <c r="N69" s="370">
        <f>1/((1+$F$13)^N18)</f>
        <v>0.69332784649317492</v>
      </c>
      <c r="O69" s="370"/>
      <c r="P69" s="199"/>
    </row>
    <row r="70" spans="2:16" ht="13.25" customHeight="1" x14ac:dyDescent="0.2">
      <c r="B70" s="201" t="s">
        <v>880</v>
      </c>
      <c r="C70" s="337"/>
      <c r="D70" s="337"/>
      <c r="E70" s="337"/>
      <c r="F70" s="218"/>
      <c r="G70" s="218"/>
      <c r="H70" s="218"/>
      <c r="I70" s="218"/>
      <c r="J70" s="218">
        <f>+J69*J68</f>
        <v>172.67950085341403</v>
      </c>
      <c r="K70" s="218">
        <f>+K69*K68</f>
        <v>143.34841901813454</v>
      </c>
      <c r="L70" s="218">
        <f>+L69*L68</f>
        <v>167.67489224048541</v>
      </c>
      <c r="M70" s="218">
        <f>+M69*M68</f>
        <v>167.70973525404725</v>
      </c>
      <c r="N70" s="218">
        <f>+N69*N68</f>
        <v>164.33701359194347</v>
      </c>
      <c r="O70" s="221"/>
      <c r="P70" s="199"/>
    </row>
    <row r="71" spans="2:16" ht="13.25" customHeight="1" x14ac:dyDescent="0.2">
      <c r="B71" s="201" t="s">
        <v>858</v>
      </c>
      <c r="C71" s="337"/>
      <c r="D71" s="337"/>
      <c r="E71" s="337"/>
      <c r="F71" s="218"/>
      <c r="G71" s="218"/>
      <c r="H71" s="218"/>
      <c r="K71" s="369"/>
      <c r="L71" s="218"/>
      <c r="M71" s="218"/>
      <c r="N71" s="221">
        <f>+O68/(F13-F10)</f>
        <v>3706.4197925378367</v>
      </c>
      <c r="P71" s="199"/>
    </row>
    <row r="72" spans="2:16" ht="13.25" customHeight="1" x14ac:dyDescent="0.2">
      <c r="B72" s="219" t="s">
        <v>881</v>
      </c>
      <c r="C72" s="306"/>
      <c r="D72" s="306"/>
      <c r="E72" s="306"/>
      <c r="F72" s="306"/>
      <c r="G72" s="306"/>
      <c r="H72" s="306"/>
      <c r="I72" s="220">
        <f>+SUM(J70:N70)</f>
        <v>815.74956095802463</v>
      </c>
      <c r="J72" s="265"/>
      <c r="K72" s="265"/>
      <c r="L72" s="265"/>
      <c r="M72" s="265"/>
      <c r="N72" s="265"/>
      <c r="O72" s="265"/>
      <c r="P72" s="199"/>
    </row>
    <row r="73" spans="2:16" ht="13.25" customHeight="1" x14ac:dyDescent="0.2">
      <c r="B73" s="213" t="s">
        <v>860</v>
      </c>
      <c r="C73" s="340"/>
      <c r="D73" s="340"/>
      <c r="E73" s="340"/>
      <c r="F73" s="214"/>
      <c r="G73" s="214"/>
      <c r="H73" s="214"/>
      <c r="I73" s="214">
        <f>+N71*N69</f>
        <v>2569.7640529599385</v>
      </c>
      <c r="J73" s="218"/>
      <c r="K73" s="218"/>
      <c r="L73" s="218"/>
      <c r="M73" s="218"/>
      <c r="N73" s="339"/>
      <c r="O73" s="218"/>
      <c r="P73" s="199"/>
    </row>
    <row r="74" spans="2:16" ht="5" customHeight="1" x14ac:dyDescent="0.2">
      <c r="F74" s="218"/>
      <c r="G74" s="218"/>
      <c r="H74" s="218"/>
      <c r="I74" s="218"/>
      <c r="J74" s="218"/>
      <c r="K74" s="218"/>
      <c r="L74" s="218"/>
      <c r="M74" s="218"/>
      <c r="N74" s="218"/>
      <c r="O74" s="218"/>
      <c r="P74" s="199"/>
    </row>
    <row r="75" spans="2:16" ht="13.25" customHeight="1" x14ac:dyDescent="0.2">
      <c r="B75" s="219" t="s">
        <v>882</v>
      </c>
      <c r="C75" s="368"/>
      <c r="D75" s="368"/>
      <c r="E75" s="368"/>
      <c r="F75" s="367"/>
      <c r="G75" s="367"/>
      <c r="H75" s="367"/>
      <c r="I75" s="220">
        <f>+I73+I72</f>
        <v>3385.5136139179631</v>
      </c>
      <c r="J75" s="218"/>
      <c r="K75" s="218"/>
      <c r="L75" s="218"/>
      <c r="M75" s="218"/>
      <c r="N75" s="339"/>
      <c r="O75" s="218"/>
      <c r="P75" s="239"/>
    </row>
    <row r="76" spans="2:16" ht="13.25" customHeight="1" x14ac:dyDescent="0.2">
      <c r="B76" s="201" t="s">
        <v>883</v>
      </c>
      <c r="C76" s="342"/>
      <c r="D76" s="342"/>
      <c r="E76" s="342"/>
      <c r="F76" s="341"/>
      <c r="G76" s="341"/>
      <c r="H76" s="341"/>
      <c r="I76" s="218">
        <f>-'Output (2)'!O62</f>
        <v>393.26799999999997</v>
      </c>
      <c r="K76" s="365"/>
      <c r="L76" s="218"/>
      <c r="M76" s="218"/>
      <c r="N76" s="339"/>
      <c r="P76" s="199"/>
    </row>
    <row r="77" spans="2:16" ht="13.25" customHeight="1" x14ac:dyDescent="0.2">
      <c r="B77" s="201" t="s">
        <v>884</v>
      </c>
      <c r="C77" s="342"/>
      <c r="D77" s="342"/>
      <c r="E77" s="342"/>
      <c r="F77" s="341"/>
      <c r="G77" s="341"/>
      <c r="H77" s="341"/>
      <c r="I77" s="218">
        <f>+'Output (2)'!$O$52</f>
        <v>-9.5820000000000007</v>
      </c>
      <c r="K77" s="365"/>
      <c r="L77" s="218"/>
      <c r="M77" s="218"/>
      <c r="N77" s="339"/>
      <c r="P77" s="199"/>
    </row>
    <row r="78" spans="2:16" ht="13.25" customHeight="1" x14ac:dyDescent="0.2">
      <c r="B78" s="201" t="s">
        <v>864</v>
      </c>
      <c r="C78" s="342"/>
      <c r="D78" s="342"/>
      <c r="E78" s="342"/>
      <c r="F78" s="341"/>
      <c r="G78" s="341"/>
      <c r="H78" s="341"/>
      <c r="I78" s="218">
        <f>+I32</f>
        <v>1.8959999999999999</v>
      </c>
      <c r="K78" s="365"/>
      <c r="L78" s="218"/>
      <c r="M78" s="218"/>
      <c r="N78" s="339"/>
      <c r="P78" s="199"/>
    </row>
    <row r="79" spans="2:16" ht="13.25" customHeight="1" x14ac:dyDescent="0.2">
      <c r="B79" s="222" t="s">
        <v>865</v>
      </c>
      <c r="C79" s="338"/>
      <c r="D79" s="338"/>
      <c r="E79" s="338"/>
      <c r="F79" s="223"/>
      <c r="G79" s="223"/>
      <c r="H79" s="223"/>
      <c r="I79" s="223">
        <f>+SUM(I75:I78)</f>
        <v>3771.0956139179634</v>
      </c>
      <c r="K79" s="365"/>
      <c r="L79" s="218"/>
      <c r="M79" s="218"/>
      <c r="N79" s="339"/>
      <c r="P79" s="199"/>
    </row>
    <row r="80" spans="2:16" ht="13.25" customHeight="1" x14ac:dyDescent="0.2">
      <c r="B80" s="201" t="s">
        <v>866</v>
      </c>
      <c r="C80" s="244"/>
      <c r="D80" s="244"/>
      <c r="E80" s="244"/>
      <c r="F80" s="244"/>
      <c r="G80" s="244"/>
      <c r="H80" s="244"/>
      <c r="I80" s="244">
        <f>[1]AsReported!$I$124</f>
        <v>1180</v>
      </c>
      <c r="K80" s="365"/>
      <c r="L80" s="218"/>
      <c r="M80" s="218"/>
      <c r="N80" s="339"/>
      <c r="P80" s="199"/>
    </row>
    <row r="81" spans="2:16" ht="13.25" customHeight="1" x14ac:dyDescent="0.2">
      <c r="B81" s="222" t="s">
        <v>867</v>
      </c>
      <c r="C81" s="223"/>
      <c r="D81" s="223"/>
      <c r="E81" s="223"/>
      <c r="F81" s="223"/>
      <c r="G81" s="223"/>
      <c r="H81" s="223"/>
      <c r="I81" s="223">
        <f>+I79/I80</f>
        <v>3.1958437406084435</v>
      </c>
      <c r="K81" s="365"/>
      <c r="L81" s="218"/>
      <c r="M81" s="218"/>
      <c r="N81" s="339"/>
      <c r="P81" s="199"/>
    </row>
    <row r="82" spans="2:16" ht="13.25" customHeight="1" x14ac:dyDescent="0.2">
      <c r="C82" s="342"/>
      <c r="D82" s="342"/>
      <c r="E82" s="342"/>
      <c r="F82" s="341"/>
      <c r="G82" s="341"/>
      <c r="H82" s="341"/>
      <c r="I82" s="221"/>
      <c r="K82" s="365"/>
      <c r="L82" s="218"/>
      <c r="M82" s="218"/>
      <c r="N82" s="339"/>
      <c r="P82" s="199"/>
    </row>
    <row r="83" spans="2:16" ht="13.25" customHeight="1" x14ac:dyDescent="0.2">
      <c r="B83" s="201" t="s">
        <v>840</v>
      </c>
      <c r="C83" s="342"/>
      <c r="D83" s="342"/>
      <c r="E83" s="342"/>
      <c r="F83" s="341"/>
      <c r="G83" s="341"/>
      <c r="H83" s="341"/>
      <c r="I83" s="221">
        <f>+'Output (2)'!O61</f>
        <v>1014.5649999999999</v>
      </c>
      <c r="K83" s="365"/>
      <c r="L83" s="218"/>
      <c r="M83" s="218"/>
      <c r="N83" s="339"/>
      <c r="P83" s="199"/>
    </row>
    <row r="84" spans="2:16" ht="13.25" customHeight="1" x14ac:dyDescent="0.2">
      <c r="B84" s="222" t="s">
        <v>861</v>
      </c>
      <c r="C84" s="338"/>
      <c r="D84" s="338"/>
      <c r="E84" s="338"/>
      <c r="F84" s="223"/>
      <c r="G84" s="223"/>
      <c r="H84" s="223"/>
      <c r="I84" s="223">
        <f>+I75+I83</f>
        <v>4400.0786139179627</v>
      </c>
      <c r="K84" s="365"/>
      <c r="L84" s="218"/>
      <c r="M84" s="218"/>
      <c r="N84" s="339"/>
      <c r="P84" s="199"/>
    </row>
    <row r="85" spans="2:16" ht="13.25" customHeight="1" x14ac:dyDescent="0.2">
      <c r="B85" s="201" t="s">
        <v>868</v>
      </c>
      <c r="C85" s="366"/>
      <c r="D85" s="366"/>
      <c r="E85" s="366"/>
      <c r="F85" s="366"/>
      <c r="G85" s="366"/>
      <c r="H85" s="366"/>
      <c r="I85" s="366">
        <f>+I84/'Output (2)'!$O$15</f>
        <v>10.63265232553208</v>
      </c>
      <c r="K85" s="365"/>
      <c r="L85" s="218"/>
      <c r="M85" s="218"/>
      <c r="N85" s="339"/>
      <c r="P85" s="199"/>
    </row>
    <row r="86" spans="2:16" ht="13.25" customHeight="1" x14ac:dyDescent="0.2">
      <c r="P86" s="199"/>
    </row>
    <row r="87" spans="2:16" ht="15" customHeight="1" x14ac:dyDescent="0.2">
      <c r="B87" s="211" t="s">
        <v>885</v>
      </c>
      <c r="C87" s="343"/>
      <c r="D87" s="343"/>
      <c r="E87" s="343"/>
      <c r="F87" s="364"/>
      <c r="G87" s="364"/>
      <c r="H87" s="364"/>
      <c r="I87" s="343"/>
      <c r="J87" s="343"/>
      <c r="K87" s="364"/>
      <c r="L87" s="343"/>
      <c r="M87" s="343"/>
      <c r="N87" s="343"/>
      <c r="O87" s="343"/>
      <c r="P87" s="199"/>
    </row>
    <row r="88" spans="2:16" ht="13.25" customHeight="1" x14ac:dyDescent="0.2">
      <c r="P88" s="199"/>
    </row>
    <row r="89" spans="2:16" ht="13.25" customHeight="1" x14ac:dyDescent="0.2">
      <c r="B89" s="201" t="s">
        <v>886</v>
      </c>
      <c r="C89" s="337"/>
      <c r="D89" s="337"/>
      <c r="E89" s="337"/>
      <c r="F89" s="218">
        <f>+MIN(H101:J103)</f>
        <v>3871.4467457634214</v>
      </c>
      <c r="G89" s="218" t="e">
        <f>+MIN(H131:J133)</f>
        <v>#REF!</v>
      </c>
      <c r="H89" s="218" t="e">
        <f>+MIN(H121:J123)</f>
        <v>#REF!</v>
      </c>
      <c r="I89" s="218"/>
      <c r="J89" s="218"/>
      <c r="K89" s="218"/>
      <c r="M89" s="218"/>
      <c r="N89" s="218"/>
      <c r="O89" s="221"/>
      <c r="P89" s="199"/>
    </row>
    <row r="90" spans="2:16" ht="13.25" customHeight="1" x14ac:dyDescent="0.2">
      <c r="B90" s="201" t="s">
        <v>887</v>
      </c>
      <c r="C90" s="337"/>
      <c r="D90" s="337"/>
      <c r="E90" s="337"/>
      <c r="F90" s="221">
        <f>+MAX(H101:J103)</f>
        <v>6420.035179268325</v>
      </c>
      <c r="G90" s="221" t="e">
        <f>+MAX(H131:J133)</f>
        <v>#REF!</v>
      </c>
      <c r="H90" s="221" t="e">
        <f>+MAX(H121:J123)</f>
        <v>#REF!</v>
      </c>
      <c r="I90" s="218"/>
      <c r="J90" s="218"/>
      <c r="K90" s="218"/>
      <c r="M90" s="218"/>
      <c r="N90" s="218"/>
      <c r="O90" s="221"/>
      <c r="P90" s="199"/>
    </row>
    <row r="91" spans="2:16" ht="13.25" customHeight="1" x14ac:dyDescent="0.2">
      <c r="B91" s="219" t="s">
        <v>888</v>
      </c>
      <c r="C91" s="363"/>
      <c r="D91" s="363"/>
      <c r="E91" s="363"/>
      <c r="F91" s="336">
        <f>+AVERAGE(H101:J103)</f>
        <v>4933.3438399466295</v>
      </c>
      <c r="G91" s="336" t="e">
        <f>+AVERAGE(H131:J133)</f>
        <v>#REF!</v>
      </c>
      <c r="H91" s="336" t="e">
        <f>+AVERAGE(H121:J123)</f>
        <v>#REF!</v>
      </c>
      <c r="I91" s="218"/>
      <c r="J91" s="218"/>
      <c r="K91" s="218"/>
      <c r="M91" s="218"/>
      <c r="N91" s="218"/>
      <c r="O91" s="221"/>
      <c r="P91" s="199"/>
    </row>
    <row r="92" spans="2:16" ht="13.25" customHeight="1" x14ac:dyDescent="0.2">
      <c r="B92" s="213"/>
      <c r="C92" s="340"/>
      <c r="D92" s="340"/>
      <c r="E92" s="340"/>
      <c r="F92" s="272"/>
      <c r="G92" s="272"/>
      <c r="H92" s="218"/>
      <c r="I92" s="218"/>
      <c r="J92" s="218"/>
      <c r="K92" s="218"/>
      <c r="L92" s="218"/>
      <c r="M92" s="218"/>
      <c r="N92" s="218"/>
      <c r="O92" s="221"/>
      <c r="P92" s="199"/>
    </row>
    <row r="93" spans="2:16" ht="13.25" customHeight="1" x14ac:dyDescent="0.2">
      <c r="B93" s="216" t="s">
        <v>889</v>
      </c>
      <c r="C93" s="340"/>
      <c r="D93" s="340"/>
      <c r="E93" s="340"/>
      <c r="F93" s="272"/>
      <c r="G93" s="272"/>
      <c r="H93" s="218"/>
      <c r="I93" s="218"/>
      <c r="J93" s="218"/>
      <c r="K93" s="218"/>
      <c r="L93" s="218"/>
      <c r="M93" s="218"/>
      <c r="N93" s="218"/>
      <c r="O93" s="221"/>
      <c r="P93" s="199"/>
    </row>
    <row r="94" spans="2:16" ht="13.25" customHeight="1" x14ac:dyDescent="0.2">
      <c r="B94" s="216" t="s">
        <v>890</v>
      </c>
      <c r="C94" s="340"/>
      <c r="D94" s="340"/>
      <c r="E94" s="340"/>
      <c r="F94" s="272"/>
      <c r="G94" s="272"/>
      <c r="H94" s="218"/>
      <c r="I94" s="218"/>
      <c r="J94" s="218"/>
      <c r="K94" s="218"/>
      <c r="L94" s="218"/>
      <c r="M94" s="218"/>
      <c r="N94" s="218"/>
      <c r="O94" s="221"/>
      <c r="P94" s="199"/>
    </row>
    <row r="95" spans="2:16" ht="13.25" customHeight="1" x14ac:dyDescent="0.2">
      <c r="B95" s="213"/>
      <c r="C95" s="340"/>
      <c r="D95" s="340"/>
      <c r="E95" s="340"/>
      <c r="F95" s="272"/>
      <c r="G95" s="272"/>
      <c r="H95" s="218"/>
      <c r="I95" s="218"/>
      <c r="J95" s="218"/>
      <c r="K95" s="218"/>
      <c r="L95" s="218"/>
      <c r="M95" s="218"/>
      <c r="N95" s="218"/>
      <c r="O95" s="221"/>
      <c r="P95" s="199"/>
    </row>
    <row r="96" spans="2:16" ht="13.25" customHeight="1" x14ac:dyDescent="0.2">
      <c r="B96" s="326" t="s">
        <v>891</v>
      </c>
      <c r="J96" s="218"/>
      <c r="K96" s="218"/>
      <c r="M96" s="218"/>
      <c r="N96" s="218"/>
      <c r="P96" s="199"/>
    </row>
    <row r="97" spans="2:16" ht="13.25" customHeight="1" thickBot="1" x14ac:dyDescent="0.25">
      <c r="I97" s="218"/>
      <c r="J97" s="218"/>
      <c r="K97" s="218"/>
      <c r="M97" s="218"/>
      <c r="N97" s="218"/>
      <c r="P97" s="199"/>
    </row>
    <row r="98" spans="2:16" ht="20" customHeight="1" thickTop="1" thickBot="1" x14ac:dyDescent="0.25">
      <c r="G98" s="324" t="s">
        <v>847</v>
      </c>
      <c r="H98" s="323"/>
      <c r="I98" s="323"/>
      <c r="J98" s="323"/>
      <c r="K98" s="322"/>
      <c r="L98" s="325" t="s">
        <v>892</v>
      </c>
      <c r="M98" s="218"/>
      <c r="N98" s="218"/>
      <c r="P98" s="199"/>
    </row>
    <row r="99" spans="2:16" ht="13.25" customHeight="1" thickTop="1" thickBot="1" x14ac:dyDescent="0.25">
      <c r="F99" s="321">
        <f>I33</f>
        <v>5049.1958473744216</v>
      </c>
      <c r="G99" s="319">
        <f>+H99-0.5%</f>
        <v>1.3999999999999999E-2</v>
      </c>
      <c r="H99" s="319">
        <f>+I99-0.5%</f>
        <v>1.9E-2</v>
      </c>
      <c r="I99" s="320">
        <v>2.4E-2</v>
      </c>
      <c r="J99" s="319">
        <f>+I99+0.5%</f>
        <v>2.9000000000000001E-2</v>
      </c>
      <c r="K99" s="319">
        <f>+J99+0.5%</f>
        <v>3.4000000000000002E-2</v>
      </c>
      <c r="L99" s="318">
        <f>+F10-I99</f>
        <v>1.3999999999999985E-3</v>
      </c>
      <c r="P99" s="199"/>
    </row>
    <row r="100" spans="2:16" ht="13.25" customHeight="1" thickTop="1" thickBot="1" x14ac:dyDescent="0.25">
      <c r="E100" s="415" t="s">
        <v>848</v>
      </c>
      <c r="F100" s="319">
        <f>+F101-0.5%</f>
        <v>5.4000000000000006E-2</v>
      </c>
      <c r="G100" s="351">
        <f t="dataTable" ref="G100:K104" dt2D="1" dtr="1" r1="F10" r2="F11"/>
        <v>5044.005606482111</v>
      </c>
      <c r="H100" s="348">
        <v>5694.0871224296334</v>
      </c>
      <c r="I100" s="348">
        <v>6560.8624770263286</v>
      </c>
      <c r="J100" s="348">
        <v>7774.3479734617031</v>
      </c>
      <c r="K100" s="350">
        <v>9594.5762181147657</v>
      </c>
      <c r="L100" s="318">
        <f>+F11-F102</f>
        <v>-4.4199999999999795E-4</v>
      </c>
      <c r="P100" s="199"/>
    </row>
    <row r="101" spans="2:16" ht="13.25" customHeight="1" thickTop="1" thickBot="1" x14ac:dyDescent="0.25">
      <c r="E101" s="416"/>
      <c r="F101" s="319">
        <f>+F102-0.5%</f>
        <v>5.9000000000000004E-2</v>
      </c>
      <c r="G101" s="352">
        <v>4440.1761520778909</v>
      </c>
      <c r="H101" s="259">
        <v>4935.140908875499</v>
      </c>
      <c r="I101" s="259">
        <v>5571.5241676152818</v>
      </c>
      <c r="J101" s="259">
        <v>6420.035179268325</v>
      </c>
      <c r="K101" s="347">
        <v>7607.950595582588</v>
      </c>
      <c r="L101" s="318">
        <f>+I102-I33</f>
        <v>-220.20044060746477</v>
      </c>
      <c r="P101" s="199"/>
    </row>
    <row r="102" spans="2:16" ht="13.25" customHeight="1" thickTop="1" thickBot="1" x14ac:dyDescent="0.25">
      <c r="E102" s="416"/>
      <c r="F102" s="320">
        <v>6.4000000000000001E-2</v>
      </c>
      <c r="G102" s="352">
        <v>3956.744807417866</v>
      </c>
      <c r="H102" s="259">
        <v>4344.4117404619064</v>
      </c>
      <c r="I102" s="349">
        <v>4828.9954067669569</v>
      </c>
      <c r="J102" s="259">
        <v>5452.0315491591664</v>
      </c>
      <c r="K102" s="347">
        <v>6282.7464056821118</v>
      </c>
      <c r="L102" s="318"/>
      <c r="P102" s="199"/>
    </row>
    <row r="103" spans="2:16" ht="13.25" customHeight="1" thickTop="1" thickBot="1" x14ac:dyDescent="0.25">
      <c r="E103" s="416"/>
      <c r="F103" s="319">
        <f>+F102+0.5%</f>
        <v>6.9000000000000006E-2</v>
      </c>
      <c r="G103" s="352">
        <v>3560.8862330154375</v>
      </c>
      <c r="H103" s="259">
        <v>3871.4467457634214</v>
      </c>
      <c r="I103" s="259">
        <v>4251.0207057887328</v>
      </c>
      <c r="J103" s="259">
        <v>4725.4881558203742</v>
      </c>
      <c r="K103" s="347">
        <v>5335.5177344324857</v>
      </c>
      <c r="L103" s="318"/>
      <c r="P103" s="199"/>
    </row>
    <row r="104" spans="2:16" ht="13.25" customHeight="1" thickTop="1" thickBot="1" x14ac:dyDescent="0.25">
      <c r="E104" s="416"/>
      <c r="F104" s="319">
        <f>+F103+0.5%</f>
        <v>7.400000000000001E-2</v>
      </c>
      <c r="G104" s="346">
        <v>3230.7165196782448</v>
      </c>
      <c r="H104" s="345">
        <v>3484.1391512307587</v>
      </c>
      <c r="I104" s="345">
        <v>3788.2463090937749</v>
      </c>
      <c r="J104" s="345">
        <v>4159.9328353707933</v>
      </c>
      <c r="K104" s="344">
        <v>4624.5409932170696</v>
      </c>
      <c r="L104" s="318"/>
      <c r="P104" s="199"/>
    </row>
    <row r="105" spans="2:16" ht="13.25" customHeight="1" thickTop="1" x14ac:dyDescent="0.2">
      <c r="P105" s="199"/>
    </row>
    <row r="106" spans="2:16" ht="13.25" customHeight="1" x14ac:dyDescent="0.2">
      <c r="B106" s="326" t="s">
        <v>893</v>
      </c>
      <c r="J106" s="218"/>
      <c r="K106" s="218"/>
      <c r="M106" s="218"/>
      <c r="N106" s="218"/>
      <c r="P106" s="199"/>
    </row>
    <row r="107" spans="2:16" ht="13.25" customHeight="1" thickBot="1" x14ac:dyDescent="0.25">
      <c r="I107" s="218"/>
      <c r="J107" s="218"/>
      <c r="K107" s="218"/>
      <c r="M107" s="218"/>
      <c r="N107" s="218"/>
      <c r="P107" s="199"/>
    </row>
    <row r="108" spans="2:16" ht="20" customHeight="1" thickTop="1" thickBot="1" x14ac:dyDescent="0.25">
      <c r="G108" s="324" t="s">
        <v>847</v>
      </c>
      <c r="H108" s="323"/>
      <c r="I108" s="323"/>
      <c r="J108" s="323"/>
      <c r="K108" s="322"/>
      <c r="L108" s="325" t="s">
        <v>892</v>
      </c>
      <c r="M108" s="218"/>
      <c r="N108" s="218"/>
      <c r="P108" s="199"/>
    </row>
    <row r="109" spans="2:16" ht="13.25" customHeight="1" thickTop="1" thickBot="1" x14ac:dyDescent="0.25">
      <c r="F109" s="321">
        <f>+I36</f>
        <v>13.705941969408531</v>
      </c>
      <c r="G109" s="319">
        <f>+H109-0.5%</f>
        <v>9.9999999999999985E-3</v>
      </c>
      <c r="H109" s="319">
        <f>+I109-0.5%</f>
        <v>1.4999999999999999E-2</v>
      </c>
      <c r="I109" s="320">
        <f>+Assumptions!$T$52</f>
        <v>0.02</v>
      </c>
      <c r="J109" s="319">
        <f>+I109+0.5%</f>
        <v>2.5000000000000001E-2</v>
      </c>
      <c r="K109" s="319">
        <f>+J109+0.5%</f>
        <v>3.0000000000000002E-2</v>
      </c>
      <c r="L109" s="318">
        <f>+$F$10-I109</f>
        <v>5.3999999999999986E-3</v>
      </c>
      <c r="P109" s="199"/>
    </row>
    <row r="110" spans="2:16" ht="13.25" customHeight="1" thickTop="1" thickBot="1" x14ac:dyDescent="0.25">
      <c r="E110" s="415" t="s">
        <v>848</v>
      </c>
      <c r="F110" s="319" t="e">
        <f>+F111-0.5%</f>
        <v>#REF!</v>
      </c>
      <c r="G110" s="362" t="e">
        <f t="dataTable" ref="G110:K114" dt2D="1" dtr="1" r1="F10" r2="F11" ca="1"/>
        <v>#REF!</v>
      </c>
      <c r="H110" s="361" t="e">
        <v>#REF!</v>
      </c>
      <c r="I110" s="361" t="e">
        <v>#REF!</v>
      </c>
      <c r="J110" s="361" t="e">
        <v>#REF!</v>
      </c>
      <c r="K110" s="360" t="e">
        <v>#REF!</v>
      </c>
      <c r="L110" s="318" t="e">
        <f>+F112-F11</f>
        <v>#REF!</v>
      </c>
      <c r="P110" s="199"/>
    </row>
    <row r="111" spans="2:16" ht="13.25" customHeight="1" thickTop="1" thickBot="1" x14ac:dyDescent="0.25">
      <c r="E111" s="416"/>
      <c r="F111" s="319" t="e">
        <f>+F112-0.5%</f>
        <v>#REF!</v>
      </c>
      <c r="G111" s="358" t="e">
        <v>#REF!</v>
      </c>
      <c r="H111" s="357" t="e">
        <v>#REF!</v>
      </c>
      <c r="I111" s="357" t="e">
        <v>#REF!</v>
      </c>
      <c r="J111" s="357" t="e">
        <v>#REF!</v>
      </c>
      <c r="K111" s="356" t="e">
        <v>#REF!</v>
      </c>
      <c r="L111" s="318" t="e">
        <f>+I112-I36</f>
        <v>#REF!</v>
      </c>
      <c r="P111" s="199"/>
    </row>
    <row r="112" spans="2:16" ht="13.25" customHeight="1" thickTop="1" thickBot="1" x14ac:dyDescent="0.25">
      <c r="E112" s="416"/>
      <c r="F112" s="320" t="e">
        <f>#REF!</f>
        <v>#REF!</v>
      </c>
      <c r="G112" s="358" t="e">
        <v>#REF!</v>
      </c>
      <c r="H112" s="357" t="e">
        <v>#REF!</v>
      </c>
      <c r="I112" s="359" t="e">
        <v>#REF!</v>
      </c>
      <c r="J112" s="357" t="e">
        <v>#REF!</v>
      </c>
      <c r="K112" s="356" t="e">
        <v>#REF!</v>
      </c>
      <c r="L112" s="318"/>
      <c r="P112" s="199"/>
    </row>
    <row r="113" spans="2:16" ht="13.25" customHeight="1" thickTop="1" thickBot="1" x14ac:dyDescent="0.25">
      <c r="E113" s="416"/>
      <c r="F113" s="319" t="e">
        <f>+F112+0.5%</f>
        <v>#REF!</v>
      </c>
      <c r="G113" s="358" t="e">
        <v>#REF!</v>
      </c>
      <c r="H113" s="357" t="e">
        <v>#REF!</v>
      </c>
      <c r="I113" s="357" t="e">
        <v>#REF!</v>
      </c>
      <c r="J113" s="357" t="e">
        <v>#REF!</v>
      </c>
      <c r="K113" s="356" t="e">
        <v>#REF!</v>
      </c>
      <c r="L113" s="318"/>
      <c r="P113" s="199"/>
    </row>
    <row r="114" spans="2:16" ht="13.25" customHeight="1" thickTop="1" thickBot="1" x14ac:dyDescent="0.25">
      <c r="E114" s="416"/>
      <c r="F114" s="319" t="e">
        <f>+F113+0.5%</f>
        <v>#REF!</v>
      </c>
      <c r="G114" s="355" t="e">
        <v>#REF!</v>
      </c>
      <c r="H114" s="354" t="e">
        <v>#REF!</v>
      </c>
      <c r="I114" s="354" t="e">
        <v>#REF!</v>
      </c>
      <c r="J114" s="354" t="e">
        <v>#REF!</v>
      </c>
      <c r="K114" s="353" t="e">
        <v>#REF!</v>
      </c>
      <c r="L114" s="318"/>
      <c r="P114" s="199"/>
    </row>
    <row r="115" spans="2:16" ht="13.25" customHeight="1" thickTop="1" x14ac:dyDescent="0.2">
      <c r="P115" s="199"/>
    </row>
    <row r="116" spans="2:16" ht="13.25" customHeight="1" x14ac:dyDescent="0.2">
      <c r="B116" s="326" t="s">
        <v>894</v>
      </c>
      <c r="J116" s="218"/>
      <c r="K116" s="218"/>
      <c r="M116" s="218"/>
      <c r="N116" s="218"/>
      <c r="P116" s="199"/>
    </row>
    <row r="117" spans="2:16" ht="13.25" customHeight="1" thickBot="1" x14ac:dyDescent="0.25">
      <c r="I117" s="218"/>
      <c r="J117" s="218"/>
      <c r="K117" s="218"/>
      <c r="M117" s="218"/>
      <c r="N117" s="218"/>
      <c r="P117" s="199"/>
    </row>
    <row r="118" spans="2:16" ht="20" customHeight="1" thickTop="1" thickBot="1" x14ac:dyDescent="0.25">
      <c r="G118" s="324" t="s">
        <v>847</v>
      </c>
      <c r="H118" s="323"/>
      <c r="I118" s="323"/>
      <c r="J118" s="323"/>
      <c r="K118" s="322"/>
      <c r="L118" s="325" t="s">
        <v>892</v>
      </c>
      <c r="M118" s="218"/>
      <c r="N118" s="218"/>
      <c r="P118" s="199"/>
    </row>
    <row r="119" spans="2:16" ht="13.25" customHeight="1" thickTop="1" thickBot="1" x14ac:dyDescent="0.2">
      <c r="F119" s="321">
        <f>+I79</f>
        <v>3771.0956139179634</v>
      </c>
      <c r="G119" s="319">
        <f>+H119-0.5%</f>
        <v>9.9999999999999985E-3</v>
      </c>
      <c r="H119" s="319">
        <f>+I119-0.5%</f>
        <v>1.4999999999999999E-2</v>
      </c>
      <c r="I119" s="320">
        <f>+Assumptions!$T$52</f>
        <v>0.02</v>
      </c>
      <c r="J119" s="319">
        <f>+I119+0.5%</f>
        <v>2.5000000000000001E-2</v>
      </c>
      <c r="K119" s="319">
        <f>+J119+0.5%</f>
        <v>3.0000000000000002E-2</v>
      </c>
      <c r="L119" s="318">
        <f>+$F$10-I119</f>
        <v>5.3999999999999986E-3</v>
      </c>
    </row>
    <row r="120" spans="2:16" ht="13.25" customHeight="1" thickTop="1" thickBot="1" x14ac:dyDescent="0.2">
      <c r="E120" s="415" t="s">
        <v>850</v>
      </c>
      <c r="F120" s="319" t="e">
        <f>+F121-0.5%</f>
        <v>#REF!</v>
      </c>
      <c r="G120" s="351" t="e">
        <f t="dataTable" ref="G120:K124" dt2D="1" dtr="1" r1="F10" r2="F13" ca="1"/>
        <v>#REF!</v>
      </c>
      <c r="H120" s="348" t="e">
        <v>#REF!</v>
      </c>
      <c r="I120" s="348" t="e">
        <v>#REF!</v>
      </c>
      <c r="J120" s="348" t="e">
        <v>#REF!</v>
      </c>
      <c r="K120" s="350" t="e">
        <v>#REF!</v>
      </c>
      <c r="L120" s="318" t="e">
        <f>+F13-F122</f>
        <v>#REF!</v>
      </c>
    </row>
    <row r="121" spans="2:16" ht="13.25" customHeight="1" thickTop="1" thickBot="1" x14ac:dyDescent="0.2">
      <c r="E121" s="416"/>
      <c r="F121" s="319" t="e">
        <f>+F122-0.5%</f>
        <v>#REF!</v>
      </c>
      <c r="G121" s="352" t="e">
        <v>#REF!</v>
      </c>
      <c r="H121" s="259" t="e">
        <v>#REF!</v>
      </c>
      <c r="I121" s="259" t="e">
        <v>#REF!</v>
      </c>
      <c r="J121" s="259" t="e">
        <v>#REF!</v>
      </c>
      <c r="K121" s="347" t="e">
        <v>#REF!</v>
      </c>
      <c r="L121" s="318" t="e">
        <f>+I122-I79</f>
        <v>#REF!</v>
      </c>
    </row>
    <row r="122" spans="2:16" ht="13.25" customHeight="1" thickTop="1" thickBot="1" x14ac:dyDescent="0.2">
      <c r="E122" s="416"/>
      <c r="F122" s="320" t="e">
        <f>+#REF!</f>
        <v>#REF!</v>
      </c>
      <c r="G122" s="352" t="e">
        <v>#REF!</v>
      </c>
      <c r="H122" s="259" t="e">
        <v>#REF!</v>
      </c>
      <c r="I122" s="349" t="e">
        <v>#REF!</v>
      </c>
      <c r="J122" s="259" t="e">
        <v>#REF!</v>
      </c>
      <c r="K122" s="347" t="e">
        <v>#REF!</v>
      </c>
      <c r="L122" s="318"/>
    </row>
    <row r="123" spans="2:16" ht="13.25" customHeight="1" thickTop="1" thickBot="1" x14ac:dyDescent="0.2">
      <c r="E123" s="416"/>
      <c r="F123" s="319" t="e">
        <f>+F122+0.5%</f>
        <v>#REF!</v>
      </c>
      <c r="G123" s="352" t="e">
        <v>#REF!</v>
      </c>
      <c r="H123" s="259" t="e">
        <v>#REF!</v>
      </c>
      <c r="I123" s="259" t="e">
        <v>#REF!</v>
      </c>
      <c r="J123" s="259" t="e">
        <v>#REF!</v>
      </c>
      <c r="K123" s="347" t="e">
        <v>#REF!</v>
      </c>
      <c r="L123" s="318"/>
    </row>
    <row r="124" spans="2:16" ht="13.25" customHeight="1" thickTop="1" thickBot="1" x14ac:dyDescent="0.2">
      <c r="E124" s="416"/>
      <c r="F124" s="319" t="e">
        <f>+F123+0.5%</f>
        <v>#REF!</v>
      </c>
      <c r="G124" s="346" t="e">
        <v>#REF!</v>
      </c>
      <c r="H124" s="345" t="e">
        <v>#REF!</v>
      </c>
      <c r="I124" s="345" t="e">
        <v>#REF!</v>
      </c>
      <c r="J124" s="345" t="e">
        <v>#REF!</v>
      </c>
      <c r="K124" s="344" t="e">
        <v>#REF!</v>
      </c>
      <c r="L124" s="318"/>
    </row>
    <row r="125" spans="2:16" ht="13.25" customHeight="1" thickTop="1" x14ac:dyDescent="0.15"/>
    <row r="126" spans="2:16" ht="13.25" customHeight="1" x14ac:dyDescent="0.15">
      <c r="B126" s="326" t="s">
        <v>895</v>
      </c>
      <c r="J126" s="218"/>
      <c r="K126" s="218"/>
      <c r="M126" s="218"/>
      <c r="N126" s="218"/>
    </row>
    <row r="127" spans="2:16" ht="13.25" customHeight="1" thickBot="1" x14ac:dyDescent="0.2">
      <c r="I127" s="218"/>
      <c r="J127" s="218"/>
      <c r="K127" s="218"/>
      <c r="M127" s="218"/>
      <c r="N127" s="218"/>
    </row>
    <row r="128" spans="2:16" ht="20" customHeight="1" thickTop="1" thickBot="1" x14ac:dyDescent="0.2">
      <c r="G128" s="324" t="s">
        <v>842</v>
      </c>
      <c r="H128" s="323"/>
      <c r="I128" s="323"/>
      <c r="J128" s="323"/>
      <c r="K128" s="322"/>
      <c r="L128" s="325" t="s">
        <v>892</v>
      </c>
      <c r="M128" s="218"/>
      <c r="N128" s="218"/>
    </row>
    <row r="129" spans="2:15" ht="13.25" customHeight="1" thickTop="1" thickBot="1" x14ac:dyDescent="0.2">
      <c r="F129" s="321">
        <f>+I61</f>
        <v>-16408.143885080699</v>
      </c>
      <c r="G129" s="320" t="e">
        <f>+#REF!</f>
        <v>#REF!</v>
      </c>
      <c r="H129" s="319" t="e">
        <f>+G129+0.5%</f>
        <v>#REF!</v>
      </c>
      <c r="I129" s="319" t="e">
        <f>+H129+0.5%</f>
        <v>#REF!</v>
      </c>
      <c r="J129" s="319" t="e">
        <f>+I129+0.5%</f>
        <v>#REF!</v>
      </c>
      <c r="K129" s="319" t="e">
        <f>+J129+0.5%</f>
        <v>#REF!</v>
      </c>
      <c r="L129" s="318" t="e">
        <f>+$F$14-G129</f>
        <v>#REF!</v>
      </c>
    </row>
    <row r="130" spans="2:15" ht="13.25" customHeight="1" thickTop="1" thickBot="1" x14ac:dyDescent="0.2">
      <c r="E130" s="415" t="s">
        <v>849</v>
      </c>
      <c r="F130" s="319" t="e">
        <f>+F131-0.5%</f>
        <v>#REF!</v>
      </c>
      <c r="G130" s="351" t="e">
        <f t="dataTable" ref="G130:K134" dt2D="1" dtr="1" r1="F14" r2="F12" ca="1"/>
        <v>#REF!</v>
      </c>
      <c r="H130" s="348" t="e">
        <v>#REF!</v>
      </c>
      <c r="I130" s="348" t="e">
        <v>#REF!</v>
      </c>
      <c r="J130" s="348" t="e">
        <v>#REF!</v>
      </c>
      <c r="K130" s="350" t="e">
        <v>#REF!</v>
      </c>
      <c r="L130" s="318" t="e">
        <f>+F12-F132</f>
        <v>#REF!</v>
      </c>
    </row>
    <row r="131" spans="2:15" ht="13.25" customHeight="1" thickTop="1" thickBot="1" x14ac:dyDescent="0.2">
      <c r="E131" s="416"/>
      <c r="F131" s="319" t="e">
        <f>+F132-0.5%</f>
        <v>#REF!</v>
      </c>
      <c r="G131" s="259" t="e">
        <v>#REF!</v>
      </c>
      <c r="H131" s="259" t="e">
        <v>#REF!</v>
      </c>
      <c r="I131" s="348" t="e">
        <v>#REF!</v>
      </c>
      <c r="J131" s="348" t="e">
        <v>#REF!</v>
      </c>
      <c r="K131" s="347" t="e">
        <v>#REF!</v>
      </c>
      <c r="L131" s="332" t="e">
        <f>+G132-I61</f>
        <v>#REF!</v>
      </c>
    </row>
    <row r="132" spans="2:15" ht="13.25" customHeight="1" thickTop="1" thickBot="1" x14ac:dyDescent="0.2">
      <c r="E132" s="416"/>
      <c r="F132" s="320" t="e">
        <f>+#REF!</f>
        <v>#REF!</v>
      </c>
      <c r="G132" s="349" t="e">
        <v>#REF!</v>
      </c>
      <c r="H132" s="259" t="e">
        <v>#REF!</v>
      </c>
      <c r="I132" s="348" t="e">
        <v>#REF!</v>
      </c>
      <c r="J132" s="348" t="e">
        <v>#REF!</v>
      </c>
      <c r="K132" s="347" t="e">
        <v>#REF!</v>
      </c>
      <c r="L132" s="318"/>
    </row>
    <row r="133" spans="2:15" ht="13.25" customHeight="1" thickTop="1" thickBot="1" x14ac:dyDescent="0.2">
      <c r="E133" s="416"/>
      <c r="F133" s="319" t="e">
        <f>+F132+0.5%</f>
        <v>#REF!</v>
      </c>
      <c r="G133" s="259" t="e">
        <v>#REF!</v>
      </c>
      <c r="H133" s="259" t="e">
        <v>#REF!</v>
      </c>
      <c r="I133" s="348" t="e">
        <v>#REF!</v>
      </c>
      <c r="J133" s="348" t="e">
        <v>#REF!</v>
      </c>
      <c r="K133" s="347" t="e">
        <v>#REF!</v>
      </c>
      <c r="L133" s="318"/>
    </row>
    <row r="134" spans="2:15" ht="13.25" customHeight="1" thickTop="1" thickBot="1" x14ac:dyDescent="0.2">
      <c r="E134" s="416"/>
      <c r="F134" s="319" t="e">
        <f>+F133+0.5%</f>
        <v>#REF!</v>
      </c>
      <c r="G134" s="346" t="e">
        <v>#REF!</v>
      </c>
      <c r="H134" s="345" t="e">
        <v>#REF!</v>
      </c>
      <c r="I134" s="345" t="e">
        <v>#REF!</v>
      </c>
      <c r="J134" s="345" t="e">
        <v>#REF!</v>
      </c>
      <c r="K134" s="344" t="e">
        <v>#REF!</v>
      </c>
      <c r="L134" s="318"/>
    </row>
    <row r="135" spans="2:15" ht="13.25" customHeight="1" thickTop="1" x14ac:dyDescent="0.15"/>
    <row r="136" spans="2:15" ht="13.25" customHeight="1" x14ac:dyDescent="0.15">
      <c r="G136" s="218"/>
      <c r="H136" s="218"/>
      <c r="I136" s="218"/>
      <c r="J136" s="218"/>
      <c r="K136" s="218"/>
      <c r="L136" s="218"/>
    </row>
    <row r="137" spans="2:15" ht="15" customHeight="1" x14ac:dyDescent="0.15">
      <c r="B137" s="211" t="s">
        <v>896</v>
      </c>
      <c r="C137" s="343"/>
      <c r="D137" s="343"/>
      <c r="E137" s="343"/>
      <c r="F137" s="254">
        <f t="shared" ref="F137:O137" si="7">+F$5</f>
        <v>0</v>
      </c>
      <c r="G137" s="254">
        <f t="shared" si="7"/>
        <v>0</v>
      </c>
      <c r="H137" s="254">
        <f t="shared" si="7"/>
        <v>0</v>
      </c>
      <c r="I137" s="254">
        <f t="shared" si="7"/>
        <v>45489</v>
      </c>
      <c r="J137" s="254">
        <f t="shared" si="7"/>
        <v>45854</v>
      </c>
      <c r="K137" s="254">
        <f t="shared" si="7"/>
        <v>46219</v>
      </c>
      <c r="L137" s="254">
        <f t="shared" si="7"/>
        <v>46584</v>
      </c>
      <c r="M137" s="254">
        <f t="shared" si="7"/>
        <v>46949</v>
      </c>
      <c r="N137" s="254">
        <f t="shared" si="7"/>
        <v>47314</v>
      </c>
      <c r="O137" s="254">
        <f t="shared" si="7"/>
        <v>47695</v>
      </c>
    </row>
    <row r="138" spans="2:15" ht="5" customHeight="1" x14ac:dyDescent="0.15"/>
    <row r="139" spans="2:15" ht="13.25" customHeight="1" x14ac:dyDescent="0.15">
      <c r="B139" s="201" t="s">
        <v>634</v>
      </c>
      <c r="C139" s="342"/>
      <c r="D139" s="342"/>
      <c r="E139" s="342"/>
      <c r="F139" s="341"/>
      <c r="G139" s="341"/>
      <c r="H139" s="341"/>
      <c r="I139" s="221">
        <f>+'Output (2)'!O49</f>
        <v>2441.6799999999998</v>
      </c>
      <c r="J139" s="221">
        <f>+'Output (2)'!P49</f>
        <v>2394.7088101688182</v>
      </c>
      <c r="K139" s="221">
        <f>+'Output (2)'!Q49</f>
        <v>2387.3947192104374</v>
      </c>
      <c r="L139" s="221">
        <f>+'Output (2)'!R49</f>
        <v>2376.4576680103914</v>
      </c>
      <c r="M139" s="221">
        <f>+'Output (2)'!S49</f>
        <v>2358.0211598592723</v>
      </c>
      <c r="N139" s="221">
        <f>+'Output (2)'!T49</f>
        <v>2333.3240702629614</v>
      </c>
      <c r="O139" s="221"/>
    </row>
    <row r="140" spans="2:15" ht="13.25" customHeight="1" x14ac:dyDescent="0.15">
      <c r="B140" s="201" t="s">
        <v>897</v>
      </c>
      <c r="C140" s="342"/>
      <c r="D140" s="342"/>
      <c r="E140" s="342"/>
      <c r="F140" s="341"/>
      <c r="G140" s="341"/>
      <c r="H140" s="341"/>
      <c r="I140" s="341"/>
      <c r="J140" s="215">
        <f>+Analysis!P53</f>
        <v>8.5799373911000565E-2</v>
      </c>
      <c r="K140" s="215">
        <f>+Analysis!Q53</f>
        <v>8.3967812807892644E-2</v>
      </c>
      <c r="L140" s="215">
        <f>+Analysis!R53</f>
        <v>0.10083461940116212</v>
      </c>
      <c r="M140" s="215">
        <f>+Analysis!S53</f>
        <v>0.10502980453268912</v>
      </c>
      <c r="N140" s="215">
        <f>+Analysis!T53</f>
        <v>0.10853336147345388</v>
      </c>
      <c r="O140" s="215">
        <f>+N140</f>
        <v>0.10853336147345388</v>
      </c>
    </row>
    <row r="141" spans="2:15" ht="13.25" customHeight="1" x14ac:dyDescent="0.15">
      <c r="B141" s="201" t="s">
        <v>898</v>
      </c>
      <c r="C141" s="342"/>
      <c r="D141" s="342"/>
      <c r="E141" s="342"/>
      <c r="F141" s="341"/>
      <c r="G141" s="341"/>
      <c r="H141" s="341"/>
      <c r="I141" s="341"/>
      <c r="J141" s="221">
        <f t="shared" ref="J141:O141" si="8">+I139*(J140-$F$11)</f>
        <v>54.306317851011848</v>
      </c>
      <c r="K141" s="221">
        <f t="shared" si="8"/>
        <v>48.875558544956895</v>
      </c>
      <c r="L141" s="221">
        <f t="shared" si="8"/>
        <v>88.994004308351776</v>
      </c>
      <c r="M141" s="221">
        <f t="shared" si="8"/>
        <v>98.555987887937164</v>
      </c>
      <c r="N141" s="221">
        <f t="shared" si="8"/>
        <v>106.05285402672375</v>
      </c>
      <c r="O141" s="221">
        <f t="shared" si="8"/>
        <v>104.94209349478739</v>
      </c>
    </row>
    <row r="142" spans="2:15" ht="13.25" customHeight="1" x14ac:dyDescent="0.15">
      <c r="B142" s="201" t="s">
        <v>899</v>
      </c>
      <c r="C142" s="342"/>
      <c r="D142" s="342"/>
      <c r="E142" s="342"/>
      <c r="F142" s="341"/>
      <c r="G142" s="341"/>
      <c r="H142" s="341"/>
      <c r="I142" s="341"/>
      <c r="J142" s="221">
        <f>+J141*J23</f>
        <v>52.658655681720468</v>
      </c>
      <c r="K142" s="221">
        <f>+K141*K23</f>
        <v>44.560490788090839</v>
      </c>
      <c r="L142" s="221">
        <f>+L141*L23</f>
        <v>76.28827619695916</v>
      </c>
      <c r="M142" s="221">
        <f>+M141*M23</f>
        <v>79.436278572817429</v>
      </c>
      <c r="N142" s="221">
        <f>+N141*N23</f>
        <v>80.370571485869689</v>
      </c>
    </row>
    <row r="143" spans="2:15" ht="13.25" customHeight="1" x14ac:dyDescent="0.15">
      <c r="B143" s="201" t="s">
        <v>900</v>
      </c>
      <c r="C143" s="342"/>
      <c r="D143" s="342"/>
      <c r="E143" s="342"/>
      <c r="F143" s="341"/>
      <c r="G143" s="341"/>
      <c r="H143" s="341"/>
      <c r="I143" s="341"/>
      <c r="J143" s="221"/>
      <c r="K143" s="221"/>
      <c r="L143" s="221"/>
      <c r="M143" s="221"/>
      <c r="N143" s="221">
        <f>+O141/(F11-F10)</f>
        <v>2750.1990013833893</v>
      </c>
    </row>
    <row r="144" spans="2:15" ht="13.25" customHeight="1" x14ac:dyDescent="0.15">
      <c r="B144" s="219" t="s">
        <v>901</v>
      </c>
      <c r="C144" s="306"/>
      <c r="D144" s="306"/>
      <c r="E144" s="306"/>
      <c r="F144" s="306"/>
      <c r="G144" s="306"/>
      <c r="H144" s="306"/>
      <c r="I144" s="220">
        <f>+SUM(J142:N142)</f>
        <v>333.31427272545761</v>
      </c>
      <c r="J144" s="265"/>
      <c r="K144" s="265"/>
      <c r="L144" s="265"/>
      <c r="M144" s="265"/>
      <c r="N144" s="265"/>
      <c r="O144" s="265"/>
    </row>
    <row r="145" spans="2:15" ht="13.25" customHeight="1" x14ac:dyDescent="0.15">
      <c r="B145" s="213" t="s">
        <v>902</v>
      </c>
      <c r="C145" s="340"/>
      <c r="D145" s="340"/>
      <c r="E145" s="340"/>
      <c r="F145" s="214"/>
      <c r="G145" s="214"/>
      <c r="H145" s="214"/>
      <c r="I145" s="214">
        <f>+N143*N23</f>
        <v>2084.1972379673398</v>
      </c>
      <c r="J145" s="218"/>
      <c r="K145" s="218"/>
      <c r="L145" s="218"/>
      <c r="M145" s="218"/>
      <c r="N145" s="339"/>
      <c r="O145" s="218"/>
    </row>
    <row r="146" spans="2:15" ht="5" customHeight="1" x14ac:dyDescent="0.15">
      <c r="F146" s="218"/>
      <c r="G146" s="218"/>
      <c r="H146" s="218"/>
      <c r="I146" s="218"/>
      <c r="J146" s="218"/>
      <c r="K146" s="218"/>
      <c r="L146" s="218"/>
      <c r="M146" s="218"/>
      <c r="N146" s="218"/>
      <c r="O146" s="218"/>
    </row>
    <row r="147" spans="2:15" ht="13.25" customHeight="1" x14ac:dyDescent="0.15">
      <c r="B147" s="222" t="s">
        <v>903</v>
      </c>
      <c r="C147" s="338"/>
      <c r="D147" s="338"/>
      <c r="E147" s="338"/>
      <c r="F147" s="223"/>
      <c r="G147" s="223"/>
      <c r="H147" s="223"/>
      <c r="I147" s="223">
        <f>+I145+I144</f>
        <v>2417.5115106927974</v>
      </c>
      <c r="J147" s="218"/>
      <c r="K147" s="218"/>
      <c r="L147" s="218"/>
      <c r="M147" s="218"/>
      <c r="N147" s="339"/>
      <c r="O147" s="218"/>
    </row>
    <row r="148" spans="2:15" ht="13.25" customHeight="1" x14ac:dyDescent="0.15">
      <c r="B148" s="201" t="s">
        <v>904</v>
      </c>
      <c r="I148" s="221">
        <f>+I139</f>
        <v>2441.6799999999998</v>
      </c>
      <c r="J148" s="218"/>
      <c r="K148" s="218"/>
    </row>
    <row r="149" spans="2:15" ht="13.25" customHeight="1" x14ac:dyDescent="0.15">
      <c r="B149" s="222" t="s">
        <v>861</v>
      </c>
      <c r="C149" s="338"/>
      <c r="D149" s="338"/>
      <c r="E149" s="338"/>
      <c r="F149" s="223"/>
      <c r="G149" s="223"/>
      <c r="H149" s="223"/>
      <c r="I149" s="223">
        <f>+I148+I147</f>
        <v>4859.1915106927972</v>
      </c>
      <c r="J149" s="218"/>
      <c r="K149" s="218"/>
    </row>
    <row r="150" spans="2:15" ht="13.25" customHeight="1" x14ac:dyDescent="0.15">
      <c r="G150" s="337"/>
      <c r="H150" s="337"/>
      <c r="I150" s="337"/>
      <c r="J150" s="337"/>
      <c r="K150" s="337"/>
      <c r="L150" s="337"/>
    </row>
    <row r="159" spans="2:15" ht="13.25" customHeight="1" x14ac:dyDescent="0.15">
      <c r="J159" s="221"/>
      <c r="K159" s="221"/>
      <c r="L159" s="337"/>
      <c r="M159" s="337"/>
      <c r="N159" s="337"/>
      <c r="O159" s="337"/>
    </row>
    <row r="160" spans="2:15" ht="13.25" customHeight="1" x14ac:dyDescent="0.15">
      <c r="J160" s="218"/>
      <c r="K160" s="218"/>
      <c r="L160" s="218"/>
      <c r="M160" s="218"/>
      <c r="N160" s="218"/>
      <c r="O160" s="218"/>
    </row>
    <row r="161" spans="6:12" ht="13.25" customHeight="1" x14ac:dyDescent="0.15">
      <c r="F161" s="221"/>
      <c r="G161" s="221"/>
      <c r="H161" s="221"/>
      <c r="I161" s="221"/>
      <c r="J161" s="221"/>
      <c r="K161" s="221"/>
      <c r="L161" s="221"/>
    </row>
    <row r="162" spans="6:12" ht="13.25" customHeight="1" x14ac:dyDescent="0.15">
      <c r="F162" s="228"/>
      <c r="G162" s="228"/>
      <c r="H162" s="228"/>
      <c r="I162" s="228"/>
      <c r="J162" s="228"/>
      <c r="K162" s="228"/>
      <c r="L162" s="228"/>
    </row>
    <row r="163" spans="6:12" ht="13.25" customHeight="1" x14ac:dyDescent="0.15">
      <c r="F163" s="221"/>
      <c r="G163" s="221"/>
      <c r="H163" s="221"/>
      <c r="I163" s="221"/>
      <c r="J163" s="221"/>
      <c r="K163" s="221"/>
      <c r="L163" s="221"/>
    </row>
  </sheetData>
  <mergeCells count="4">
    <mergeCell ref="E100:E104"/>
    <mergeCell ref="E110:E114"/>
    <mergeCell ref="E120:E124"/>
    <mergeCell ref="E130:E13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Cover &gt;&gt;&gt;</vt:lpstr>
      <vt:lpstr>Inputs &gt;&gt;&gt;</vt:lpstr>
      <vt:lpstr>AFS</vt:lpstr>
      <vt:lpstr>AFS2</vt:lpstr>
      <vt:lpstr>AFS3</vt:lpstr>
      <vt:lpstr>Restatements</vt:lpstr>
      <vt:lpstr>Assumptions</vt:lpstr>
      <vt:lpstr>Calculations &gt;&gt;&gt;</vt:lpstr>
      <vt:lpstr>SalesOPEX</vt:lpstr>
      <vt:lpstr>Investments</vt:lpstr>
      <vt:lpstr>Financing</vt:lpstr>
      <vt:lpstr>Others</vt:lpstr>
      <vt:lpstr>Output &gt;&gt;&gt;</vt:lpstr>
      <vt:lpstr>Output (2)</vt:lpstr>
      <vt:lpstr>Sheet1</vt:lpstr>
      <vt:lpstr>Analysis</vt:lpstr>
      <vt:lpstr>Valuation &gt;&gt;&gt;</vt:lpstr>
      <vt:lpstr>TV</vt:lpstr>
      <vt:lpstr>DCF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FEDERICO GALLI</cp:lastModifiedBy>
  <cp:revision/>
  <dcterms:created xsi:type="dcterms:W3CDTF">2026-01-28T19:08:59Z</dcterms:created>
  <dcterms:modified xsi:type="dcterms:W3CDTF">2026-07-12T09:19:29Z</dcterms:modified>
  <cp:category/>
  <cp:contentStatus/>
</cp:coreProperties>
</file>